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26BC4F64-68EE-4254-8CC9-96041276BC66}" xr6:coauthVersionLast="47" xr6:coauthVersionMax="47" xr10:uidLastSave="{00000000-0000-0000-0000-000000000000}"/>
  <bookViews>
    <workbookView xWindow="28680" yWindow="285" windowWidth="25440" windowHeight="15270" activeTab="5" xr2:uid="{00000000-000D-0000-FFFF-FFFF00000000}"/>
  </bookViews>
  <sheets>
    <sheet name="README" sheetId="1" r:id="rId1"/>
    <sheet name="エラーチェック" sheetId="7" r:id="rId2"/>
    <sheet name="個体台帳" sheetId="2" r:id="rId3"/>
    <sheet name="セット台帳" sheetId="3" r:id="rId4"/>
    <sheet name="貸出記録" sheetId="4" r:id="rId5"/>
    <sheet name="現在貸出中" sheetId="5" r:id="rId6"/>
  </sheets>
  <definedNames>
    <definedName name="_xlnm._FilterDatabase" localSheetId="3" hidden="1">セット台帳!$A$1:$I$1</definedName>
    <definedName name="_xlnm._FilterDatabase" localSheetId="2" hidden="1">個体台帳!$A$1:$G$1</definedName>
    <definedName name="_xlnm._FilterDatabase" localSheetId="4" hidden="1">貸出記録!$A$1:$H$1</definedName>
  </definedNames>
  <calcPr calcId="191029"/>
</workbook>
</file>

<file path=xl/calcChain.xml><?xml version="1.0" encoding="utf-8"?>
<calcChain xmlns="http://schemas.openxmlformats.org/spreadsheetml/2006/main">
  <c r="F3" i="5" l="1" a="1"/>
  <c r="F3" i="5" s="1"/>
  <c r="F4" i="5" a="1"/>
  <c r="F4" i="5" s="1"/>
  <c r="F5" i="5" a="1"/>
  <c r="F5" i="5" s="1"/>
  <c r="F6" i="5" a="1"/>
  <c r="F6" i="5"/>
  <c r="F7" i="5" a="1"/>
  <c r="F7" i="5" s="1"/>
  <c r="F8" i="5" a="1"/>
  <c r="F8" i="5" s="1"/>
  <c r="F9" i="5" a="1"/>
  <c r="F9" i="5" s="1"/>
  <c r="F10" i="5" a="1"/>
  <c r="F10" i="5"/>
  <c r="F11" i="5" a="1"/>
  <c r="F11" i="5" s="1"/>
  <c r="F12" i="5" a="1"/>
  <c r="F12" i="5" s="1"/>
  <c r="F13" i="5" a="1"/>
  <c r="F13" i="5" s="1"/>
  <c r="F14" i="5" a="1"/>
  <c r="F14" i="5"/>
  <c r="F15" i="5" a="1"/>
  <c r="F15" i="5" s="1"/>
  <c r="F16" i="5" a="1"/>
  <c r="F16" i="5" s="1"/>
  <c r="F17" i="5" a="1"/>
  <c r="F17" i="5" s="1"/>
  <c r="F18" i="5" a="1"/>
  <c r="F18" i="5"/>
  <c r="F19" i="5" a="1"/>
  <c r="F19" i="5" s="1"/>
  <c r="F20" i="5" a="1"/>
  <c r="F20" i="5" s="1"/>
  <c r="F21" i="5" a="1"/>
  <c r="F21" i="5" s="1"/>
  <c r="F22" i="5" a="1"/>
  <c r="F22" i="5"/>
  <c r="F23" i="5" a="1"/>
  <c r="F23" i="5" s="1"/>
  <c r="F24" i="5" a="1"/>
  <c r="F24" i="5" s="1"/>
  <c r="F25" i="5" a="1"/>
  <c r="F25" i="5" s="1"/>
  <c r="F26" i="5" a="1"/>
  <c r="F26" i="5"/>
  <c r="F27" i="5" a="1"/>
  <c r="F27" i="5" s="1"/>
  <c r="F28" i="5" a="1"/>
  <c r="F28" i="5" s="1"/>
  <c r="F29" i="5" a="1"/>
  <c r="F29" i="5" s="1"/>
  <c r="F30" i="5" a="1"/>
  <c r="F30" i="5"/>
  <c r="F31" i="5" a="1"/>
  <c r="F31" i="5" s="1"/>
  <c r="F32" i="5" a="1"/>
  <c r="F32" i="5" s="1"/>
  <c r="F33" i="5" a="1"/>
  <c r="F33" i="5" s="1"/>
  <c r="F34" i="5" a="1"/>
  <c r="F34" i="5"/>
  <c r="F35" i="5" a="1"/>
  <c r="F35" i="5" s="1"/>
  <c r="F36" i="5" a="1"/>
  <c r="F36" i="5" s="1"/>
  <c r="F37" i="5" a="1"/>
  <c r="F37" i="5" s="1"/>
  <c r="F38" i="5" a="1"/>
  <c r="F38" i="5"/>
  <c r="F39" i="5" a="1"/>
  <c r="F39" i="5" s="1"/>
  <c r="F40" i="5" a="1"/>
  <c r="F40" i="5" s="1"/>
  <c r="F41" i="5" a="1"/>
  <c r="F41" i="5" s="1"/>
  <c r="F42" i="5" a="1"/>
  <c r="F42" i="5"/>
  <c r="F43" i="5" a="1"/>
  <c r="F43" i="5" s="1"/>
  <c r="F44" i="5" a="1"/>
  <c r="F44" i="5" s="1"/>
  <c r="F45" i="5" a="1"/>
  <c r="F45" i="5" s="1"/>
  <c r="F46" i="5" a="1"/>
  <c r="F46" i="5"/>
  <c r="F47" i="5" a="1"/>
  <c r="F47" i="5" s="1"/>
  <c r="F48" i="5" a="1"/>
  <c r="F48" i="5" s="1"/>
  <c r="F49" i="5" a="1"/>
  <c r="F49" i="5" s="1"/>
  <c r="F50" i="5" a="1"/>
  <c r="F50" i="5"/>
  <c r="F51" i="5" a="1"/>
  <c r="F51" i="5" s="1"/>
  <c r="F52" i="5" a="1"/>
  <c r="F52" i="5" s="1"/>
  <c r="F53" i="5" a="1"/>
  <c r="F53" i="5" s="1"/>
  <c r="F54" i="5" a="1"/>
  <c r="F54" i="5"/>
  <c r="F55" i="5" a="1"/>
  <c r="F55" i="5" s="1"/>
  <c r="F56" i="5" a="1"/>
  <c r="F56" i="5" s="1"/>
  <c r="F57" i="5" a="1"/>
  <c r="F57" i="5" s="1"/>
  <c r="F58" i="5" a="1"/>
  <c r="F58" i="5"/>
  <c r="F59" i="5" a="1"/>
  <c r="F59" i="5" s="1"/>
  <c r="F60" i="5" a="1"/>
  <c r="F60" i="5" s="1"/>
  <c r="F61" i="5" a="1"/>
  <c r="F61" i="5" s="1"/>
  <c r="F62" i="5" a="1"/>
  <c r="F62" i="5"/>
  <c r="F63" i="5" a="1"/>
  <c r="F63" i="5" s="1"/>
  <c r="F64" i="5" a="1"/>
  <c r="F64" i="5" s="1"/>
  <c r="F65" i="5" a="1"/>
  <c r="F65" i="5" s="1"/>
  <c r="F66" i="5" a="1"/>
  <c r="F66" i="5"/>
  <c r="F67" i="5" a="1"/>
  <c r="F67" i="5" s="1"/>
  <c r="F68" i="5" a="1"/>
  <c r="F68" i="5" s="1"/>
  <c r="F69" i="5" a="1"/>
  <c r="F69" i="5" s="1"/>
  <c r="F70" i="5" a="1"/>
  <c r="F70" i="5"/>
  <c r="F71" i="5" a="1"/>
  <c r="F71" i="5" s="1"/>
  <c r="F72" i="5" a="1"/>
  <c r="F72" i="5" s="1"/>
  <c r="F73" i="5" a="1"/>
  <c r="F73" i="5" s="1"/>
  <c r="F74" i="5" a="1"/>
  <c r="F74" i="5"/>
  <c r="F75" i="5" a="1"/>
  <c r="F75" i="5" s="1"/>
  <c r="F76" i="5" a="1"/>
  <c r="F76" i="5" s="1"/>
  <c r="F77" i="5" a="1"/>
  <c r="F77" i="5" s="1"/>
  <c r="F78" i="5" a="1"/>
  <c r="F78" i="5"/>
  <c r="F79" i="5" a="1"/>
  <c r="F79" i="5" s="1"/>
  <c r="F80" i="5" a="1"/>
  <c r="F80" i="5" s="1"/>
  <c r="F81" i="5" a="1"/>
  <c r="F81" i="5" s="1"/>
  <c r="F82" i="5" a="1"/>
  <c r="F82" i="5"/>
  <c r="F83" i="5" a="1"/>
  <c r="F83" i="5" s="1"/>
  <c r="F84" i="5" a="1"/>
  <c r="F84" i="5" s="1"/>
  <c r="F85" i="5" a="1"/>
  <c r="F85" i="5" s="1"/>
  <c r="F86" i="5" a="1"/>
  <c r="F86" i="5"/>
  <c r="F87" i="5" a="1"/>
  <c r="F87" i="5" s="1"/>
  <c r="F88" i="5" a="1"/>
  <c r="F88" i="5" s="1"/>
  <c r="F89" i="5" a="1"/>
  <c r="F89" i="5" s="1"/>
  <c r="F90" i="5" a="1"/>
  <c r="F90" i="5"/>
  <c r="F91" i="5" a="1"/>
  <c r="F91" i="5" s="1"/>
  <c r="F92" i="5" a="1"/>
  <c r="F92" i="5" s="1"/>
  <c r="F93" i="5" a="1"/>
  <c r="F93" i="5" s="1"/>
  <c r="F94" i="5" a="1"/>
  <c r="F94" i="5"/>
  <c r="F95" i="5" a="1"/>
  <c r="F95" i="5" s="1"/>
  <c r="F96" i="5" a="1"/>
  <c r="F96" i="5" s="1"/>
  <c r="F97" i="5" a="1"/>
  <c r="F97" i="5" s="1"/>
  <c r="F98" i="5" a="1"/>
  <c r="F98" i="5"/>
  <c r="F99" i="5" a="1"/>
  <c r="F99" i="5" s="1"/>
  <c r="F100" i="5" a="1"/>
  <c r="F100" i="5" s="1"/>
  <c r="F101" i="5" a="1"/>
  <c r="F101" i="5" s="1"/>
  <c r="F102" i="5" a="1"/>
  <c r="F102" i="5"/>
  <c r="F103" i="5" a="1"/>
  <c r="F103" i="5" s="1"/>
  <c r="F104" i="5" a="1"/>
  <c r="F104" i="5" s="1"/>
  <c r="F105" i="5" a="1"/>
  <c r="F105" i="5" s="1"/>
  <c r="F106" i="5" a="1"/>
  <c r="F106" i="5"/>
  <c r="F107" i="5" a="1"/>
  <c r="F107" i="5" s="1"/>
  <c r="F108" i="5" a="1"/>
  <c r="F108" i="5" s="1"/>
  <c r="F109" i="5" a="1"/>
  <c r="F109" i="5" s="1"/>
  <c r="F110" i="5" a="1"/>
  <c r="F110" i="5"/>
  <c r="F111" i="5" a="1"/>
  <c r="F111" i="5" s="1"/>
  <c r="F112" i="5" a="1"/>
  <c r="F112" i="5" s="1"/>
  <c r="F113" i="5" a="1"/>
  <c r="F113" i="5" s="1"/>
  <c r="F114" i="5" a="1"/>
  <c r="F114" i="5"/>
  <c r="F115" i="5" a="1"/>
  <c r="F115" i="5" s="1"/>
  <c r="F116" i="5" a="1"/>
  <c r="F116" i="5" s="1"/>
  <c r="F117" i="5" a="1"/>
  <c r="F117" i="5" s="1"/>
  <c r="F118" i="5" a="1"/>
  <c r="F118" i="5"/>
  <c r="F119" i="5" a="1"/>
  <c r="F119" i="5" s="1"/>
  <c r="F120" i="5" a="1"/>
  <c r="F120" i="5" s="1"/>
  <c r="F121" i="5" a="1"/>
  <c r="F121" i="5" s="1"/>
  <c r="F122" i="5" a="1"/>
  <c r="F122" i="5"/>
  <c r="F123" i="5" a="1"/>
  <c r="F123" i="5" s="1"/>
  <c r="F124" i="5" a="1"/>
  <c r="F124" i="5" s="1"/>
  <c r="F125" i="5" a="1"/>
  <c r="F125" i="5" s="1"/>
  <c r="F126" i="5" a="1"/>
  <c r="F126" i="5"/>
  <c r="F127" i="5" a="1"/>
  <c r="F127" i="5" s="1"/>
  <c r="F128" i="5" a="1"/>
  <c r="F128" i="5" s="1"/>
  <c r="F129" i="5" a="1"/>
  <c r="F129" i="5" s="1"/>
  <c r="F130" i="5" a="1"/>
  <c r="F130" i="5"/>
  <c r="F131" i="5" a="1"/>
  <c r="F131" i="5" s="1"/>
  <c r="F132" i="5" a="1"/>
  <c r="F132" i="5" s="1"/>
  <c r="F133" i="5" a="1"/>
  <c r="F133" i="5" s="1"/>
  <c r="F134" i="5" a="1"/>
  <c r="F134" i="5"/>
  <c r="F135" i="5" a="1"/>
  <c r="F135" i="5" s="1"/>
  <c r="F136" i="5" a="1"/>
  <c r="F136" i="5" s="1"/>
  <c r="F137" i="5" a="1"/>
  <c r="F137" i="5" s="1"/>
  <c r="F138" i="5" a="1"/>
  <c r="F138" i="5"/>
  <c r="F139" i="5" a="1"/>
  <c r="F139" i="5" s="1"/>
  <c r="F140" i="5" a="1"/>
  <c r="F140" i="5" s="1"/>
  <c r="F141" i="5" a="1"/>
  <c r="F141" i="5" s="1"/>
  <c r="F142" i="5" a="1"/>
  <c r="F142" i="5"/>
  <c r="F143" i="5" a="1"/>
  <c r="F143" i="5" s="1"/>
  <c r="F144" i="5" a="1"/>
  <c r="F144" i="5" s="1"/>
  <c r="F145" i="5" a="1"/>
  <c r="F145" i="5" s="1"/>
  <c r="F146" i="5" a="1"/>
  <c r="F146" i="5"/>
  <c r="F147" i="5" a="1"/>
  <c r="F147" i="5" s="1"/>
  <c r="F148" i="5" a="1"/>
  <c r="F148" i="5" s="1"/>
  <c r="F149" i="5" a="1"/>
  <c r="F149" i="5" s="1"/>
  <c r="F150" i="5" a="1"/>
  <c r="F150" i="5"/>
  <c r="F151" i="5" a="1"/>
  <c r="F151" i="5" s="1"/>
  <c r="F152" i="5" a="1"/>
  <c r="F152" i="5" s="1"/>
  <c r="F153" i="5" a="1"/>
  <c r="F153" i="5" s="1"/>
  <c r="F154" i="5" a="1"/>
  <c r="F154" i="5"/>
  <c r="F155" i="5" a="1"/>
  <c r="F155" i="5" s="1"/>
  <c r="F156" i="5" a="1"/>
  <c r="F156" i="5" s="1"/>
  <c r="F157" i="5" a="1"/>
  <c r="F157" i="5" s="1"/>
  <c r="F158" i="5" a="1"/>
  <c r="F158" i="5"/>
  <c r="F159" i="5" a="1"/>
  <c r="F159" i="5" s="1"/>
  <c r="F160" i="5" a="1"/>
  <c r="F160" i="5" s="1"/>
  <c r="F161" i="5" a="1"/>
  <c r="F161" i="5" s="1"/>
  <c r="F162" i="5" a="1"/>
  <c r="F162" i="5"/>
  <c r="F163" i="5" a="1"/>
  <c r="F163" i="5" s="1"/>
  <c r="F164" i="5" a="1"/>
  <c r="F164" i="5" s="1"/>
  <c r="F165" i="5" a="1"/>
  <c r="F165" i="5" s="1"/>
  <c r="F166" i="5" a="1"/>
  <c r="F166" i="5"/>
  <c r="F167" i="5" a="1"/>
  <c r="F167" i="5" s="1"/>
  <c r="F168" i="5" a="1"/>
  <c r="F168" i="5" s="1"/>
  <c r="F169" i="5" a="1"/>
  <c r="F169" i="5" s="1"/>
  <c r="F170" i="5" a="1"/>
  <c r="F170" i="5"/>
  <c r="F171" i="5" a="1"/>
  <c r="F171" i="5" s="1"/>
  <c r="F172" i="5" a="1"/>
  <c r="F172" i="5" s="1"/>
  <c r="F173" i="5" a="1"/>
  <c r="F173" i="5" s="1"/>
  <c r="F174" i="5" a="1"/>
  <c r="F174" i="5"/>
  <c r="F175" i="5" a="1"/>
  <c r="F175" i="5" s="1"/>
  <c r="F176" i="5" a="1"/>
  <c r="F176" i="5" s="1"/>
  <c r="F177" i="5" a="1"/>
  <c r="F177" i="5" s="1"/>
  <c r="F178" i="5" a="1"/>
  <c r="F178" i="5"/>
  <c r="F179" i="5" a="1"/>
  <c r="F179" i="5" s="1"/>
  <c r="F180" i="5" a="1"/>
  <c r="F180" i="5" s="1"/>
  <c r="F181" i="5" a="1"/>
  <c r="F181" i="5" s="1"/>
  <c r="F182" i="5" a="1"/>
  <c r="F182" i="5"/>
  <c r="F183" i="5" a="1"/>
  <c r="F183" i="5" s="1"/>
  <c r="F184" i="5" a="1"/>
  <c r="F184" i="5" s="1"/>
  <c r="F185" i="5" a="1"/>
  <c r="F185" i="5" s="1"/>
  <c r="F186" i="5" a="1"/>
  <c r="F186" i="5"/>
  <c r="F187" i="5" a="1"/>
  <c r="F187" i="5" s="1"/>
  <c r="F188" i="5" a="1"/>
  <c r="F188" i="5" s="1"/>
  <c r="F189" i="5" a="1"/>
  <c r="F189" i="5" s="1"/>
  <c r="F190" i="5" a="1"/>
  <c r="F190" i="5"/>
  <c r="F191" i="5" a="1"/>
  <c r="F191" i="5" s="1"/>
  <c r="F192" i="5" a="1"/>
  <c r="F192" i="5" s="1"/>
  <c r="F193" i="5" a="1"/>
  <c r="F193" i="5" s="1"/>
  <c r="F194" i="5" a="1"/>
  <c r="F194" i="5"/>
  <c r="F195" i="5" a="1"/>
  <c r="F195" i="5" s="1"/>
  <c r="F196" i="5" a="1"/>
  <c r="F196" i="5" s="1"/>
  <c r="F197" i="5" a="1"/>
  <c r="F197" i="5" s="1"/>
  <c r="F198" i="5" a="1"/>
  <c r="F198" i="5"/>
  <c r="F199" i="5" a="1"/>
  <c r="F199" i="5" s="1"/>
  <c r="F200" i="5" a="1"/>
  <c r="F200" i="5" s="1"/>
  <c r="F201" i="5" a="1"/>
  <c r="F201" i="5" s="1"/>
  <c r="F202" i="5" a="1"/>
  <c r="F202" i="5"/>
  <c r="F203" i="5" a="1"/>
  <c r="F203" i="5" s="1"/>
  <c r="F204" i="5" a="1"/>
  <c r="F204" i="5" s="1"/>
  <c r="F205" i="5" a="1"/>
  <c r="F205" i="5" s="1"/>
  <c r="F206" i="5" a="1"/>
  <c r="F206" i="5"/>
  <c r="F207" i="5" a="1"/>
  <c r="F207" i="5" s="1"/>
  <c r="F208" i="5" a="1"/>
  <c r="F208" i="5" s="1"/>
  <c r="F209" i="5" a="1"/>
  <c r="F209" i="5" s="1"/>
  <c r="F210" i="5" a="1"/>
  <c r="F210" i="5"/>
  <c r="F211" i="5" a="1"/>
  <c r="F211" i="5" s="1"/>
  <c r="F212" i="5" a="1"/>
  <c r="F212" i="5" s="1"/>
  <c r="F213" i="5" a="1"/>
  <c r="F213" i="5" s="1"/>
  <c r="F214" i="5" a="1"/>
  <c r="F214" i="5"/>
  <c r="F215" i="5" a="1"/>
  <c r="F215" i="5" s="1"/>
  <c r="F216" i="5" a="1"/>
  <c r="F216" i="5" s="1"/>
  <c r="F217" i="5" a="1"/>
  <c r="F217" i="5" s="1"/>
  <c r="F218" i="5" a="1"/>
  <c r="F218" i="5"/>
  <c r="F219" i="5" a="1"/>
  <c r="F219" i="5" s="1"/>
  <c r="F220" i="5" a="1"/>
  <c r="F220" i="5" s="1"/>
  <c r="F221" i="5" a="1"/>
  <c r="F221" i="5" s="1"/>
  <c r="F222" i="5" a="1"/>
  <c r="F222" i="5"/>
  <c r="F223" i="5" a="1"/>
  <c r="F223" i="5" s="1"/>
  <c r="F224" i="5" a="1"/>
  <c r="F224" i="5" s="1"/>
  <c r="F225" i="5" a="1"/>
  <c r="F225" i="5" s="1"/>
  <c r="F226" i="5" a="1"/>
  <c r="F226" i="5"/>
  <c r="F227" i="5" a="1"/>
  <c r="F227" i="5" s="1"/>
  <c r="F228" i="5" a="1"/>
  <c r="F228" i="5" s="1"/>
  <c r="F229" i="5" a="1"/>
  <c r="F229" i="5" s="1"/>
  <c r="F230" i="5" a="1"/>
  <c r="F230" i="5"/>
  <c r="F231" i="5" a="1"/>
  <c r="F231" i="5" s="1"/>
  <c r="F232" i="5" a="1"/>
  <c r="F232" i="5" s="1"/>
  <c r="F233" i="5" a="1"/>
  <c r="F233" i="5" s="1"/>
  <c r="F234" i="5" a="1"/>
  <c r="F234" i="5"/>
  <c r="F235" i="5" a="1"/>
  <c r="F235" i="5" s="1"/>
  <c r="F236" i="5" a="1"/>
  <c r="F236" i="5" s="1"/>
  <c r="F237" i="5" a="1"/>
  <c r="F237" i="5" s="1"/>
  <c r="F238" i="5" a="1"/>
  <c r="F238" i="5"/>
  <c r="F239" i="5" a="1"/>
  <c r="F239" i="5" s="1"/>
  <c r="F240" i="5" a="1"/>
  <c r="F240" i="5" s="1"/>
  <c r="F241" i="5" a="1"/>
  <c r="F241" i="5" s="1"/>
  <c r="F242" i="5" a="1"/>
  <c r="F242" i="5"/>
  <c r="F243" i="5" a="1"/>
  <c r="F243" i="5" s="1"/>
  <c r="F244" i="5" a="1"/>
  <c r="F244" i="5" s="1"/>
  <c r="F245" i="5" a="1"/>
  <c r="F245" i="5" s="1"/>
  <c r="F246" i="5" a="1"/>
  <c r="F246" i="5"/>
  <c r="F247" i="5" a="1"/>
  <c r="F247" i="5" s="1"/>
  <c r="F248" i="5" a="1"/>
  <c r="F248" i="5" s="1"/>
  <c r="F249" i="5" a="1"/>
  <c r="F249" i="5" s="1"/>
  <c r="F250" i="5" a="1"/>
  <c r="F250" i="5"/>
  <c r="F251" i="5" a="1"/>
  <c r="F251" i="5" s="1"/>
  <c r="F252" i="5" a="1"/>
  <c r="F252" i="5" s="1"/>
  <c r="F253" i="5" a="1"/>
  <c r="F253" i="5" s="1"/>
  <c r="F254" i="5" a="1"/>
  <c r="F254" i="5"/>
  <c r="F255" i="5" a="1"/>
  <c r="F255" i="5" s="1"/>
  <c r="F256" i="5" a="1"/>
  <c r="F256" i="5" s="1"/>
  <c r="F257" i="5" a="1"/>
  <c r="F257" i="5" s="1"/>
  <c r="F258" i="5" a="1"/>
  <c r="F258" i="5"/>
  <c r="F259" i="5" a="1"/>
  <c r="F259" i="5" s="1"/>
  <c r="F260" i="5" a="1"/>
  <c r="F260" i="5" s="1"/>
  <c r="F261" i="5" a="1"/>
  <c r="F261" i="5" s="1"/>
  <c r="F262" i="5" a="1"/>
  <c r="F262" i="5"/>
  <c r="F263" i="5" a="1"/>
  <c r="F263" i="5" s="1"/>
  <c r="F264" i="5" a="1"/>
  <c r="F264" i="5" s="1"/>
  <c r="F265" i="5" a="1"/>
  <c r="F265" i="5" s="1"/>
  <c r="F266" i="5" a="1"/>
  <c r="F266" i="5"/>
  <c r="F267" i="5" a="1"/>
  <c r="F267" i="5" s="1"/>
  <c r="F268" i="5" a="1"/>
  <c r="F268" i="5" s="1"/>
  <c r="F269" i="5" a="1"/>
  <c r="F269" i="5" s="1"/>
  <c r="F270" i="5" a="1"/>
  <c r="F270" i="5"/>
  <c r="F271" i="5" a="1"/>
  <c r="F271" i="5" s="1"/>
  <c r="F272" i="5" a="1"/>
  <c r="F272" i="5" s="1"/>
  <c r="F273" i="5" a="1"/>
  <c r="F273" i="5" s="1"/>
  <c r="F274" i="5" a="1"/>
  <c r="F274" i="5"/>
  <c r="F275" i="5" a="1"/>
  <c r="F275" i="5" s="1"/>
  <c r="F276" i="5" a="1"/>
  <c r="F276" i="5" s="1"/>
  <c r="F277" i="5" a="1"/>
  <c r="F277" i="5" s="1"/>
  <c r="F278" i="5" a="1"/>
  <c r="F278" i="5"/>
  <c r="F279" i="5" a="1"/>
  <c r="F279" i="5" s="1"/>
  <c r="F280" i="5" a="1"/>
  <c r="F280" i="5" s="1"/>
  <c r="F281" i="5" a="1"/>
  <c r="F281" i="5" s="1"/>
  <c r="F282" i="5" a="1"/>
  <c r="F282" i="5"/>
  <c r="F283" i="5" a="1"/>
  <c r="F283" i="5" s="1"/>
  <c r="F284" i="5" a="1"/>
  <c r="F284" i="5" s="1"/>
  <c r="F285" i="5" a="1"/>
  <c r="F285" i="5" s="1"/>
  <c r="F286" i="5" a="1"/>
  <c r="F286" i="5"/>
  <c r="F287" i="5" a="1"/>
  <c r="F287" i="5" s="1"/>
  <c r="F288" i="5" a="1"/>
  <c r="F288" i="5" s="1"/>
  <c r="F289" i="5" a="1"/>
  <c r="F289" i="5" s="1"/>
  <c r="F290" i="5" a="1"/>
  <c r="F290" i="5"/>
  <c r="F291" i="5" a="1"/>
  <c r="F291" i="5" s="1"/>
  <c r="F292" i="5" a="1"/>
  <c r="F292" i="5" s="1"/>
  <c r="F293" i="5" a="1"/>
  <c r="F293" i="5" s="1"/>
  <c r="F294" i="5" a="1"/>
  <c r="F294" i="5"/>
  <c r="F295" i="5" a="1"/>
  <c r="F295" i="5" s="1"/>
  <c r="F296" i="5" a="1"/>
  <c r="F296" i="5" s="1"/>
  <c r="F297" i="5" a="1"/>
  <c r="F297" i="5" s="1"/>
  <c r="F298" i="5" a="1"/>
  <c r="F298" i="5"/>
  <c r="F299" i="5" a="1"/>
  <c r="F299" i="5" s="1"/>
  <c r="F300" i="5" a="1"/>
  <c r="F300" i="5" s="1"/>
  <c r="F2" i="5" a="1"/>
  <c r="F2" i="5" s="1"/>
  <c r="E3" i="5" a="1"/>
  <c r="E3" i="5" s="1"/>
  <c r="E4" i="5" a="1"/>
  <c r="E4" i="5" s="1"/>
  <c r="E5" i="5" a="1"/>
  <c r="E5" i="5" s="1"/>
  <c r="E6" i="5" a="1"/>
  <c r="E6" i="5" s="1"/>
  <c r="E7" i="5" a="1"/>
  <c r="E7" i="5" s="1"/>
  <c r="E8" i="5" a="1"/>
  <c r="E8" i="5" s="1"/>
  <c r="E9" i="5" a="1"/>
  <c r="E9" i="5" s="1"/>
  <c r="E10" i="5" a="1"/>
  <c r="E10" i="5" s="1"/>
  <c r="E11" i="5" a="1"/>
  <c r="E11" i="5" s="1"/>
  <c r="E12" i="5" a="1"/>
  <c r="E12" i="5" s="1"/>
  <c r="E13" i="5" a="1"/>
  <c r="E13" i="5" s="1"/>
  <c r="E14" i="5" a="1"/>
  <c r="E14" i="5" s="1"/>
  <c r="E15" i="5" a="1"/>
  <c r="E15" i="5" s="1"/>
  <c r="E16" i="5" a="1"/>
  <c r="E16" i="5" s="1"/>
  <c r="E17" i="5" a="1"/>
  <c r="E17" i="5" s="1"/>
  <c r="E18" i="5" a="1"/>
  <c r="E18" i="5" s="1"/>
  <c r="E19" i="5" a="1"/>
  <c r="E19" i="5" s="1"/>
  <c r="E20" i="5" a="1"/>
  <c r="E20" i="5" s="1"/>
  <c r="E21" i="5" a="1"/>
  <c r="E21" i="5" s="1"/>
  <c r="E22" i="5" a="1"/>
  <c r="E22" i="5" s="1"/>
  <c r="E23" i="5" a="1"/>
  <c r="E23" i="5" s="1"/>
  <c r="E24" i="5" a="1"/>
  <c r="E24" i="5"/>
  <c r="E25" i="5" a="1"/>
  <c r="E25" i="5" s="1"/>
  <c r="E26" i="5" a="1"/>
  <c r="E26" i="5"/>
  <c r="E27" i="5" a="1"/>
  <c r="E27" i="5" s="1"/>
  <c r="E28" i="5" a="1"/>
  <c r="E28" i="5" s="1"/>
  <c r="E29" i="5" a="1"/>
  <c r="E29" i="5" s="1"/>
  <c r="E30" i="5" a="1"/>
  <c r="E30" i="5" s="1"/>
  <c r="E31" i="5" a="1"/>
  <c r="E31" i="5" s="1"/>
  <c r="E32" i="5" a="1"/>
  <c r="E32" i="5" s="1"/>
  <c r="E33" i="5" a="1"/>
  <c r="E33" i="5" s="1"/>
  <c r="E34" i="5" a="1"/>
  <c r="E34" i="5" s="1"/>
  <c r="E35" i="5" a="1"/>
  <c r="E35" i="5" s="1"/>
  <c r="E36" i="5" a="1"/>
  <c r="E36" i="5" s="1"/>
  <c r="E37" i="5" a="1"/>
  <c r="E37" i="5" s="1"/>
  <c r="E38" i="5" a="1"/>
  <c r="E38" i="5"/>
  <c r="E39" i="5" a="1"/>
  <c r="E39" i="5" s="1"/>
  <c r="E40" i="5" a="1"/>
  <c r="E40" i="5"/>
  <c r="E41" i="5" a="1"/>
  <c r="E41" i="5" s="1"/>
  <c r="E42" i="5" a="1"/>
  <c r="E42" i="5"/>
  <c r="E43" i="5" a="1"/>
  <c r="E43" i="5" s="1"/>
  <c r="E44" i="5" a="1"/>
  <c r="E44" i="5" s="1"/>
  <c r="E45" i="5" a="1"/>
  <c r="E45" i="5" s="1"/>
  <c r="E46" i="5" a="1"/>
  <c r="E46" i="5" s="1"/>
  <c r="E47" i="5" a="1"/>
  <c r="E47" i="5" s="1"/>
  <c r="E48" i="5" a="1"/>
  <c r="E48" i="5" s="1"/>
  <c r="E49" i="5" a="1"/>
  <c r="E49" i="5" s="1"/>
  <c r="E50" i="5" a="1"/>
  <c r="E50" i="5" s="1"/>
  <c r="E51" i="5" a="1"/>
  <c r="E51" i="5" s="1"/>
  <c r="E52" i="5" a="1"/>
  <c r="E52" i="5" s="1"/>
  <c r="E53" i="5" a="1"/>
  <c r="E53" i="5" s="1"/>
  <c r="E54" i="5" a="1"/>
  <c r="E54" i="5"/>
  <c r="E55" i="5" a="1"/>
  <c r="E55" i="5" s="1"/>
  <c r="E56" i="5" a="1"/>
  <c r="E56" i="5"/>
  <c r="E57" i="5" a="1"/>
  <c r="E57" i="5" s="1"/>
  <c r="E58" i="5" a="1"/>
  <c r="E58" i="5" s="1"/>
  <c r="E59" i="5" a="1"/>
  <c r="E59" i="5" s="1"/>
  <c r="E60" i="5" a="1"/>
  <c r="E60" i="5" s="1"/>
  <c r="E61" i="5" a="1"/>
  <c r="E61" i="5" s="1"/>
  <c r="E62" i="5" a="1"/>
  <c r="E62" i="5" s="1"/>
  <c r="E63" i="5" a="1"/>
  <c r="E63" i="5" s="1"/>
  <c r="E64" i="5" a="1"/>
  <c r="E64" i="5" s="1"/>
  <c r="E65" i="5" a="1"/>
  <c r="E65" i="5" s="1"/>
  <c r="E66" i="5" a="1"/>
  <c r="E66" i="5" s="1"/>
  <c r="E67" i="5" a="1"/>
  <c r="E67" i="5" s="1"/>
  <c r="E68" i="5" a="1"/>
  <c r="E68" i="5" s="1"/>
  <c r="E69" i="5" a="1"/>
  <c r="E69" i="5" s="1"/>
  <c r="E70" i="5" a="1"/>
  <c r="E70" i="5" s="1"/>
  <c r="E71" i="5" a="1"/>
  <c r="E71" i="5" s="1"/>
  <c r="E72" i="5" a="1"/>
  <c r="E72" i="5" s="1"/>
  <c r="E73" i="5" a="1"/>
  <c r="E73" i="5" s="1"/>
  <c r="E74" i="5" a="1"/>
  <c r="E74" i="5" s="1"/>
  <c r="E75" i="5" a="1"/>
  <c r="E75" i="5" s="1"/>
  <c r="E76" i="5" a="1"/>
  <c r="E76" i="5" s="1"/>
  <c r="E77" i="5" a="1"/>
  <c r="E77" i="5" s="1"/>
  <c r="E78" i="5" a="1"/>
  <c r="E78" i="5" s="1"/>
  <c r="E79" i="5" a="1"/>
  <c r="E79" i="5" s="1"/>
  <c r="E80" i="5" a="1"/>
  <c r="E80" i="5" s="1"/>
  <c r="E81" i="5" a="1"/>
  <c r="E81" i="5" s="1"/>
  <c r="E82" i="5" a="1"/>
  <c r="E82" i="5" s="1"/>
  <c r="E83" i="5" a="1"/>
  <c r="E83" i="5" s="1"/>
  <c r="E84" i="5" a="1"/>
  <c r="E84" i="5" s="1"/>
  <c r="E85" i="5" a="1"/>
  <c r="E85" i="5" s="1"/>
  <c r="E86" i="5" a="1"/>
  <c r="E86" i="5" s="1"/>
  <c r="E87" i="5" a="1"/>
  <c r="E87" i="5" s="1"/>
  <c r="E88" i="5" a="1"/>
  <c r="E88" i="5" s="1"/>
  <c r="E89" i="5" a="1"/>
  <c r="E89" i="5" s="1"/>
  <c r="E90" i="5" a="1"/>
  <c r="E90" i="5" s="1"/>
  <c r="E91" i="5" a="1"/>
  <c r="E91" i="5" s="1"/>
  <c r="E92" i="5" a="1"/>
  <c r="E92" i="5" s="1"/>
  <c r="E93" i="5" a="1"/>
  <c r="E93" i="5" s="1"/>
  <c r="E94" i="5" a="1"/>
  <c r="E94" i="5"/>
  <c r="E95" i="5" a="1"/>
  <c r="E95" i="5" s="1"/>
  <c r="E96" i="5" a="1"/>
  <c r="E96" i="5" s="1"/>
  <c r="E97" i="5" a="1"/>
  <c r="E97" i="5" s="1"/>
  <c r="E98" i="5" a="1"/>
  <c r="E98" i="5" s="1"/>
  <c r="E99" i="5" a="1"/>
  <c r="E99" i="5" s="1"/>
  <c r="E100" i="5" a="1"/>
  <c r="E100" i="5" s="1"/>
  <c r="E101" i="5" a="1"/>
  <c r="E101" i="5" s="1"/>
  <c r="E102" i="5" a="1"/>
  <c r="E102" i="5" s="1"/>
  <c r="E103" i="5" a="1"/>
  <c r="E103" i="5" s="1"/>
  <c r="E104" i="5" a="1"/>
  <c r="E104" i="5" s="1"/>
  <c r="E105" i="5" a="1"/>
  <c r="E105" i="5" s="1"/>
  <c r="E106" i="5" a="1"/>
  <c r="E106" i="5"/>
  <c r="E107" i="5" a="1"/>
  <c r="E107" i="5" s="1"/>
  <c r="E108" i="5" a="1"/>
  <c r="E108" i="5" s="1"/>
  <c r="E109" i="5" a="1"/>
  <c r="E109" i="5" s="1"/>
  <c r="E110" i="5" a="1"/>
  <c r="E110" i="5" s="1"/>
  <c r="E111" i="5" a="1"/>
  <c r="E111" i="5" s="1"/>
  <c r="E112" i="5" a="1"/>
  <c r="E112" i="5" s="1"/>
  <c r="E113" i="5" a="1"/>
  <c r="E113" i="5" s="1"/>
  <c r="E114" i="5" a="1"/>
  <c r="E114" i="5" s="1"/>
  <c r="E115" i="5" a="1"/>
  <c r="E115" i="5" s="1"/>
  <c r="E116" i="5" a="1"/>
  <c r="E116" i="5" s="1"/>
  <c r="E117" i="5" a="1"/>
  <c r="E117" i="5" s="1"/>
  <c r="E118" i="5" a="1"/>
  <c r="E118" i="5" s="1"/>
  <c r="E119" i="5" a="1"/>
  <c r="E119" i="5" s="1"/>
  <c r="E120" i="5" a="1"/>
  <c r="E120" i="5" s="1"/>
  <c r="E121" i="5" a="1"/>
  <c r="E121" i="5" s="1"/>
  <c r="E122" i="5" a="1"/>
  <c r="E122" i="5"/>
  <c r="E123" i="5" a="1"/>
  <c r="E123" i="5" s="1"/>
  <c r="E124" i="5" a="1"/>
  <c r="E124" i="5" s="1"/>
  <c r="E125" i="5" a="1"/>
  <c r="E125" i="5" s="1"/>
  <c r="E126" i="5" a="1"/>
  <c r="E126" i="5" s="1"/>
  <c r="E127" i="5" a="1"/>
  <c r="E127" i="5" s="1"/>
  <c r="E128" i="5" a="1"/>
  <c r="E128" i="5" s="1"/>
  <c r="E129" i="5" a="1"/>
  <c r="E129" i="5" s="1"/>
  <c r="E130" i="5" a="1"/>
  <c r="E130" i="5" s="1"/>
  <c r="E131" i="5" a="1"/>
  <c r="E131" i="5" s="1"/>
  <c r="E132" i="5" a="1"/>
  <c r="E132" i="5" s="1"/>
  <c r="E133" i="5" a="1"/>
  <c r="E133" i="5" s="1"/>
  <c r="E134" i="5" a="1"/>
  <c r="E134" i="5" s="1"/>
  <c r="E135" i="5" a="1"/>
  <c r="E135" i="5" s="1"/>
  <c r="E136" i="5" a="1"/>
  <c r="E136" i="5" s="1"/>
  <c r="E137" i="5" a="1"/>
  <c r="E137" i="5" s="1"/>
  <c r="E138" i="5" a="1"/>
  <c r="E138" i="5" s="1"/>
  <c r="E139" i="5" a="1"/>
  <c r="E139" i="5" s="1"/>
  <c r="E140" i="5" a="1"/>
  <c r="E140" i="5" s="1"/>
  <c r="E141" i="5" a="1"/>
  <c r="E141" i="5" s="1"/>
  <c r="E142" i="5" a="1"/>
  <c r="E142" i="5" s="1"/>
  <c r="E143" i="5" a="1"/>
  <c r="E143" i="5" s="1"/>
  <c r="E144" i="5" a="1"/>
  <c r="E144" i="5" s="1"/>
  <c r="E145" i="5" a="1"/>
  <c r="E145" i="5" s="1"/>
  <c r="E146" i="5" a="1"/>
  <c r="E146" i="5" s="1"/>
  <c r="E147" i="5" a="1"/>
  <c r="E147" i="5" s="1"/>
  <c r="E148" i="5" a="1"/>
  <c r="E148" i="5" s="1"/>
  <c r="E149" i="5" a="1"/>
  <c r="E149" i="5" s="1"/>
  <c r="E150" i="5" a="1"/>
  <c r="E150" i="5" s="1"/>
  <c r="E151" i="5" a="1"/>
  <c r="E151" i="5" s="1"/>
  <c r="E152" i="5" a="1"/>
  <c r="E152" i="5" s="1"/>
  <c r="E153" i="5" a="1"/>
  <c r="E153" i="5" s="1"/>
  <c r="E154" i="5" a="1"/>
  <c r="E154" i="5" s="1"/>
  <c r="E155" i="5" a="1"/>
  <c r="E155" i="5" s="1"/>
  <c r="E156" i="5" a="1"/>
  <c r="E156" i="5" s="1"/>
  <c r="E157" i="5" a="1"/>
  <c r="E157" i="5" s="1"/>
  <c r="E158" i="5" a="1"/>
  <c r="E158" i="5"/>
  <c r="E159" i="5" a="1"/>
  <c r="E159" i="5" s="1"/>
  <c r="E160" i="5" a="1"/>
  <c r="E160" i="5" s="1"/>
  <c r="E161" i="5" a="1"/>
  <c r="E161" i="5" s="1"/>
  <c r="E162" i="5" a="1"/>
  <c r="E162" i="5" s="1"/>
  <c r="E163" i="5" a="1"/>
  <c r="E163" i="5" s="1"/>
  <c r="E164" i="5" a="1"/>
  <c r="E164" i="5" s="1"/>
  <c r="E165" i="5" a="1"/>
  <c r="E165" i="5" s="1"/>
  <c r="E166" i="5" a="1"/>
  <c r="E166" i="5" s="1"/>
  <c r="E167" i="5" a="1"/>
  <c r="E167" i="5" s="1"/>
  <c r="E168" i="5" a="1"/>
  <c r="E168" i="5" s="1"/>
  <c r="E169" i="5" a="1"/>
  <c r="E169" i="5" s="1"/>
  <c r="E170" i="5" a="1"/>
  <c r="E170" i="5" s="1"/>
  <c r="E171" i="5" a="1"/>
  <c r="E171" i="5" s="1"/>
  <c r="E172" i="5" a="1"/>
  <c r="E172" i="5" s="1"/>
  <c r="E173" i="5" a="1"/>
  <c r="E173" i="5" s="1"/>
  <c r="E174" i="5" a="1"/>
  <c r="E174" i="5" s="1"/>
  <c r="E175" i="5" a="1"/>
  <c r="E175" i="5" s="1"/>
  <c r="E176" i="5" a="1"/>
  <c r="E176" i="5" s="1"/>
  <c r="E177" i="5" a="1"/>
  <c r="E177" i="5" s="1"/>
  <c r="E178" i="5" a="1"/>
  <c r="E178" i="5" s="1"/>
  <c r="E179" i="5" a="1"/>
  <c r="E179" i="5" s="1"/>
  <c r="E180" i="5" a="1"/>
  <c r="E180" i="5" s="1"/>
  <c r="E181" i="5" a="1"/>
  <c r="E181" i="5" s="1"/>
  <c r="E182" i="5" a="1"/>
  <c r="E182" i="5" s="1"/>
  <c r="E183" i="5" a="1"/>
  <c r="E183" i="5" s="1"/>
  <c r="E184" i="5" a="1"/>
  <c r="E184" i="5" s="1"/>
  <c r="E185" i="5" a="1"/>
  <c r="E185" i="5" s="1"/>
  <c r="E186" i="5" a="1"/>
  <c r="E186" i="5"/>
  <c r="E187" i="5" a="1"/>
  <c r="E187" i="5" s="1"/>
  <c r="E188" i="5" a="1"/>
  <c r="E188" i="5" s="1"/>
  <c r="E189" i="5" a="1"/>
  <c r="E189" i="5" s="1"/>
  <c r="E190" i="5" a="1"/>
  <c r="E190" i="5" s="1"/>
  <c r="E191" i="5" a="1"/>
  <c r="E191" i="5" s="1"/>
  <c r="E192" i="5" a="1"/>
  <c r="E192" i="5" s="1"/>
  <c r="E193" i="5" a="1"/>
  <c r="E193" i="5" s="1"/>
  <c r="E194" i="5" a="1"/>
  <c r="E194" i="5" s="1"/>
  <c r="E195" i="5" a="1"/>
  <c r="E195" i="5" s="1"/>
  <c r="E196" i="5" a="1"/>
  <c r="E196" i="5" s="1"/>
  <c r="E197" i="5" a="1"/>
  <c r="E197" i="5" s="1"/>
  <c r="E198" i="5" a="1"/>
  <c r="E198" i="5" s="1"/>
  <c r="E199" i="5" a="1"/>
  <c r="E199" i="5" s="1"/>
  <c r="E200" i="5" a="1"/>
  <c r="E200" i="5" s="1"/>
  <c r="E201" i="5" a="1"/>
  <c r="E201" i="5" s="1"/>
  <c r="E202" i="5" a="1"/>
  <c r="E202" i="5" s="1"/>
  <c r="E203" i="5" a="1"/>
  <c r="E203" i="5" s="1"/>
  <c r="E204" i="5" a="1"/>
  <c r="E204" i="5" s="1"/>
  <c r="E205" i="5" a="1"/>
  <c r="E205" i="5" s="1"/>
  <c r="E206" i="5" a="1"/>
  <c r="E206" i="5" s="1"/>
  <c r="E207" i="5" a="1"/>
  <c r="E207" i="5" s="1"/>
  <c r="E208" i="5" a="1"/>
  <c r="E208" i="5" s="1"/>
  <c r="E209" i="5" a="1"/>
  <c r="E209" i="5" s="1"/>
  <c r="E210" i="5" a="1"/>
  <c r="E210" i="5" s="1"/>
  <c r="E211" i="5" a="1"/>
  <c r="E211" i="5" s="1"/>
  <c r="E212" i="5" a="1"/>
  <c r="E212" i="5" s="1"/>
  <c r="E213" i="5" a="1"/>
  <c r="E213" i="5" s="1"/>
  <c r="E214" i="5" a="1"/>
  <c r="E214" i="5" s="1"/>
  <c r="E215" i="5" a="1"/>
  <c r="E215" i="5" s="1"/>
  <c r="E216" i="5" a="1"/>
  <c r="E216" i="5" s="1"/>
  <c r="E217" i="5" a="1"/>
  <c r="E217" i="5" s="1"/>
  <c r="E218" i="5" a="1"/>
  <c r="E218" i="5" s="1"/>
  <c r="E219" i="5" a="1"/>
  <c r="E219" i="5" s="1"/>
  <c r="E220" i="5" a="1"/>
  <c r="E220" i="5" s="1"/>
  <c r="E221" i="5" a="1"/>
  <c r="E221" i="5" s="1"/>
  <c r="E222" i="5" a="1"/>
  <c r="E222" i="5"/>
  <c r="E223" i="5" a="1"/>
  <c r="E223" i="5" s="1"/>
  <c r="E224" i="5" a="1"/>
  <c r="E224" i="5" s="1"/>
  <c r="E225" i="5" a="1"/>
  <c r="E225" i="5" s="1"/>
  <c r="E226" i="5" a="1"/>
  <c r="E226" i="5" s="1"/>
  <c r="E227" i="5" a="1"/>
  <c r="E227" i="5" s="1"/>
  <c r="E228" i="5" a="1"/>
  <c r="E228" i="5" s="1"/>
  <c r="E229" i="5" a="1"/>
  <c r="E229" i="5" s="1"/>
  <c r="E230" i="5" a="1"/>
  <c r="E230" i="5" s="1"/>
  <c r="E231" i="5" a="1"/>
  <c r="E231" i="5" s="1"/>
  <c r="E232" i="5" a="1"/>
  <c r="E232" i="5" s="1"/>
  <c r="E233" i="5" a="1"/>
  <c r="E233" i="5" s="1"/>
  <c r="E234" i="5" a="1"/>
  <c r="E234" i="5"/>
  <c r="E235" i="5" a="1"/>
  <c r="E235" i="5" s="1"/>
  <c r="E236" i="5" a="1"/>
  <c r="E236" i="5" s="1"/>
  <c r="E237" i="5" a="1"/>
  <c r="E237" i="5" s="1"/>
  <c r="E238" i="5" a="1"/>
  <c r="E238" i="5" s="1"/>
  <c r="E239" i="5" a="1"/>
  <c r="E239" i="5" s="1"/>
  <c r="E240" i="5" a="1"/>
  <c r="E240" i="5" s="1"/>
  <c r="E241" i="5" a="1"/>
  <c r="E241" i="5" s="1"/>
  <c r="E242" i="5" a="1"/>
  <c r="E242" i="5" s="1"/>
  <c r="E243" i="5" a="1"/>
  <c r="E243" i="5" s="1"/>
  <c r="E244" i="5" a="1"/>
  <c r="E244" i="5" s="1"/>
  <c r="E245" i="5" a="1"/>
  <c r="E245" i="5" s="1"/>
  <c r="E246" i="5" a="1"/>
  <c r="E246" i="5" s="1"/>
  <c r="E247" i="5" a="1"/>
  <c r="E247" i="5" s="1"/>
  <c r="E248" i="5" a="1"/>
  <c r="E248" i="5" s="1"/>
  <c r="E249" i="5" a="1"/>
  <c r="E249" i="5" s="1"/>
  <c r="E250" i="5" a="1"/>
  <c r="E250" i="5"/>
  <c r="E251" i="5" a="1"/>
  <c r="E251" i="5" s="1"/>
  <c r="E252" i="5" a="1"/>
  <c r="E252" i="5" s="1"/>
  <c r="E253" i="5" a="1"/>
  <c r="E253" i="5" s="1"/>
  <c r="E254" i="5" a="1"/>
  <c r="E254" i="5" s="1"/>
  <c r="E255" i="5" a="1"/>
  <c r="E255" i="5" s="1"/>
  <c r="E256" i="5" a="1"/>
  <c r="E256" i="5" s="1"/>
  <c r="E257" i="5" a="1"/>
  <c r="E257" i="5" s="1"/>
  <c r="E258" i="5" a="1"/>
  <c r="E258" i="5" s="1"/>
  <c r="E259" i="5" a="1"/>
  <c r="E259" i="5" s="1"/>
  <c r="E260" i="5" a="1"/>
  <c r="E260" i="5" s="1"/>
  <c r="E261" i="5" a="1"/>
  <c r="E261" i="5" s="1"/>
  <c r="E262" i="5" a="1"/>
  <c r="E262" i="5" s="1"/>
  <c r="E263" i="5" a="1"/>
  <c r="E263" i="5" s="1"/>
  <c r="E264" i="5" a="1"/>
  <c r="E264" i="5" s="1"/>
  <c r="E265" i="5" a="1"/>
  <c r="E265" i="5" s="1"/>
  <c r="E266" i="5" a="1"/>
  <c r="E266" i="5" s="1"/>
  <c r="E267" i="5" a="1"/>
  <c r="E267" i="5" s="1"/>
  <c r="E268" i="5" a="1"/>
  <c r="E268" i="5" s="1"/>
  <c r="E269" i="5" a="1"/>
  <c r="E269" i="5" s="1"/>
  <c r="E270" i="5" a="1"/>
  <c r="E270" i="5" s="1"/>
  <c r="E271" i="5" a="1"/>
  <c r="E271" i="5" s="1"/>
  <c r="E272" i="5" a="1"/>
  <c r="E272" i="5" s="1"/>
  <c r="E273" i="5" a="1"/>
  <c r="E273" i="5" s="1"/>
  <c r="E274" i="5" a="1"/>
  <c r="E274" i="5" s="1"/>
  <c r="E275" i="5" a="1"/>
  <c r="E275" i="5" s="1"/>
  <c r="E276" i="5" a="1"/>
  <c r="E276" i="5" s="1"/>
  <c r="E277" i="5" a="1"/>
  <c r="E277" i="5" s="1"/>
  <c r="E278" i="5" a="1"/>
  <c r="E278" i="5" s="1"/>
  <c r="E279" i="5" a="1"/>
  <c r="E279" i="5" s="1"/>
  <c r="E280" i="5" a="1"/>
  <c r="E280" i="5" s="1"/>
  <c r="E281" i="5" a="1"/>
  <c r="E281" i="5" s="1"/>
  <c r="E282" i="5" a="1"/>
  <c r="E282" i="5" s="1"/>
  <c r="E283" i="5" a="1"/>
  <c r="E283" i="5" s="1"/>
  <c r="E284" i="5" a="1"/>
  <c r="E284" i="5" s="1"/>
  <c r="E285" i="5" a="1"/>
  <c r="E285" i="5" s="1"/>
  <c r="E286" i="5" a="1"/>
  <c r="E286" i="5"/>
  <c r="E287" i="5" a="1"/>
  <c r="E287" i="5" s="1"/>
  <c r="E288" i="5" a="1"/>
  <c r="E288" i="5" s="1"/>
  <c r="E289" i="5" a="1"/>
  <c r="E289" i="5" s="1"/>
  <c r="E290" i="5" a="1"/>
  <c r="E290" i="5" s="1"/>
  <c r="E291" i="5" a="1"/>
  <c r="E291" i="5" s="1"/>
  <c r="E292" i="5" a="1"/>
  <c r="E292" i="5" s="1"/>
  <c r="E293" i="5" a="1"/>
  <c r="E293" i="5" s="1"/>
  <c r="E294" i="5" a="1"/>
  <c r="E294" i="5" s="1"/>
  <c r="E295" i="5" a="1"/>
  <c r="E295" i="5" s="1"/>
  <c r="E296" i="5" a="1"/>
  <c r="E296" i="5" s="1"/>
  <c r="E297" i="5" a="1"/>
  <c r="E297" i="5" s="1"/>
  <c r="E298" i="5" a="1"/>
  <c r="E298" i="5" s="1"/>
  <c r="E299" i="5" a="1"/>
  <c r="E299" i="5" s="1"/>
  <c r="E300" i="5" a="1"/>
  <c r="E300" i="5" s="1"/>
  <c r="E2" i="5" a="1"/>
  <c r="E2" i="5" s="1"/>
  <c r="D3" i="5" a="1"/>
  <c r="D3" i="5" s="1"/>
  <c r="D4" i="5" a="1"/>
  <c r="D4" i="5" s="1"/>
  <c r="D5" i="5" a="1"/>
  <c r="D5" i="5" s="1"/>
  <c r="D6" i="5" a="1"/>
  <c r="D6" i="5"/>
  <c r="D7" i="5" a="1"/>
  <c r="D7" i="5" s="1"/>
  <c r="D8" i="5" a="1"/>
  <c r="D8" i="5" s="1"/>
  <c r="D9" i="5" a="1"/>
  <c r="D9" i="5" s="1"/>
  <c r="D10" i="5" a="1"/>
  <c r="D10" i="5"/>
  <c r="D11" i="5" a="1"/>
  <c r="D11" i="5" s="1"/>
  <c r="D12" i="5" a="1"/>
  <c r="D12" i="5" s="1"/>
  <c r="D13" i="5" a="1"/>
  <c r="D13" i="5" s="1"/>
  <c r="D14" i="5" a="1"/>
  <c r="D14" i="5"/>
  <c r="D15" i="5" a="1"/>
  <c r="D15" i="5" s="1"/>
  <c r="D16" i="5" a="1"/>
  <c r="D16" i="5" s="1"/>
  <c r="D17" i="5" a="1"/>
  <c r="D17" i="5" s="1"/>
  <c r="D18" i="5" a="1"/>
  <c r="D18" i="5"/>
  <c r="D19" i="5" a="1"/>
  <c r="D19" i="5" s="1"/>
  <c r="D20" i="5" a="1"/>
  <c r="D20" i="5" s="1"/>
  <c r="D21" i="5" a="1"/>
  <c r="D21" i="5" s="1"/>
  <c r="D22" i="5" a="1"/>
  <c r="D22" i="5"/>
  <c r="D23" i="5" a="1"/>
  <c r="D23" i="5" s="1"/>
  <c r="D24" i="5" a="1"/>
  <c r="D24" i="5" s="1"/>
  <c r="D25" i="5" a="1"/>
  <c r="D25" i="5" s="1"/>
  <c r="D26" i="5" a="1"/>
  <c r="D26" i="5"/>
  <c r="D27" i="5" a="1"/>
  <c r="D27" i="5" s="1"/>
  <c r="D28" i="5" a="1"/>
  <c r="D28" i="5" s="1"/>
  <c r="D29" i="5" a="1"/>
  <c r="D29" i="5" s="1"/>
  <c r="D30" i="5" a="1"/>
  <c r="D30" i="5"/>
  <c r="D31" i="5" a="1"/>
  <c r="D31" i="5" s="1"/>
  <c r="D32" i="5" a="1"/>
  <c r="D32" i="5" s="1"/>
  <c r="D33" i="5" a="1"/>
  <c r="D33" i="5" s="1"/>
  <c r="D34" i="5" a="1"/>
  <c r="D34" i="5"/>
  <c r="D35" i="5" a="1"/>
  <c r="D35" i="5" s="1"/>
  <c r="D36" i="5" a="1"/>
  <c r="D36" i="5" s="1"/>
  <c r="D37" i="5" a="1"/>
  <c r="D37" i="5" s="1"/>
  <c r="D38" i="5" a="1"/>
  <c r="D38" i="5"/>
  <c r="D39" i="5" a="1"/>
  <c r="D39" i="5" s="1"/>
  <c r="D40" i="5" a="1"/>
  <c r="D40" i="5" s="1"/>
  <c r="D41" i="5" a="1"/>
  <c r="D41" i="5" s="1"/>
  <c r="D42" i="5" a="1"/>
  <c r="D42" i="5"/>
  <c r="D43" i="5" a="1"/>
  <c r="D43" i="5" s="1"/>
  <c r="D44" i="5" a="1"/>
  <c r="D44" i="5" s="1"/>
  <c r="D45" i="5" a="1"/>
  <c r="D45" i="5" s="1"/>
  <c r="D46" i="5" a="1"/>
  <c r="D46" i="5"/>
  <c r="D47" i="5" a="1"/>
  <c r="D47" i="5" s="1"/>
  <c r="D48" i="5" a="1"/>
  <c r="D48" i="5" s="1"/>
  <c r="D49" i="5" a="1"/>
  <c r="D49" i="5" s="1"/>
  <c r="D50" i="5" a="1"/>
  <c r="D50" i="5"/>
  <c r="D51" i="5" a="1"/>
  <c r="D51" i="5" s="1"/>
  <c r="D52" i="5" a="1"/>
  <c r="D52" i="5" s="1"/>
  <c r="D53" i="5" a="1"/>
  <c r="D53" i="5" s="1"/>
  <c r="D54" i="5" a="1"/>
  <c r="D54" i="5"/>
  <c r="D55" i="5" a="1"/>
  <c r="D55" i="5" s="1"/>
  <c r="D56" i="5" a="1"/>
  <c r="D56" i="5" s="1"/>
  <c r="D57" i="5" a="1"/>
  <c r="D57" i="5" s="1"/>
  <c r="D58" i="5" a="1"/>
  <c r="D58" i="5"/>
  <c r="D59" i="5" a="1"/>
  <c r="D59" i="5" s="1"/>
  <c r="D60" i="5" a="1"/>
  <c r="D60" i="5" s="1"/>
  <c r="D61" i="5" a="1"/>
  <c r="D61" i="5" s="1"/>
  <c r="D62" i="5" a="1"/>
  <c r="D62" i="5"/>
  <c r="D63" i="5" a="1"/>
  <c r="D63" i="5" s="1"/>
  <c r="D64" i="5" a="1"/>
  <c r="D64" i="5" s="1"/>
  <c r="D65" i="5" a="1"/>
  <c r="D65" i="5" s="1"/>
  <c r="D66" i="5" a="1"/>
  <c r="D66" i="5"/>
  <c r="D67" i="5" a="1"/>
  <c r="D67" i="5" s="1"/>
  <c r="D68" i="5" a="1"/>
  <c r="D68" i="5" s="1"/>
  <c r="D69" i="5" a="1"/>
  <c r="D69" i="5" s="1"/>
  <c r="D70" i="5" a="1"/>
  <c r="D70" i="5"/>
  <c r="D71" i="5" a="1"/>
  <c r="D71" i="5" s="1"/>
  <c r="D72" i="5" a="1"/>
  <c r="D72" i="5" s="1"/>
  <c r="D73" i="5" a="1"/>
  <c r="D73" i="5" s="1"/>
  <c r="D74" i="5" a="1"/>
  <c r="D74" i="5"/>
  <c r="D75" i="5" a="1"/>
  <c r="D75" i="5" s="1"/>
  <c r="D76" i="5" a="1"/>
  <c r="D76" i="5" s="1"/>
  <c r="D77" i="5" a="1"/>
  <c r="D77" i="5" s="1"/>
  <c r="D78" i="5" a="1"/>
  <c r="D78" i="5"/>
  <c r="D79" i="5" a="1"/>
  <c r="D79" i="5" s="1"/>
  <c r="D80" i="5" a="1"/>
  <c r="D80" i="5" s="1"/>
  <c r="D81" i="5" a="1"/>
  <c r="D81" i="5" s="1"/>
  <c r="D82" i="5" a="1"/>
  <c r="D82" i="5"/>
  <c r="D83" i="5" a="1"/>
  <c r="D83" i="5" s="1"/>
  <c r="D84" i="5" a="1"/>
  <c r="D84" i="5" s="1"/>
  <c r="D85" i="5" a="1"/>
  <c r="D85" i="5" s="1"/>
  <c r="D86" i="5" a="1"/>
  <c r="D86" i="5"/>
  <c r="D87" i="5" a="1"/>
  <c r="D87" i="5" s="1"/>
  <c r="D88" i="5" a="1"/>
  <c r="D88" i="5" s="1"/>
  <c r="D89" i="5" a="1"/>
  <c r="D89" i="5" s="1"/>
  <c r="D90" i="5" a="1"/>
  <c r="D90" i="5"/>
  <c r="D91" i="5" a="1"/>
  <c r="D91" i="5" s="1"/>
  <c r="D92" i="5" a="1"/>
  <c r="D92" i="5" s="1"/>
  <c r="D93" i="5" a="1"/>
  <c r="D93" i="5" s="1"/>
  <c r="D94" i="5" a="1"/>
  <c r="D94" i="5"/>
  <c r="D95" i="5" a="1"/>
  <c r="D95" i="5" s="1"/>
  <c r="D96" i="5" a="1"/>
  <c r="D96" i="5" s="1"/>
  <c r="D97" i="5" a="1"/>
  <c r="D97" i="5" s="1"/>
  <c r="D98" i="5" a="1"/>
  <c r="D98" i="5"/>
  <c r="D99" i="5" a="1"/>
  <c r="D99" i="5" s="1"/>
  <c r="D100" i="5" a="1"/>
  <c r="D100" i="5" s="1"/>
  <c r="D101" i="5" a="1"/>
  <c r="D101" i="5" s="1"/>
  <c r="D102" i="5" a="1"/>
  <c r="D102" i="5"/>
  <c r="D103" i="5" a="1"/>
  <c r="D103" i="5" s="1"/>
  <c r="D104" i="5" a="1"/>
  <c r="D104" i="5" s="1"/>
  <c r="D105" i="5" a="1"/>
  <c r="D105" i="5" s="1"/>
  <c r="D106" i="5" a="1"/>
  <c r="D106" i="5"/>
  <c r="D107" i="5" a="1"/>
  <c r="D107" i="5" s="1"/>
  <c r="D108" i="5" a="1"/>
  <c r="D108" i="5" s="1"/>
  <c r="D109" i="5" a="1"/>
  <c r="D109" i="5" s="1"/>
  <c r="D110" i="5" a="1"/>
  <c r="D110" i="5"/>
  <c r="D111" i="5" a="1"/>
  <c r="D111" i="5" s="1"/>
  <c r="D112" i="5" a="1"/>
  <c r="D112" i="5" s="1"/>
  <c r="D113" i="5" a="1"/>
  <c r="D113" i="5" s="1"/>
  <c r="D114" i="5" a="1"/>
  <c r="D114" i="5"/>
  <c r="D115" i="5" a="1"/>
  <c r="D115" i="5" s="1"/>
  <c r="D116" i="5" a="1"/>
  <c r="D116" i="5" s="1"/>
  <c r="D117" i="5" a="1"/>
  <c r="D117" i="5" s="1"/>
  <c r="D118" i="5" a="1"/>
  <c r="D118" i="5"/>
  <c r="D119" i="5" a="1"/>
  <c r="D119" i="5" s="1"/>
  <c r="D120" i="5" a="1"/>
  <c r="D120" i="5" s="1"/>
  <c r="D121" i="5" a="1"/>
  <c r="D121" i="5" s="1"/>
  <c r="D122" i="5" a="1"/>
  <c r="D122" i="5"/>
  <c r="D123" i="5" a="1"/>
  <c r="D123" i="5" s="1"/>
  <c r="D124" i="5" a="1"/>
  <c r="D124" i="5" s="1"/>
  <c r="D125" i="5" a="1"/>
  <c r="D125" i="5" s="1"/>
  <c r="D126" i="5" a="1"/>
  <c r="D126" i="5"/>
  <c r="D127" i="5" a="1"/>
  <c r="D127" i="5" s="1"/>
  <c r="D128" i="5" a="1"/>
  <c r="D128" i="5" s="1"/>
  <c r="D129" i="5" a="1"/>
  <c r="D129" i="5" s="1"/>
  <c r="D130" i="5" a="1"/>
  <c r="D130" i="5"/>
  <c r="D131" i="5" a="1"/>
  <c r="D131" i="5" s="1"/>
  <c r="D132" i="5" a="1"/>
  <c r="D132" i="5" s="1"/>
  <c r="D133" i="5" a="1"/>
  <c r="D133" i="5" s="1"/>
  <c r="D134" i="5" a="1"/>
  <c r="D134" i="5"/>
  <c r="D135" i="5" a="1"/>
  <c r="D135" i="5" s="1"/>
  <c r="D136" i="5" a="1"/>
  <c r="D136" i="5" s="1"/>
  <c r="D137" i="5" a="1"/>
  <c r="D137" i="5" s="1"/>
  <c r="D138" i="5" a="1"/>
  <c r="D138" i="5"/>
  <c r="D139" i="5" a="1"/>
  <c r="D139" i="5" s="1"/>
  <c r="D140" i="5" a="1"/>
  <c r="D140" i="5" s="1"/>
  <c r="D141" i="5" a="1"/>
  <c r="D141" i="5" s="1"/>
  <c r="D142" i="5" a="1"/>
  <c r="D142" i="5"/>
  <c r="D143" i="5" a="1"/>
  <c r="D143" i="5" s="1"/>
  <c r="D144" i="5" a="1"/>
  <c r="D144" i="5" s="1"/>
  <c r="D145" i="5" a="1"/>
  <c r="D145" i="5" s="1"/>
  <c r="D146" i="5" a="1"/>
  <c r="D146" i="5"/>
  <c r="D147" i="5" a="1"/>
  <c r="D147" i="5" s="1"/>
  <c r="D148" i="5" a="1"/>
  <c r="D148" i="5" s="1"/>
  <c r="D149" i="5" a="1"/>
  <c r="D149" i="5" s="1"/>
  <c r="D150" i="5" a="1"/>
  <c r="D150" i="5"/>
  <c r="D151" i="5" a="1"/>
  <c r="D151" i="5" s="1"/>
  <c r="D152" i="5" a="1"/>
  <c r="D152" i="5" s="1"/>
  <c r="D153" i="5" a="1"/>
  <c r="D153" i="5" s="1"/>
  <c r="D154" i="5" a="1"/>
  <c r="D154" i="5"/>
  <c r="D155" i="5" a="1"/>
  <c r="D155" i="5" s="1"/>
  <c r="D156" i="5" a="1"/>
  <c r="D156" i="5" s="1"/>
  <c r="D157" i="5" a="1"/>
  <c r="D157" i="5" s="1"/>
  <c r="D158" i="5" a="1"/>
  <c r="D158" i="5"/>
  <c r="D159" i="5" a="1"/>
  <c r="D159" i="5" s="1"/>
  <c r="D160" i="5" a="1"/>
  <c r="D160" i="5" s="1"/>
  <c r="D161" i="5" a="1"/>
  <c r="D161" i="5" s="1"/>
  <c r="D162" i="5" a="1"/>
  <c r="D162" i="5"/>
  <c r="D163" i="5" a="1"/>
  <c r="D163" i="5" s="1"/>
  <c r="D164" i="5" a="1"/>
  <c r="D164" i="5" s="1"/>
  <c r="D165" i="5" a="1"/>
  <c r="D165" i="5" s="1"/>
  <c r="D166" i="5" a="1"/>
  <c r="D166" i="5"/>
  <c r="D167" i="5" a="1"/>
  <c r="D167" i="5" s="1"/>
  <c r="D168" i="5" a="1"/>
  <c r="D168" i="5" s="1"/>
  <c r="D169" i="5" a="1"/>
  <c r="D169" i="5" s="1"/>
  <c r="D170" i="5" a="1"/>
  <c r="D170" i="5"/>
  <c r="D171" i="5" a="1"/>
  <c r="D171" i="5" s="1"/>
  <c r="D172" i="5" a="1"/>
  <c r="D172" i="5" s="1"/>
  <c r="D173" i="5" a="1"/>
  <c r="D173" i="5" s="1"/>
  <c r="D174" i="5" a="1"/>
  <c r="D174" i="5"/>
  <c r="D175" i="5" a="1"/>
  <c r="D175" i="5" s="1"/>
  <c r="D176" i="5" a="1"/>
  <c r="D176" i="5" s="1"/>
  <c r="D177" i="5" a="1"/>
  <c r="D177" i="5" s="1"/>
  <c r="D178" i="5" a="1"/>
  <c r="D178" i="5"/>
  <c r="D179" i="5" a="1"/>
  <c r="D179" i="5" s="1"/>
  <c r="D180" i="5" a="1"/>
  <c r="D180" i="5" s="1"/>
  <c r="D181" i="5" a="1"/>
  <c r="D181" i="5" s="1"/>
  <c r="D182" i="5" a="1"/>
  <c r="D182" i="5"/>
  <c r="D183" i="5" a="1"/>
  <c r="D183" i="5" s="1"/>
  <c r="D184" i="5" a="1"/>
  <c r="D184" i="5" s="1"/>
  <c r="D185" i="5" a="1"/>
  <c r="D185" i="5" s="1"/>
  <c r="D186" i="5" a="1"/>
  <c r="D186" i="5"/>
  <c r="D187" i="5" a="1"/>
  <c r="D187" i="5" s="1"/>
  <c r="D188" i="5" a="1"/>
  <c r="D188" i="5" s="1"/>
  <c r="D189" i="5" a="1"/>
  <c r="D189" i="5" s="1"/>
  <c r="D190" i="5" a="1"/>
  <c r="D190" i="5"/>
  <c r="D191" i="5" a="1"/>
  <c r="D191" i="5" s="1"/>
  <c r="D192" i="5" a="1"/>
  <c r="D192" i="5" s="1"/>
  <c r="D193" i="5" a="1"/>
  <c r="D193" i="5" s="1"/>
  <c r="D194" i="5" a="1"/>
  <c r="D194" i="5"/>
  <c r="D195" i="5" a="1"/>
  <c r="D195" i="5" s="1"/>
  <c r="D196" i="5" a="1"/>
  <c r="D196" i="5" s="1"/>
  <c r="D197" i="5" a="1"/>
  <c r="D197" i="5" s="1"/>
  <c r="D198" i="5" a="1"/>
  <c r="D198" i="5"/>
  <c r="D199" i="5" a="1"/>
  <c r="D199" i="5" s="1"/>
  <c r="D200" i="5" a="1"/>
  <c r="D200" i="5" s="1"/>
  <c r="D201" i="5" a="1"/>
  <c r="D201" i="5" s="1"/>
  <c r="D202" i="5" a="1"/>
  <c r="D202" i="5"/>
  <c r="D203" i="5" a="1"/>
  <c r="D203" i="5" s="1"/>
  <c r="D204" i="5" a="1"/>
  <c r="D204" i="5" s="1"/>
  <c r="D205" i="5" a="1"/>
  <c r="D205" i="5" s="1"/>
  <c r="D206" i="5" a="1"/>
  <c r="D206" i="5"/>
  <c r="D207" i="5" a="1"/>
  <c r="D207" i="5" s="1"/>
  <c r="D208" i="5" a="1"/>
  <c r="D208" i="5" s="1"/>
  <c r="D209" i="5" a="1"/>
  <c r="D209" i="5" s="1"/>
  <c r="D210" i="5" a="1"/>
  <c r="D210" i="5"/>
  <c r="D211" i="5" a="1"/>
  <c r="D211" i="5" s="1"/>
  <c r="D212" i="5" a="1"/>
  <c r="D212" i="5" s="1"/>
  <c r="D213" i="5" a="1"/>
  <c r="D213" i="5" s="1"/>
  <c r="D214" i="5" a="1"/>
  <c r="D214" i="5"/>
  <c r="D215" i="5" a="1"/>
  <c r="D215" i="5" s="1"/>
  <c r="D216" i="5" a="1"/>
  <c r="D216" i="5" s="1"/>
  <c r="D217" i="5" a="1"/>
  <c r="D217" i="5" s="1"/>
  <c r="D218" i="5" a="1"/>
  <c r="D218" i="5"/>
  <c r="D219" i="5" a="1"/>
  <c r="D219" i="5" s="1"/>
  <c r="D220" i="5" a="1"/>
  <c r="D220" i="5" s="1"/>
  <c r="D221" i="5" a="1"/>
  <c r="D221" i="5" s="1"/>
  <c r="D222" i="5" a="1"/>
  <c r="D222" i="5"/>
  <c r="D223" i="5" a="1"/>
  <c r="D223" i="5" s="1"/>
  <c r="D224" i="5" a="1"/>
  <c r="D224" i="5" s="1"/>
  <c r="D225" i="5" a="1"/>
  <c r="D225" i="5" s="1"/>
  <c r="D226" i="5" a="1"/>
  <c r="D226" i="5"/>
  <c r="D227" i="5" a="1"/>
  <c r="D227" i="5" s="1"/>
  <c r="D228" i="5" a="1"/>
  <c r="D228" i="5" s="1"/>
  <c r="D229" i="5" a="1"/>
  <c r="D229" i="5" s="1"/>
  <c r="D230" i="5" a="1"/>
  <c r="D230" i="5"/>
  <c r="D231" i="5" a="1"/>
  <c r="D231" i="5" s="1"/>
  <c r="D232" i="5" a="1"/>
  <c r="D232" i="5" s="1"/>
  <c r="D233" i="5" a="1"/>
  <c r="D233" i="5" s="1"/>
  <c r="D234" i="5" a="1"/>
  <c r="D234" i="5"/>
  <c r="D235" i="5" a="1"/>
  <c r="D235" i="5" s="1"/>
  <c r="D236" i="5" a="1"/>
  <c r="D236" i="5" s="1"/>
  <c r="D237" i="5" a="1"/>
  <c r="D237" i="5" s="1"/>
  <c r="D238" i="5" a="1"/>
  <c r="D238" i="5"/>
  <c r="D239" i="5" a="1"/>
  <c r="D239" i="5" s="1"/>
  <c r="D240" i="5" a="1"/>
  <c r="D240" i="5" s="1"/>
  <c r="D241" i="5" a="1"/>
  <c r="D241" i="5" s="1"/>
  <c r="D242" i="5" a="1"/>
  <c r="D242" i="5"/>
  <c r="D243" i="5" a="1"/>
  <c r="D243" i="5" s="1"/>
  <c r="D244" i="5" a="1"/>
  <c r="D244" i="5" s="1"/>
  <c r="D245" i="5" a="1"/>
  <c r="D245" i="5" s="1"/>
  <c r="D246" i="5" a="1"/>
  <c r="D246" i="5"/>
  <c r="D247" i="5" a="1"/>
  <c r="D247" i="5" s="1"/>
  <c r="D248" i="5" a="1"/>
  <c r="D248" i="5" s="1"/>
  <c r="D249" i="5" a="1"/>
  <c r="D249" i="5" s="1"/>
  <c r="D250" i="5" a="1"/>
  <c r="D250" i="5"/>
  <c r="D251" i="5" a="1"/>
  <c r="D251" i="5" s="1"/>
  <c r="D252" i="5" a="1"/>
  <c r="D252" i="5" s="1"/>
  <c r="D253" i="5" a="1"/>
  <c r="D253" i="5" s="1"/>
  <c r="D254" i="5" a="1"/>
  <c r="D254" i="5"/>
  <c r="D255" i="5" a="1"/>
  <c r="D255" i="5" s="1"/>
  <c r="D256" i="5" a="1"/>
  <c r="D256" i="5" s="1"/>
  <c r="D257" i="5" a="1"/>
  <c r="D257" i="5" s="1"/>
  <c r="D258" i="5" a="1"/>
  <c r="D258" i="5"/>
  <c r="D259" i="5" a="1"/>
  <c r="D259" i="5" s="1"/>
  <c r="D260" i="5" a="1"/>
  <c r="D260" i="5" s="1"/>
  <c r="D261" i="5" a="1"/>
  <c r="D261" i="5" s="1"/>
  <c r="D262" i="5" a="1"/>
  <c r="D262" i="5"/>
  <c r="D263" i="5" a="1"/>
  <c r="D263" i="5" s="1"/>
  <c r="D264" i="5" a="1"/>
  <c r="D264" i="5" s="1"/>
  <c r="D265" i="5" a="1"/>
  <c r="D265" i="5" s="1"/>
  <c r="D266" i="5" a="1"/>
  <c r="D266" i="5"/>
  <c r="D267" i="5" a="1"/>
  <c r="D267" i="5" s="1"/>
  <c r="D268" i="5" a="1"/>
  <c r="D268" i="5" s="1"/>
  <c r="D269" i="5" a="1"/>
  <c r="D269" i="5" s="1"/>
  <c r="D270" i="5" a="1"/>
  <c r="D270" i="5"/>
  <c r="D271" i="5" a="1"/>
  <c r="D271" i="5" s="1"/>
  <c r="D272" i="5" a="1"/>
  <c r="D272" i="5" s="1"/>
  <c r="D273" i="5" a="1"/>
  <c r="D273" i="5" s="1"/>
  <c r="D274" i="5" a="1"/>
  <c r="D274" i="5"/>
  <c r="D275" i="5" a="1"/>
  <c r="D275" i="5" s="1"/>
  <c r="D276" i="5" a="1"/>
  <c r="D276" i="5" s="1"/>
  <c r="D277" i="5" a="1"/>
  <c r="D277" i="5" s="1"/>
  <c r="D278" i="5" a="1"/>
  <c r="D278" i="5"/>
  <c r="D279" i="5" a="1"/>
  <c r="D279" i="5" s="1"/>
  <c r="D280" i="5" a="1"/>
  <c r="D280" i="5" s="1"/>
  <c r="D281" i="5" a="1"/>
  <c r="D281" i="5" s="1"/>
  <c r="D282" i="5" a="1"/>
  <c r="D282" i="5"/>
  <c r="D283" i="5" a="1"/>
  <c r="D283" i="5" s="1"/>
  <c r="D284" i="5" a="1"/>
  <c r="D284" i="5" s="1"/>
  <c r="D285" i="5" a="1"/>
  <c r="D285" i="5" s="1"/>
  <c r="D286" i="5" a="1"/>
  <c r="D286" i="5"/>
  <c r="D287" i="5" a="1"/>
  <c r="D287" i="5" s="1"/>
  <c r="D288" i="5" a="1"/>
  <c r="D288" i="5" s="1"/>
  <c r="D289" i="5" a="1"/>
  <c r="D289" i="5" s="1"/>
  <c r="D290" i="5" a="1"/>
  <c r="D290" i="5"/>
  <c r="D291" i="5" a="1"/>
  <c r="D291" i="5" s="1"/>
  <c r="D292" i="5" a="1"/>
  <c r="D292" i="5" s="1"/>
  <c r="D293" i="5" a="1"/>
  <c r="D293" i="5" s="1"/>
  <c r="D294" i="5" a="1"/>
  <c r="D294" i="5"/>
  <c r="D295" i="5" a="1"/>
  <c r="D295" i="5" s="1"/>
  <c r="D296" i="5" a="1"/>
  <c r="D296" i="5" s="1"/>
  <c r="D297" i="5" a="1"/>
  <c r="D297" i="5" s="1"/>
  <c r="D298" i="5" a="1"/>
  <c r="D298" i="5"/>
  <c r="D299" i="5" a="1"/>
  <c r="D299" i="5" s="1"/>
  <c r="D300" i="5" a="1"/>
  <c r="D300" i="5" s="1"/>
  <c r="D2" i="5" a="1"/>
  <c r="D2" i="5" s="1"/>
  <c r="C3" i="5" a="1"/>
  <c r="C3" i="5" s="1"/>
  <c r="C4" i="5" a="1"/>
  <c r="C4" i="5" s="1"/>
  <c r="C5" i="5" a="1"/>
  <c r="C5" i="5" s="1"/>
  <c r="C6" i="5" a="1"/>
  <c r="C6" i="5"/>
  <c r="C7" i="5" a="1"/>
  <c r="C7" i="5" s="1"/>
  <c r="C8" i="5" a="1"/>
  <c r="C8" i="5" s="1"/>
  <c r="C9" i="5" a="1"/>
  <c r="C9" i="5" s="1"/>
  <c r="C10" i="5" a="1"/>
  <c r="C10" i="5"/>
  <c r="C11" i="5" a="1"/>
  <c r="C11" i="5" s="1"/>
  <c r="C12" i="5" a="1"/>
  <c r="C12" i="5" s="1"/>
  <c r="C13" i="5" a="1"/>
  <c r="C13" i="5" s="1"/>
  <c r="C14" i="5" a="1"/>
  <c r="C14" i="5"/>
  <c r="C15" i="5" a="1"/>
  <c r="C15" i="5" s="1"/>
  <c r="C16" i="5" a="1"/>
  <c r="C16" i="5" s="1"/>
  <c r="C17" i="5" a="1"/>
  <c r="C17" i="5" s="1"/>
  <c r="C18" i="5" a="1"/>
  <c r="C18" i="5"/>
  <c r="C19" i="5" a="1"/>
  <c r="C19" i="5" s="1"/>
  <c r="C20" i="5" a="1"/>
  <c r="C20" i="5" s="1"/>
  <c r="C21" i="5" a="1"/>
  <c r="C21" i="5" s="1"/>
  <c r="C22" i="5" a="1"/>
  <c r="C22" i="5"/>
  <c r="C23" i="5" a="1"/>
  <c r="C23" i="5" s="1"/>
  <c r="C24" i="5" a="1"/>
  <c r="C24" i="5" s="1"/>
  <c r="C25" i="5" a="1"/>
  <c r="C25" i="5" s="1"/>
  <c r="C26" i="5" a="1"/>
  <c r="C26" i="5"/>
  <c r="C27" i="5" a="1"/>
  <c r="C27" i="5" s="1"/>
  <c r="C28" i="5" a="1"/>
  <c r="C28" i="5" s="1"/>
  <c r="C29" i="5" a="1"/>
  <c r="C29" i="5" s="1"/>
  <c r="C30" i="5" a="1"/>
  <c r="C30" i="5"/>
  <c r="C31" i="5" a="1"/>
  <c r="C31" i="5" s="1"/>
  <c r="C32" i="5" a="1"/>
  <c r="C32" i="5" s="1"/>
  <c r="C33" i="5" a="1"/>
  <c r="C33" i="5" s="1"/>
  <c r="C34" i="5" a="1"/>
  <c r="C34" i="5"/>
  <c r="C35" i="5" a="1"/>
  <c r="C35" i="5" s="1"/>
  <c r="C36" i="5" a="1"/>
  <c r="C36" i="5" s="1"/>
  <c r="C37" i="5" a="1"/>
  <c r="C37" i="5" s="1"/>
  <c r="C38" i="5" a="1"/>
  <c r="C38" i="5"/>
  <c r="C39" i="5" a="1"/>
  <c r="C39" i="5" s="1"/>
  <c r="C40" i="5" a="1"/>
  <c r="C40" i="5" s="1"/>
  <c r="C41" i="5" a="1"/>
  <c r="C41" i="5" s="1"/>
  <c r="C42" i="5" a="1"/>
  <c r="C42" i="5"/>
  <c r="C43" i="5" a="1"/>
  <c r="C43" i="5" s="1"/>
  <c r="C44" i="5" a="1"/>
  <c r="C44" i="5" s="1"/>
  <c r="C45" i="5" a="1"/>
  <c r="C45" i="5" s="1"/>
  <c r="C46" i="5" a="1"/>
  <c r="C46" i="5"/>
  <c r="C47" i="5" a="1"/>
  <c r="C47" i="5" s="1"/>
  <c r="C48" i="5" a="1"/>
  <c r="C48" i="5" s="1"/>
  <c r="C49" i="5" a="1"/>
  <c r="C49" i="5" s="1"/>
  <c r="C50" i="5" a="1"/>
  <c r="C50" i="5"/>
  <c r="C51" i="5" a="1"/>
  <c r="C51" i="5" s="1"/>
  <c r="C52" i="5" a="1"/>
  <c r="C52" i="5" s="1"/>
  <c r="C53" i="5" a="1"/>
  <c r="C53" i="5" s="1"/>
  <c r="C54" i="5" a="1"/>
  <c r="C54" i="5"/>
  <c r="C55" i="5" a="1"/>
  <c r="C55" i="5" s="1"/>
  <c r="C56" i="5" a="1"/>
  <c r="C56" i="5" s="1"/>
  <c r="C57" i="5" a="1"/>
  <c r="C57" i="5" s="1"/>
  <c r="C58" i="5" a="1"/>
  <c r="C58" i="5"/>
  <c r="C59" i="5" a="1"/>
  <c r="C59" i="5" s="1"/>
  <c r="C60" i="5" a="1"/>
  <c r="C60" i="5" s="1"/>
  <c r="C61" i="5" a="1"/>
  <c r="C61" i="5" s="1"/>
  <c r="C62" i="5" a="1"/>
  <c r="C62" i="5"/>
  <c r="C63" i="5" a="1"/>
  <c r="C63" i="5" s="1"/>
  <c r="C64" i="5" a="1"/>
  <c r="C64" i="5" s="1"/>
  <c r="C65" i="5" a="1"/>
  <c r="C65" i="5" s="1"/>
  <c r="C66" i="5" a="1"/>
  <c r="C66" i="5"/>
  <c r="C67" i="5" a="1"/>
  <c r="C67" i="5" s="1"/>
  <c r="C68" i="5" a="1"/>
  <c r="C68" i="5" s="1"/>
  <c r="C69" i="5" a="1"/>
  <c r="C69" i="5" s="1"/>
  <c r="C70" i="5" a="1"/>
  <c r="C70" i="5"/>
  <c r="C71" i="5" a="1"/>
  <c r="C71" i="5" s="1"/>
  <c r="C72" i="5" a="1"/>
  <c r="C72" i="5" s="1"/>
  <c r="C73" i="5" a="1"/>
  <c r="C73" i="5" s="1"/>
  <c r="C74" i="5" a="1"/>
  <c r="C74" i="5"/>
  <c r="C75" i="5" a="1"/>
  <c r="C75" i="5" s="1"/>
  <c r="C76" i="5" a="1"/>
  <c r="C76" i="5" s="1"/>
  <c r="C77" i="5" a="1"/>
  <c r="C77" i="5" s="1"/>
  <c r="C78" i="5" a="1"/>
  <c r="C78" i="5"/>
  <c r="C79" i="5" a="1"/>
  <c r="C79" i="5" s="1"/>
  <c r="C80" i="5" a="1"/>
  <c r="C80" i="5" s="1"/>
  <c r="C81" i="5" a="1"/>
  <c r="C81" i="5" s="1"/>
  <c r="C82" i="5" a="1"/>
  <c r="C82" i="5"/>
  <c r="C83" i="5" a="1"/>
  <c r="C83" i="5" s="1"/>
  <c r="C84" i="5" a="1"/>
  <c r="C84" i="5" s="1"/>
  <c r="C85" i="5" a="1"/>
  <c r="C85" i="5" s="1"/>
  <c r="C86" i="5" a="1"/>
  <c r="C86" i="5"/>
  <c r="C87" i="5" a="1"/>
  <c r="C87" i="5" s="1"/>
  <c r="C88" i="5" a="1"/>
  <c r="C88" i="5" s="1"/>
  <c r="C89" i="5" a="1"/>
  <c r="C89" i="5" s="1"/>
  <c r="C90" i="5" a="1"/>
  <c r="C90" i="5"/>
  <c r="C91" i="5" a="1"/>
  <c r="C91" i="5" s="1"/>
  <c r="C92" i="5" a="1"/>
  <c r="C92" i="5" s="1"/>
  <c r="C93" i="5" a="1"/>
  <c r="C93" i="5" s="1"/>
  <c r="C94" i="5" a="1"/>
  <c r="C94" i="5"/>
  <c r="C95" i="5" a="1"/>
  <c r="C95" i="5" s="1"/>
  <c r="C96" i="5" a="1"/>
  <c r="C96" i="5" s="1"/>
  <c r="C97" i="5" a="1"/>
  <c r="C97" i="5" s="1"/>
  <c r="C98" i="5" a="1"/>
  <c r="C98" i="5"/>
  <c r="C99" i="5" a="1"/>
  <c r="C99" i="5" s="1"/>
  <c r="C100" i="5" a="1"/>
  <c r="C100" i="5" s="1"/>
  <c r="C101" i="5" a="1"/>
  <c r="C101" i="5" s="1"/>
  <c r="C102" i="5" a="1"/>
  <c r="C102" i="5"/>
  <c r="C103" i="5" a="1"/>
  <c r="C103" i="5" s="1"/>
  <c r="C104" i="5" a="1"/>
  <c r="C104" i="5" s="1"/>
  <c r="C105" i="5" a="1"/>
  <c r="C105" i="5" s="1"/>
  <c r="C106" i="5" a="1"/>
  <c r="C106" i="5"/>
  <c r="C107" i="5" a="1"/>
  <c r="C107" i="5" s="1"/>
  <c r="C108" i="5" a="1"/>
  <c r="C108" i="5" s="1"/>
  <c r="C109" i="5" a="1"/>
  <c r="C109" i="5" s="1"/>
  <c r="C110" i="5" a="1"/>
  <c r="C110" i="5"/>
  <c r="C111" i="5" a="1"/>
  <c r="C111" i="5" s="1"/>
  <c r="C112" i="5" a="1"/>
  <c r="C112" i="5" s="1"/>
  <c r="C113" i="5" a="1"/>
  <c r="C113" i="5" s="1"/>
  <c r="C114" i="5" a="1"/>
  <c r="C114" i="5"/>
  <c r="C115" i="5" a="1"/>
  <c r="C115" i="5" s="1"/>
  <c r="C116" i="5" a="1"/>
  <c r="C116" i="5" s="1"/>
  <c r="C117" i="5" a="1"/>
  <c r="C117" i="5" s="1"/>
  <c r="C118" i="5" a="1"/>
  <c r="C118" i="5"/>
  <c r="C119" i="5" a="1"/>
  <c r="C119" i="5" s="1"/>
  <c r="C120" i="5" a="1"/>
  <c r="C120" i="5" s="1"/>
  <c r="C121" i="5" a="1"/>
  <c r="C121" i="5" s="1"/>
  <c r="C122" i="5" a="1"/>
  <c r="C122" i="5"/>
  <c r="C123" i="5" a="1"/>
  <c r="C123" i="5" s="1"/>
  <c r="C124" i="5" a="1"/>
  <c r="C124" i="5" s="1"/>
  <c r="C125" i="5" a="1"/>
  <c r="C125" i="5" s="1"/>
  <c r="C126" i="5" a="1"/>
  <c r="C126" i="5"/>
  <c r="C127" i="5" a="1"/>
  <c r="C127" i="5" s="1"/>
  <c r="C128" i="5" a="1"/>
  <c r="C128" i="5" s="1"/>
  <c r="C129" i="5" a="1"/>
  <c r="C129" i="5" s="1"/>
  <c r="C130" i="5" a="1"/>
  <c r="C130" i="5"/>
  <c r="C131" i="5" a="1"/>
  <c r="C131" i="5" s="1"/>
  <c r="C132" i="5" a="1"/>
  <c r="C132" i="5" s="1"/>
  <c r="C133" i="5" a="1"/>
  <c r="C133" i="5" s="1"/>
  <c r="C134" i="5" a="1"/>
  <c r="C134" i="5"/>
  <c r="C135" i="5" a="1"/>
  <c r="C135" i="5" s="1"/>
  <c r="C136" i="5" a="1"/>
  <c r="C136" i="5" s="1"/>
  <c r="C137" i="5" a="1"/>
  <c r="C137" i="5" s="1"/>
  <c r="C138" i="5" a="1"/>
  <c r="C138" i="5"/>
  <c r="C139" i="5" a="1"/>
  <c r="C139" i="5" s="1"/>
  <c r="C140" i="5" a="1"/>
  <c r="C140" i="5" s="1"/>
  <c r="C141" i="5" a="1"/>
  <c r="C141" i="5" s="1"/>
  <c r="C142" i="5" a="1"/>
  <c r="C142" i="5"/>
  <c r="C143" i="5" a="1"/>
  <c r="C143" i="5" s="1"/>
  <c r="C144" i="5" a="1"/>
  <c r="C144" i="5" s="1"/>
  <c r="C145" i="5" a="1"/>
  <c r="C145" i="5" s="1"/>
  <c r="C146" i="5" a="1"/>
  <c r="C146" i="5"/>
  <c r="C147" i="5" a="1"/>
  <c r="C147" i="5" s="1"/>
  <c r="C148" i="5" a="1"/>
  <c r="C148" i="5" s="1"/>
  <c r="C149" i="5" a="1"/>
  <c r="C149" i="5" s="1"/>
  <c r="C150" i="5" a="1"/>
  <c r="C150" i="5"/>
  <c r="C151" i="5" a="1"/>
  <c r="C151" i="5" s="1"/>
  <c r="C152" i="5" a="1"/>
  <c r="C152" i="5" s="1"/>
  <c r="C153" i="5" a="1"/>
  <c r="C153" i="5" s="1"/>
  <c r="C154" i="5" a="1"/>
  <c r="C154" i="5"/>
  <c r="C155" i="5" a="1"/>
  <c r="C155" i="5" s="1"/>
  <c r="C156" i="5" a="1"/>
  <c r="C156" i="5" s="1"/>
  <c r="C157" i="5" a="1"/>
  <c r="C157" i="5" s="1"/>
  <c r="C158" i="5" a="1"/>
  <c r="C158" i="5"/>
  <c r="C159" i="5" a="1"/>
  <c r="C159" i="5" s="1"/>
  <c r="C160" i="5" a="1"/>
  <c r="C160" i="5" s="1"/>
  <c r="C161" i="5" a="1"/>
  <c r="C161" i="5" s="1"/>
  <c r="C162" i="5" a="1"/>
  <c r="C162" i="5"/>
  <c r="C163" i="5" a="1"/>
  <c r="C163" i="5" s="1"/>
  <c r="C164" i="5" a="1"/>
  <c r="C164" i="5" s="1"/>
  <c r="C165" i="5" a="1"/>
  <c r="C165" i="5" s="1"/>
  <c r="C166" i="5" a="1"/>
  <c r="C166" i="5"/>
  <c r="C167" i="5" a="1"/>
  <c r="C167" i="5" s="1"/>
  <c r="C168" i="5" a="1"/>
  <c r="C168" i="5" s="1"/>
  <c r="C169" i="5" a="1"/>
  <c r="C169" i="5" s="1"/>
  <c r="C170" i="5" a="1"/>
  <c r="C170" i="5"/>
  <c r="C171" i="5" a="1"/>
  <c r="C171" i="5" s="1"/>
  <c r="C172" i="5" a="1"/>
  <c r="C172" i="5" s="1"/>
  <c r="C173" i="5" a="1"/>
  <c r="C173" i="5" s="1"/>
  <c r="C174" i="5" a="1"/>
  <c r="C174" i="5"/>
  <c r="C175" i="5" a="1"/>
  <c r="C175" i="5" s="1"/>
  <c r="C176" i="5" a="1"/>
  <c r="C176" i="5" s="1"/>
  <c r="C177" i="5" a="1"/>
  <c r="C177" i="5" s="1"/>
  <c r="C178" i="5" a="1"/>
  <c r="C178" i="5"/>
  <c r="C179" i="5" a="1"/>
  <c r="C179" i="5" s="1"/>
  <c r="C180" i="5" a="1"/>
  <c r="C180" i="5" s="1"/>
  <c r="C181" i="5" a="1"/>
  <c r="C181" i="5" s="1"/>
  <c r="C182" i="5" a="1"/>
  <c r="C182" i="5"/>
  <c r="C183" i="5" a="1"/>
  <c r="C183" i="5" s="1"/>
  <c r="C184" i="5" a="1"/>
  <c r="C184" i="5" s="1"/>
  <c r="C185" i="5" a="1"/>
  <c r="C185" i="5" s="1"/>
  <c r="C186" i="5" a="1"/>
  <c r="C186" i="5"/>
  <c r="C187" i="5" a="1"/>
  <c r="C187" i="5" s="1"/>
  <c r="C188" i="5" a="1"/>
  <c r="C188" i="5" s="1"/>
  <c r="C189" i="5" a="1"/>
  <c r="C189" i="5" s="1"/>
  <c r="C190" i="5" a="1"/>
  <c r="C190" i="5"/>
  <c r="C191" i="5" a="1"/>
  <c r="C191" i="5" s="1"/>
  <c r="C192" i="5" a="1"/>
  <c r="C192" i="5" s="1"/>
  <c r="C193" i="5" a="1"/>
  <c r="C193" i="5" s="1"/>
  <c r="C194" i="5" a="1"/>
  <c r="C194" i="5"/>
  <c r="C195" i="5" a="1"/>
  <c r="C195" i="5" s="1"/>
  <c r="C196" i="5" a="1"/>
  <c r="C196" i="5" s="1"/>
  <c r="C197" i="5" a="1"/>
  <c r="C197" i="5" s="1"/>
  <c r="C198" i="5" a="1"/>
  <c r="C198" i="5"/>
  <c r="C199" i="5" a="1"/>
  <c r="C199" i="5" s="1"/>
  <c r="C200" i="5" a="1"/>
  <c r="C200" i="5" s="1"/>
  <c r="C201" i="5" a="1"/>
  <c r="C201" i="5" s="1"/>
  <c r="C202" i="5" a="1"/>
  <c r="C202" i="5"/>
  <c r="C203" i="5" a="1"/>
  <c r="C203" i="5" s="1"/>
  <c r="C204" i="5" a="1"/>
  <c r="C204" i="5" s="1"/>
  <c r="C205" i="5" a="1"/>
  <c r="C205" i="5" s="1"/>
  <c r="C206" i="5" a="1"/>
  <c r="C206" i="5"/>
  <c r="C207" i="5" a="1"/>
  <c r="C207" i="5" s="1"/>
  <c r="C208" i="5" a="1"/>
  <c r="C208" i="5" s="1"/>
  <c r="C209" i="5" a="1"/>
  <c r="C209" i="5" s="1"/>
  <c r="C210" i="5" a="1"/>
  <c r="C210" i="5"/>
  <c r="C211" i="5" a="1"/>
  <c r="C211" i="5" s="1"/>
  <c r="C212" i="5" a="1"/>
  <c r="C212" i="5" s="1"/>
  <c r="C213" i="5" a="1"/>
  <c r="C213" i="5" s="1"/>
  <c r="C214" i="5" a="1"/>
  <c r="C214" i="5"/>
  <c r="C215" i="5" a="1"/>
  <c r="C215" i="5" s="1"/>
  <c r="C216" i="5" a="1"/>
  <c r="C216" i="5" s="1"/>
  <c r="C217" i="5" a="1"/>
  <c r="C217" i="5" s="1"/>
  <c r="C218" i="5" a="1"/>
  <c r="C218" i="5"/>
  <c r="C219" i="5" a="1"/>
  <c r="C219" i="5" s="1"/>
  <c r="C220" i="5" a="1"/>
  <c r="C220" i="5" s="1"/>
  <c r="C221" i="5" a="1"/>
  <c r="C221" i="5" s="1"/>
  <c r="C222" i="5" a="1"/>
  <c r="C222" i="5"/>
  <c r="C223" i="5" a="1"/>
  <c r="C223" i="5" s="1"/>
  <c r="C224" i="5" a="1"/>
  <c r="C224" i="5" s="1"/>
  <c r="C225" i="5" a="1"/>
  <c r="C225" i="5" s="1"/>
  <c r="C226" i="5" a="1"/>
  <c r="C226" i="5"/>
  <c r="C227" i="5" a="1"/>
  <c r="C227" i="5" s="1"/>
  <c r="C228" i="5" a="1"/>
  <c r="C228" i="5" s="1"/>
  <c r="C229" i="5" a="1"/>
  <c r="C229" i="5" s="1"/>
  <c r="C230" i="5" a="1"/>
  <c r="C230" i="5"/>
  <c r="C231" i="5" a="1"/>
  <c r="C231" i="5" s="1"/>
  <c r="C232" i="5" a="1"/>
  <c r="C232" i="5" s="1"/>
  <c r="C233" i="5" a="1"/>
  <c r="C233" i="5" s="1"/>
  <c r="C234" i="5" a="1"/>
  <c r="C234" i="5"/>
  <c r="C235" i="5" a="1"/>
  <c r="C235" i="5" s="1"/>
  <c r="C236" i="5" a="1"/>
  <c r="C236" i="5" s="1"/>
  <c r="C237" i="5" a="1"/>
  <c r="C237" i="5" s="1"/>
  <c r="C238" i="5" a="1"/>
  <c r="C238" i="5"/>
  <c r="C239" i="5" a="1"/>
  <c r="C239" i="5" s="1"/>
  <c r="C240" i="5" a="1"/>
  <c r="C240" i="5" s="1"/>
  <c r="C241" i="5" a="1"/>
  <c r="C241" i="5" s="1"/>
  <c r="C242" i="5" a="1"/>
  <c r="C242" i="5"/>
  <c r="C243" i="5" a="1"/>
  <c r="C243" i="5" s="1"/>
  <c r="C244" i="5" a="1"/>
  <c r="C244" i="5" s="1"/>
  <c r="C245" i="5" a="1"/>
  <c r="C245" i="5" s="1"/>
  <c r="C246" i="5" a="1"/>
  <c r="C246" i="5"/>
  <c r="C247" i="5" a="1"/>
  <c r="C247" i="5" s="1"/>
  <c r="C248" i="5" a="1"/>
  <c r="C248" i="5" s="1"/>
  <c r="C249" i="5" a="1"/>
  <c r="C249" i="5" s="1"/>
  <c r="C250" i="5" a="1"/>
  <c r="C250" i="5"/>
  <c r="C251" i="5" a="1"/>
  <c r="C251" i="5" s="1"/>
  <c r="C252" i="5" a="1"/>
  <c r="C252" i="5" s="1"/>
  <c r="C253" i="5" a="1"/>
  <c r="C253" i="5" s="1"/>
  <c r="C254" i="5" a="1"/>
  <c r="C254" i="5"/>
  <c r="C255" i="5" a="1"/>
  <c r="C255" i="5" s="1"/>
  <c r="C256" i="5" a="1"/>
  <c r="C256" i="5" s="1"/>
  <c r="C257" i="5" a="1"/>
  <c r="C257" i="5" s="1"/>
  <c r="C258" i="5" a="1"/>
  <c r="C258" i="5"/>
  <c r="C259" i="5" a="1"/>
  <c r="C259" i="5" s="1"/>
  <c r="C260" i="5" a="1"/>
  <c r="C260" i="5" s="1"/>
  <c r="C261" i="5" a="1"/>
  <c r="C261" i="5" s="1"/>
  <c r="C262" i="5" a="1"/>
  <c r="C262" i="5"/>
  <c r="C263" i="5" a="1"/>
  <c r="C263" i="5" s="1"/>
  <c r="C264" i="5" a="1"/>
  <c r="C264" i="5" s="1"/>
  <c r="C265" i="5" a="1"/>
  <c r="C265" i="5" s="1"/>
  <c r="C266" i="5" a="1"/>
  <c r="C266" i="5"/>
  <c r="C267" i="5" a="1"/>
  <c r="C267" i="5" s="1"/>
  <c r="C268" i="5" a="1"/>
  <c r="C268" i="5" s="1"/>
  <c r="C269" i="5" a="1"/>
  <c r="C269" i="5" s="1"/>
  <c r="C270" i="5" a="1"/>
  <c r="C270" i="5"/>
  <c r="C271" i="5" a="1"/>
  <c r="C271" i="5" s="1"/>
  <c r="C272" i="5" a="1"/>
  <c r="C272" i="5" s="1"/>
  <c r="C273" i="5" a="1"/>
  <c r="C273" i="5" s="1"/>
  <c r="C274" i="5" a="1"/>
  <c r="C274" i="5"/>
  <c r="C275" i="5" a="1"/>
  <c r="C275" i="5" s="1"/>
  <c r="C276" i="5" a="1"/>
  <c r="C276" i="5" s="1"/>
  <c r="C277" i="5" a="1"/>
  <c r="C277" i="5" s="1"/>
  <c r="C278" i="5" a="1"/>
  <c r="C278" i="5"/>
  <c r="C279" i="5" a="1"/>
  <c r="C279" i="5" s="1"/>
  <c r="C280" i="5" a="1"/>
  <c r="C280" i="5" s="1"/>
  <c r="C281" i="5" a="1"/>
  <c r="C281" i="5" s="1"/>
  <c r="C282" i="5" a="1"/>
  <c r="C282" i="5"/>
  <c r="C283" i="5" a="1"/>
  <c r="C283" i="5" s="1"/>
  <c r="C284" i="5" a="1"/>
  <c r="C284" i="5" s="1"/>
  <c r="C285" i="5" a="1"/>
  <c r="C285" i="5" s="1"/>
  <c r="C286" i="5" a="1"/>
  <c r="C286" i="5"/>
  <c r="C287" i="5" a="1"/>
  <c r="C287" i="5" s="1"/>
  <c r="C288" i="5" a="1"/>
  <c r="C288" i="5" s="1"/>
  <c r="C289" i="5" a="1"/>
  <c r="C289" i="5" s="1"/>
  <c r="C290" i="5" a="1"/>
  <c r="C290" i="5"/>
  <c r="C291" i="5" a="1"/>
  <c r="C291" i="5" s="1"/>
  <c r="C292" i="5" a="1"/>
  <c r="C292" i="5" s="1"/>
  <c r="C293" i="5" a="1"/>
  <c r="C293" i="5" s="1"/>
  <c r="C294" i="5" a="1"/>
  <c r="C294" i="5"/>
  <c r="C295" i="5" a="1"/>
  <c r="C295" i="5" s="1"/>
  <c r="C296" i="5" a="1"/>
  <c r="C296" i="5" s="1"/>
  <c r="C297" i="5" a="1"/>
  <c r="C297" i="5" s="1"/>
  <c r="C298" i="5" a="1"/>
  <c r="C298" i="5"/>
  <c r="C299" i="5" a="1"/>
  <c r="C299" i="5" s="1"/>
  <c r="C300" i="5" a="1"/>
  <c r="C300" i="5" s="1"/>
  <c r="C2" i="5" a="1"/>
  <c r="C2" i="5" s="1"/>
  <c r="B3" i="5" a="1"/>
  <c r="B3" i="5" s="1"/>
  <c r="B4" i="5" a="1"/>
  <c r="B4" i="5" s="1"/>
  <c r="B5" i="5" a="1"/>
  <c r="B5" i="5" s="1"/>
  <c r="B6" i="5" a="1"/>
  <c r="B6" i="5"/>
  <c r="B7" i="5" a="1"/>
  <c r="B7" i="5" s="1"/>
  <c r="B8" i="5" a="1"/>
  <c r="B8" i="5" s="1"/>
  <c r="B9" i="5" a="1"/>
  <c r="B9" i="5" s="1"/>
  <c r="B10" i="5" a="1"/>
  <c r="B10" i="5"/>
  <c r="B11" i="5" a="1"/>
  <c r="B11" i="5" s="1"/>
  <c r="B12" i="5" a="1"/>
  <c r="B12" i="5" s="1"/>
  <c r="B13" i="5" a="1"/>
  <c r="B13" i="5" s="1"/>
  <c r="B14" i="5" a="1"/>
  <c r="B14" i="5"/>
  <c r="B15" i="5" a="1"/>
  <c r="B15" i="5" s="1"/>
  <c r="B16" i="5" a="1"/>
  <c r="B16" i="5" s="1"/>
  <c r="B17" i="5" a="1"/>
  <c r="B17" i="5" s="1"/>
  <c r="B18" i="5" a="1"/>
  <c r="B18" i="5"/>
  <c r="B19" i="5" a="1"/>
  <c r="B19" i="5" s="1"/>
  <c r="B20" i="5" a="1"/>
  <c r="B20" i="5" s="1"/>
  <c r="B21" i="5" a="1"/>
  <c r="B21" i="5" s="1"/>
  <c r="B22" i="5" a="1"/>
  <c r="B22" i="5"/>
  <c r="B23" i="5" a="1"/>
  <c r="B23" i="5" s="1"/>
  <c r="B24" i="5" a="1"/>
  <c r="B24" i="5" s="1"/>
  <c r="B25" i="5" a="1"/>
  <c r="B25" i="5" s="1"/>
  <c r="B26" i="5" a="1"/>
  <c r="B26" i="5"/>
  <c r="B27" i="5" a="1"/>
  <c r="B27" i="5" s="1"/>
  <c r="B28" i="5" a="1"/>
  <c r="B28" i="5" s="1"/>
  <c r="B29" i="5" a="1"/>
  <c r="B29" i="5" s="1"/>
  <c r="B30" i="5" a="1"/>
  <c r="B30" i="5"/>
  <c r="B31" i="5" a="1"/>
  <c r="B31" i="5" s="1"/>
  <c r="B32" i="5" a="1"/>
  <c r="B32" i="5" s="1"/>
  <c r="B33" i="5" a="1"/>
  <c r="B33" i="5" s="1"/>
  <c r="B34" i="5" a="1"/>
  <c r="B34" i="5"/>
  <c r="B35" i="5" a="1"/>
  <c r="B35" i="5" s="1"/>
  <c r="B36" i="5" a="1"/>
  <c r="B36" i="5" s="1"/>
  <c r="B37" i="5" a="1"/>
  <c r="B37" i="5" s="1"/>
  <c r="B38" i="5" a="1"/>
  <c r="B38" i="5"/>
  <c r="B39" i="5" a="1"/>
  <c r="B39" i="5" s="1"/>
  <c r="B40" i="5" a="1"/>
  <c r="B40" i="5" s="1"/>
  <c r="B41" i="5" a="1"/>
  <c r="B41" i="5" s="1"/>
  <c r="B42" i="5" a="1"/>
  <c r="B42" i="5"/>
  <c r="B43" i="5" a="1"/>
  <c r="B43" i="5" s="1"/>
  <c r="B44" i="5" a="1"/>
  <c r="B44" i="5" s="1"/>
  <c r="B45" i="5" a="1"/>
  <c r="B45" i="5" s="1"/>
  <c r="B46" i="5" a="1"/>
  <c r="B46" i="5"/>
  <c r="B47" i="5" a="1"/>
  <c r="B47" i="5" s="1"/>
  <c r="B48" i="5" a="1"/>
  <c r="B48" i="5" s="1"/>
  <c r="B49" i="5" a="1"/>
  <c r="B49" i="5" s="1"/>
  <c r="B50" i="5" a="1"/>
  <c r="B50" i="5"/>
  <c r="B51" i="5" a="1"/>
  <c r="B51" i="5" s="1"/>
  <c r="B52" i="5" a="1"/>
  <c r="B52" i="5" s="1"/>
  <c r="B53" i="5" a="1"/>
  <c r="B53" i="5" s="1"/>
  <c r="B54" i="5" a="1"/>
  <c r="B54" i="5"/>
  <c r="B55" i="5" a="1"/>
  <c r="B55" i="5" s="1"/>
  <c r="B56" i="5" a="1"/>
  <c r="B56" i="5" s="1"/>
  <c r="B57" i="5" a="1"/>
  <c r="B57" i="5" s="1"/>
  <c r="B58" i="5" a="1"/>
  <c r="B58" i="5"/>
  <c r="B59" i="5" a="1"/>
  <c r="B59" i="5" s="1"/>
  <c r="B60" i="5" a="1"/>
  <c r="B60" i="5" s="1"/>
  <c r="B61" i="5" a="1"/>
  <c r="B61" i="5" s="1"/>
  <c r="B62" i="5" a="1"/>
  <c r="B62" i="5"/>
  <c r="B63" i="5" a="1"/>
  <c r="B63" i="5" s="1"/>
  <c r="B64" i="5" a="1"/>
  <c r="B64" i="5" s="1"/>
  <c r="B65" i="5" a="1"/>
  <c r="B65" i="5" s="1"/>
  <c r="B66" i="5" a="1"/>
  <c r="B66" i="5"/>
  <c r="B67" i="5" a="1"/>
  <c r="B67" i="5" s="1"/>
  <c r="B68" i="5" a="1"/>
  <c r="B68" i="5" s="1"/>
  <c r="B69" i="5" a="1"/>
  <c r="B69" i="5" s="1"/>
  <c r="B70" i="5" a="1"/>
  <c r="B70" i="5"/>
  <c r="B71" i="5" a="1"/>
  <c r="B71" i="5" s="1"/>
  <c r="B72" i="5" a="1"/>
  <c r="B72" i="5" s="1"/>
  <c r="B73" i="5" a="1"/>
  <c r="B73" i="5" s="1"/>
  <c r="B74" i="5" a="1"/>
  <c r="B74" i="5"/>
  <c r="B75" i="5" a="1"/>
  <c r="B75" i="5" s="1"/>
  <c r="B76" i="5" a="1"/>
  <c r="B76" i="5" s="1"/>
  <c r="B77" i="5" a="1"/>
  <c r="B77" i="5" s="1"/>
  <c r="B78" i="5" a="1"/>
  <c r="B78" i="5"/>
  <c r="B79" i="5" a="1"/>
  <c r="B79" i="5" s="1"/>
  <c r="B80" i="5" a="1"/>
  <c r="B80" i="5" s="1"/>
  <c r="B81" i="5" a="1"/>
  <c r="B81" i="5" s="1"/>
  <c r="B82" i="5" a="1"/>
  <c r="B82" i="5"/>
  <c r="B83" i="5" a="1"/>
  <c r="B83" i="5" s="1"/>
  <c r="B84" i="5" a="1"/>
  <c r="B84" i="5" s="1"/>
  <c r="B85" i="5" a="1"/>
  <c r="B85" i="5" s="1"/>
  <c r="B86" i="5" a="1"/>
  <c r="B86" i="5"/>
  <c r="B87" i="5" a="1"/>
  <c r="B87" i="5" s="1"/>
  <c r="B88" i="5" a="1"/>
  <c r="B88" i="5" s="1"/>
  <c r="B89" i="5" a="1"/>
  <c r="B89" i="5" s="1"/>
  <c r="B90" i="5" a="1"/>
  <c r="B90" i="5"/>
  <c r="B91" i="5" a="1"/>
  <c r="B91" i="5" s="1"/>
  <c r="B92" i="5" a="1"/>
  <c r="B92" i="5" s="1"/>
  <c r="B93" i="5" a="1"/>
  <c r="B93" i="5" s="1"/>
  <c r="B94" i="5" a="1"/>
  <c r="B94" i="5"/>
  <c r="B95" i="5" a="1"/>
  <c r="B95" i="5" s="1"/>
  <c r="B96" i="5" a="1"/>
  <c r="B96" i="5" s="1"/>
  <c r="B97" i="5" a="1"/>
  <c r="B97" i="5" s="1"/>
  <c r="B98" i="5" a="1"/>
  <c r="B98" i="5"/>
  <c r="B99" i="5" a="1"/>
  <c r="B99" i="5" s="1"/>
  <c r="B100" i="5" a="1"/>
  <c r="B100" i="5" s="1"/>
  <c r="B101" i="5" a="1"/>
  <c r="B101" i="5" s="1"/>
  <c r="B102" i="5" a="1"/>
  <c r="B102" i="5"/>
  <c r="B103" i="5" a="1"/>
  <c r="B103" i="5" s="1"/>
  <c r="B104" i="5" a="1"/>
  <c r="B104" i="5" s="1"/>
  <c r="B105" i="5" a="1"/>
  <c r="B105" i="5" s="1"/>
  <c r="B106" i="5" a="1"/>
  <c r="B106" i="5"/>
  <c r="B107" i="5" a="1"/>
  <c r="B107" i="5" s="1"/>
  <c r="B108" i="5" a="1"/>
  <c r="B108" i="5" s="1"/>
  <c r="B109" i="5" a="1"/>
  <c r="B109" i="5" s="1"/>
  <c r="B110" i="5" a="1"/>
  <c r="B110" i="5"/>
  <c r="B111" i="5" a="1"/>
  <c r="B111" i="5" s="1"/>
  <c r="B112" i="5" a="1"/>
  <c r="B112" i="5" s="1"/>
  <c r="B113" i="5" a="1"/>
  <c r="B113" i="5" s="1"/>
  <c r="B114" i="5" a="1"/>
  <c r="B114" i="5"/>
  <c r="B115" i="5" a="1"/>
  <c r="B115" i="5" s="1"/>
  <c r="B116" i="5" a="1"/>
  <c r="B116" i="5" s="1"/>
  <c r="B117" i="5" a="1"/>
  <c r="B117" i="5" s="1"/>
  <c r="B118" i="5" a="1"/>
  <c r="B118" i="5"/>
  <c r="B119" i="5" a="1"/>
  <c r="B119" i="5" s="1"/>
  <c r="B120" i="5" a="1"/>
  <c r="B120" i="5" s="1"/>
  <c r="B121" i="5" a="1"/>
  <c r="B121" i="5" s="1"/>
  <c r="B122" i="5" a="1"/>
  <c r="B122" i="5"/>
  <c r="B123" i="5" a="1"/>
  <c r="B123" i="5" s="1"/>
  <c r="B124" i="5" a="1"/>
  <c r="B124" i="5" s="1"/>
  <c r="B125" i="5" a="1"/>
  <c r="B125" i="5" s="1"/>
  <c r="B126" i="5" a="1"/>
  <c r="B126" i="5"/>
  <c r="B127" i="5" a="1"/>
  <c r="B127" i="5" s="1"/>
  <c r="B128" i="5" a="1"/>
  <c r="B128" i="5" s="1"/>
  <c r="B129" i="5" a="1"/>
  <c r="B129" i="5" s="1"/>
  <c r="B130" i="5" a="1"/>
  <c r="B130" i="5"/>
  <c r="B131" i="5" a="1"/>
  <c r="B131" i="5" s="1"/>
  <c r="B132" i="5" a="1"/>
  <c r="B132" i="5" s="1"/>
  <c r="B133" i="5" a="1"/>
  <c r="B133" i="5" s="1"/>
  <c r="B134" i="5" a="1"/>
  <c r="B134" i="5"/>
  <c r="B135" i="5" a="1"/>
  <c r="B135" i="5" s="1"/>
  <c r="B136" i="5" a="1"/>
  <c r="B136" i="5" s="1"/>
  <c r="B137" i="5" a="1"/>
  <c r="B137" i="5" s="1"/>
  <c r="B138" i="5" a="1"/>
  <c r="B138" i="5"/>
  <c r="B139" i="5" a="1"/>
  <c r="B139" i="5" s="1"/>
  <c r="B140" i="5" a="1"/>
  <c r="B140" i="5" s="1"/>
  <c r="B141" i="5" a="1"/>
  <c r="B141" i="5" s="1"/>
  <c r="B142" i="5" a="1"/>
  <c r="B142" i="5"/>
  <c r="B143" i="5" a="1"/>
  <c r="B143" i="5" s="1"/>
  <c r="B144" i="5" a="1"/>
  <c r="B144" i="5" s="1"/>
  <c r="B145" i="5" a="1"/>
  <c r="B145" i="5" s="1"/>
  <c r="B146" i="5" a="1"/>
  <c r="B146" i="5"/>
  <c r="B147" i="5" a="1"/>
  <c r="B147" i="5" s="1"/>
  <c r="B148" i="5" a="1"/>
  <c r="B148" i="5" s="1"/>
  <c r="B149" i="5" a="1"/>
  <c r="B149" i="5" s="1"/>
  <c r="B150" i="5" a="1"/>
  <c r="B150" i="5"/>
  <c r="B151" i="5" a="1"/>
  <c r="B151" i="5" s="1"/>
  <c r="B152" i="5" a="1"/>
  <c r="B152" i="5" s="1"/>
  <c r="B153" i="5" a="1"/>
  <c r="B153" i="5" s="1"/>
  <c r="B154" i="5" a="1"/>
  <c r="B154" i="5"/>
  <c r="B155" i="5" a="1"/>
  <c r="B155" i="5" s="1"/>
  <c r="B156" i="5" a="1"/>
  <c r="B156" i="5" s="1"/>
  <c r="B157" i="5" a="1"/>
  <c r="B157" i="5" s="1"/>
  <c r="B158" i="5" a="1"/>
  <c r="B158" i="5"/>
  <c r="B159" i="5" a="1"/>
  <c r="B159" i="5" s="1"/>
  <c r="B160" i="5" a="1"/>
  <c r="B160" i="5" s="1"/>
  <c r="B161" i="5" a="1"/>
  <c r="B161" i="5" s="1"/>
  <c r="B162" i="5" a="1"/>
  <c r="B162" i="5"/>
  <c r="B163" i="5" a="1"/>
  <c r="B163" i="5" s="1"/>
  <c r="B164" i="5" a="1"/>
  <c r="B164" i="5" s="1"/>
  <c r="B165" i="5" a="1"/>
  <c r="B165" i="5" s="1"/>
  <c r="B166" i="5" a="1"/>
  <c r="B166" i="5"/>
  <c r="B167" i="5" a="1"/>
  <c r="B167" i="5" s="1"/>
  <c r="B168" i="5" a="1"/>
  <c r="B168" i="5" s="1"/>
  <c r="B169" i="5" a="1"/>
  <c r="B169" i="5" s="1"/>
  <c r="B170" i="5" a="1"/>
  <c r="B170" i="5"/>
  <c r="B171" i="5" a="1"/>
  <c r="B171" i="5" s="1"/>
  <c r="B172" i="5" a="1"/>
  <c r="B172" i="5" s="1"/>
  <c r="B173" i="5" a="1"/>
  <c r="B173" i="5" s="1"/>
  <c r="B174" i="5" a="1"/>
  <c r="B174" i="5"/>
  <c r="B175" i="5" a="1"/>
  <c r="B175" i="5" s="1"/>
  <c r="B176" i="5" a="1"/>
  <c r="B176" i="5" s="1"/>
  <c r="B177" i="5" a="1"/>
  <c r="B177" i="5" s="1"/>
  <c r="B178" i="5" a="1"/>
  <c r="B178" i="5"/>
  <c r="B179" i="5" a="1"/>
  <c r="B179" i="5" s="1"/>
  <c r="B180" i="5" a="1"/>
  <c r="B180" i="5" s="1"/>
  <c r="B181" i="5" a="1"/>
  <c r="B181" i="5" s="1"/>
  <c r="B182" i="5" a="1"/>
  <c r="B182" i="5"/>
  <c r="B183" i="5" a="1"/>
  <c r="B183" i="5" s="1"/>
  <c r="B184" i="5" a="1"/>
  <c r="B184" i="5" s="1"/>
  <c r="B185" i="5" a="1"/>
  <c r="B185" i="5" s="1"/>
  <c r="B186" i="5" a="1"/>
  <c r="B186" i="5"/>
  <c r="B187" i="5" a="1"/>
  <c r="B187" i="5" s="1"/>
  <c r="B188" i="5" a="1"/>
  <c r="B188" i="5" s="1"/>
  <c r="B189" i="5" a="1"/>
  <c r="B189" i="5" s="1"/>
  <c r="B190" i="5" a="1"/>
  <c r="B190" i="5"/>
  <c r="B191" i="5" a="1"/>
  <c r="B191" i="5" s="1"/>
  <c r="B192" i="5" a="1"/>
  <c r="B192" i="5" s="1"/>
  <c r="B193" i="5" a="1"/>
  <c r="B193" i="5" s="1"/>
  <c r="B194" i="5" a="1"/>
  <c r="B194" i="5"/>
  <c r="B195" i="5" a="1"/>
  <c r="B195" i="5" s="1"/>
  <c r="B196" i="5" a="1"/>
  <c r="B196" i="5" s="1"/>
  <c r="B197" i="5" a="1"/>
  <c r="B197" i="5" s="1"/>
  <c r="B198" i="5" a="1"/>
  <c r="B198" i="5"/>
  <c r="B199" i="5" a="1"/>
  <c r="B199" i="5" s="1"/>
  <c r="B200" i="5" a="1"/>
  <c r="B200" i="5" s="1"/>
  <c r="B201" i="5" a="1"/>
  <c r="B201" i="5" s="1"/>
  <c r="B202" i="5" a="1"/>
  <c r="B202" i="5"/>
  <c r="B203" i="5" a="1"/>
  <c r="B203" i="5" s="1"/>
  <c r="B204" i="5" a="1"/>
  <c r="B204" i="5" s="1"/>
  <c r="B205" i="5" a="1"/>
  <c r="B205" i="5" s="1"/>
  <c r="B206" i="5" a="1"/>
  <c r="B206" i="5"/>
  <c r="B207" i="5" a="1"/>
  <c r="B207" i="5" s="1"/>
  <c r="B208" i="5" a="1"/>
  <c r="B208" i="5" s="1"/>
  <c r="B209" i="5" a="1"/>
  <c r="B209" i="5" s="1"/>
  <c r="B210" i="5" a="1"/>
  <c r="B210" i="5"/>
  <c r="B211" i="5" a="1"/>
  <c r="B211" i="5" s="1"/>
  <c r="B212" i="5" a="1"/>
  <c r="B212" i="5" s="1"/>
  <c r="B213" i="5" a="1"/>
  <c r="B213" i="5" s="1"/>
  <c r="B214" i="5" a="1"/>
  <c r="B214" i="5"/>
  <c r="B215" i="5" a="1"/>
  <c r="B215" i="5" s="1"/>
  <c r="B216" i="5" a="1"/>
  <c r="B216" i="5" s="1"/>
  <c r="B217" i="5" a="1"/>
  <c r="B217" i="5" s="1"/>
  <c r="B218" i="5" a="1"/>
  <c r="B218" i="5"/>
  <c r="B219" i="5" a="1"/>
  <c r="B219" i="5" s="1"/>
  <c r="B220" i="5" a="1"/>
  <c r="B220" i="5" s="1"/>
  <c r="B221" i="5" a="1"/>
  <c r="B221" i="5" s="1"/>
  <c r="B222" i="5" a="1"/>
  <c r="B222" i="5"/>
  <c r="B223" i="5" a="1"/>
  <c r="B223" i="5" s="1"/>
  <c r="B224" i="5" a="1"/>
  <c r="B224" i="5" s="1"/>
  <c r="B225" i="5" a="1"/>
  <c r="B225" i="5" s="1"/>
  <c r="B226" i="5" a="1"/>
  <c r="B226" i="5"/>
  <c r="B227" i="5" a="1"/>
  <c r="B227" i="5" s="1"/>
  <c r="B228" i="5" a="1"/>
  <c r="B228" i="5" s="1"/>
  <c r="B229" i="5" a="1"/>
  <c r="B229" i="5" s="1"/>
  <c r="B230" i="5" a="1"/>
  <c r="B230" i="5"/>
  <c r="B231" i="5" a="1"/>
  <c r="B231" i="5" s="1"/>
  <c r="B232" i="5" a="1"/>
  <c r="B232" i="5" s="1"/>
  <c r="B233" i="5" a="1"/>
  <c r="B233" i="5" s="1"/>
  <c r="B234" i="5" a="1"/>
  <c r="B234" i="5"/>
  <c r="B235" i="5" a="1"/>
  <c r="B235" i="5" s="1"/>
  <c r="B236" i="5" a="1"/>
  <c r="B236" i="5" s="1"/>
  <c r="B237" i="5" a="1"/>
  <c r="B237" i="5" s="1"/>
  <c r="B238" i="5" a="1"/>
  <c r="B238" i="5"/>
  <c r="B239" i="5" a="1"/>
  <c r="B239" i="5" s="1"/>
  <c r="B240" i="5" a="1"/>
  <c r="B240" i="5" s="1"/>
  <c r="B241" i="5" a="1"/>
  <c r="B241" i="5" s="1"/>
  <c r="B242" i="5" a="1"/>
  <c r="B242" i="5"/>
  <c r="B243" i="5" a="1"/>
  <c r="B243" i="5" s="1"/>
  <c r="B244" i="5" a="1"/>
  <c r="B244" i="5" s="1"/>
  <c r="B245" i="5" a="1"/>
  <c r="B245" i="5" s="1"/>
  <c r="B246" i="5" a="1"/>
  <c r="B246" i="5"/>
  <c r="B247" i="5" a="1"/>
  <c r="B247" i="5" s="1"/>
  <c r="B248" i="5" a="1"/>
  <c r="B248" i="5" s="1"/>
  <c r="B249" i="5" a="1"/>
  <c r="B249" i="5" s="1"/>
  <c r="B250" i="5" a="1"/>
  <c r="B250" i="5"/>
  <c r="B251" i="5" a="1"/>
  <c r="B251" i="5" s="1"/>
  <c r="B252" i="5" a="1"/>
  <c r="B252" i="5" s="1"/>
  <c r="B253" i="5" a="1"/>
  <c r="B253" i="5" s="1"/>
  <c r="B254" i="5" a="1"/>
  <c r="B254" i="5"/>
  <c r="B255" i="5" a="1"/>
  <c r="B255" i="5" s="1"/>
  <c r="B256" i="5" a="1"/>
  <c r="B256" i="5" s="1"/>
  <c r="B257" i="5" a="1"/>
  <c r="B257" i="5" s="1"/>
  <c r="B258" i="5" a="1"/>
  <c r="B258" i="5"/>
  <c r="B259" i="5" a="1"/>
  <c r="B259" i="5" s="1"/>
  <c r="B260" i="5" a="1"/>
  <c r="B260" i="5" s="1"/>
  <c r="B261" i="5" a="1"/>
  <c r="B261" i="5" s="1"/>
  <c r="B262" i="5" a="1"/>
  <c r="B262" i="5"/>
  <c r="B263" i="5" a="1"/>
  <c r="B263" i="5" s="1"/>
  <c r="B264" i="5" a="1"/>
  <c r="B264" i="5" s="1"/>
  <c r="B265" i="5" a="1"/>
  <c r="B265" i="5" s="1"/>
  <c r="B266" i="5" a="1"/>
  <c r="B266" i="5"/>
  <c r="B267" i="5" a="1"/>
  <c r="B267" i="5" s="1"/>
  <c r="B268" i="5" a="1"/>
  <c r="B268" i="5" s="1"/>
  <c r="B269" i="5" a="1"/>
  <c r="B269" i="5" s="1"/>
  <c r="B270" i="5" a="1"/>
  <c r="B270" i="5"/>
  <c r="B271" i="5" a="1"/>
  <c r="B271" i="5" s="1"/>
  <c r="B272" i="5" a="1"/>
  <c r="B272" i="5" s="1"/>
  <c r="B273" i="5" a="1"/>
  <c r="B273" i="5" s="1"/>
  <c r="B274" i="5" a="1"/>
  <c r="B274" i="5"/>
  <c r="B275" i="5" a="1"/>
  <c r="B275" i="5" s="1"/>
  <c r="B276" i="5" a="1"/>
  <c r="B276" i="5" s="1"/>
  <c r="B277" i="5" a="1"/>
  <c r="B277" i="5" s="1"/>
  <c r="B278" i="5" a="1"/>
  <c r="B278" i="5"/>
  <c r="B279" i="5" a="1"/>
  <c r="B279" i="5" s="1"/>
  <c r="B280" i="5" a="1"/>
  <c r="B280" i="5" s="1"/>
  <c r="B281" i="5" a="1"/>
  <c r="B281" i="5" s="1"/>
  <c r="B282" i="5" a="1"/>
  <c r="B282" i="5"/>
  <c r="B283" i="5" a="1"/>
  <c r="B283" i="5" s="1"/>
  <c r="B284" i="5" a="1"/>
  <c r="B284" i="5" s="1"/>
  <c r="B285" i="5" a="1"/>
  <c r="B285" i="5" s="1"/>
  <c r="B286" i="5" a="1"/>
  <c r="B286" i="5"/>
  <c r="B287" i="5" a="1"/>
  <c r="B287" i="5" s="1"/>
  <c r="B288" i="5" a="1"/>
  <c r="B288" i="5" s="1"/>
  <c r="B289" i="5" a="1"/>
  <c r="B289" i="5" s="1"/>
  <c r="B290" i="5" a="1"/>
  <c r="B290" i="5"/>
  <c r="B291" i="5" a="1"/>
  <c r="B291" i="5" s="1"/>
  <c r="B292" i="5" a="1"/>
  <c r="B292" i="5" s="1"/>
  <c r="B293" i="5" a="1"/>
  <c r="B293" i="5" s="1"/>
  <c r="B294" i="5" a="1"/>
  <c r="B294" i="5"/>
  <c r="B295" i="5" a="1"/>
  <c r="B295" i="5" s="1"/>
  <c r="B296" i="5" a="1"/>
  <c r="B296" i="5" s="1"/>
  <c r="B297" i="5" a="1"/>
  <c r="B297" i="5" s="1"/>
  <c r="B298" i="5" a="1"/>
  <c r="B298" i="5"/>
  <c r="B299" i="5" a="1"/>
  <c r="B299" i="5" s="1"/>
  <c r="B300" i="5" a="1"/>
  <c r="B300" i="5" s="1"/>
  <c r="B2" i="5" a="1"/>
  <c r="B2" i="5" s="1"/>
  <c r="A2" i="5" a="1"/>
  <c r="A2" i="5" s="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G2" i="2"/>
  <c r="B61" i="7" a="1"/>
  <c r="B61" i="7" s="1"/>
  <c r="B62" i="7" a="1"/>
  <c r="B62" i="7" s="1"/>
  <c r="B63" i="7" a="1"/>
  <c r="B63" i="7" s="1"/>
  <c r="B64" i="7" a="1"/>
  <c r="B64" i="7" s="1"/>
  <c r="B65" i="7" a="1"/>
  <c r="B65" i="7" s="1"/>
  <c r="B66" i="7" a="1"/>
  <c r="B66" i="7" s="1"/>
  <c r="B67" i="7" a="1"/>
  <c r="B67" i="7" s="1"/>
  <c r="B68" i="7" a="1"/>
  <c r="B68" i="7" s="1"/>
  <c r="B69" i="7" a="1"/>
  <c r="B69" i="7" s="1"/>
  <c r="B70" i="7" a="1"/>
  <c r="B70" i="7" s="1"/>
  <c r="B71" i="7" a="1"/>
  <c r="B71" i="7" s="1"/>
  <c r="B72" i="7" a="1"/>
  <c r="B72" i="7" s="1"/>
  <c r="B73" i="7" a="1"/>
  <c r="B73" i="7" s="1"/>
  <c r="B74" i="7" a="1"/>
  <c r="B74" i="7" s="1"/>
  <c r="B75" i="7" a="1"/>
  <c r="B75" i="7" s="1"/>
  <c r="B76" i="7" a="1"/>
  <c r="B76" i="7" s="1"/>
  <c r="B77" i="7" a="1"/>
  <c r="B77" i="7" s="1"/>
  <c r="B78" i="7" a="1"/>
  <c r="B78" i="7" s="1"/>
  <c r="B79" i="7" a="1"/>
  <c r="B79" i="7" s="1"/>
  <c r="B60" i="7" a="1"/>
  <c r="B60" i="7" s="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2" i="4"/>
  <c r="K2"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2" i="4"/>
  <c r="B41" i="7" a="1"/>
  <c r="B41" i="7" s="1"/>
  <c r="B42" i="7" a="1"/>
  <c r="B42" i="7" s="1"/>
  <c r="B43" i="7" a="1"/>
  <c r="B43" i="7" s="1"/>
  <c r="B44" i="7" a="1"/>
  <c r="B44" i="7" s="1"/>
  <c r="B45" i="7" a="1"/>
  <c r="B45" i="7" s="1"/>
  <c r="B46" i="7" a="1"/>
  <c r="B46" i="7" s="1"/>
  <c r="B47" i="7" a="1"/>
  <c r="B47" i="7" s="1"/>
  <c r="B48" i="7" a="1"/>
  <c r="B48" i="7" s="1"/>
  <c r="B49" i="7" a="1"/>
  <c r="B49" i="7" s="1"/>
  <c r="B50" i="7" a="1"/>
  <c r="B50" i="7" s="1"/>
  <c r="B51" i="7" a="1"/>
  <c r="B51" i="7" s="1"/>
  <c r="B52" i="7" a="1"/>
  <c r="B52" i="7" s="1"/>
  <c r="B53" i="7" a="1"/>
  <c r="B53" i="7" s="1"/>
  <c r="B54" i="7" a="1"/>
  <c r="B54" i="7" s="1"/>
  <c r="B55" i="7" a="1"/>
  <c r="B55" i="7" s="1"/>
  <c r="B56" i="7" a="1"/>
  <c r="B56" i="7" s="1"/>
  <c r="B57" i="7" a="1"/>
  <c r="B57" i="7" s="1"/>
  <c r="B58" i="7" a="1"/>
  <c r="B58" i="7" s="1"/>
  <c r="B59" i="7" a="1"/>
  <c r="B59" i="7" s="1"/>
  <c r="B40" i="7" a="1"/>
  <c r="B40" i="7" s="1"/>
  <c r="G3" i="2"/>
  <c r="G4" i="2"/>
  <c r="G5" i="2"/>
  <c r="G6" i="2"/>
  <c r="G7" i="2"/>
  <c r="G8" i="2"/>
  <c r="G9" i="2"/>
  <c r="G10" i="2"/>
  <c r="G11" i="2"/>
  <c r="G12" i="2"/>
  <c r="G13" i="2"/>
  <c r="F2" i="3" a="1"/>
  <c r="F2" i="3" s="1"/>
  <c r="F3" i="3" a="1"/>
  <c r="F3" i="3" s="1"/>
  <c r="F4" i="3" a="1"/>
  <c r="F4" i="3" s="1"/>
  <c r="F5" i="3" a="1"/>
  <c r="F5" i="3" s="1"/>
  <c r="F6" i="3" a="1"/>
  <c r="F6" i="3" s="1"/>
  <c r="F7" i="3" a="1"/>
  <c r="F7" i="3" s="1"/>
  <c r="F8" i="3" a="1"/>
  <c r="F8" i="3" s="1"/>
  <c r="F9" i="3" a="1"/>
  <c r="F9" i="3" s="1"/>
  <c r="F10" i="3" a="1"/>
  <c r="F10" i="3" s="1"/>
  <c r="F11" i="3" a="1"/>
  <c r="F11" i="3" s="1"/>
  <c r="F12" i="3" a="1"/>
  <c r="F12" i="3" s="1"/>
  <c r="F13" i="3" a="1"/>
  <c r="F13" i="3" s="1"/>
  <c r="F14" i="3" a="1"/>
  <c r="F14" i="3"/>
  <c r="F15" i="3" a="1"/>
  <c r="F15" i="3" s="1"/>
  <c r="F16" i="3" a="1"/>
  <c r="F16" i="3" s="1"/>
  <c r="F17" i="3" a="1"/>
  <c r="F17" i="3" s="1"/>
  <c r="F18" i="3" a="1"/>
  <c r="F18" i="3" s="1"/>
  <c r="F19" i="3" a="1"/>
  <c r="F19" i="3" s="1"/>
  <c r="F20" i="3" a="1"/>
  <c r="F20" i="3" s="1"/>
  <c r="F21" i="3" a="1"/>
  <c r="F21" i="3" s="1"/>
  <c r="F22" i="3" a="1"/>
  <c r="F22" i="3" s="1"/>
  <c r="F23" i="3" a="1"/>
  <c r="F23" i="3" s="1"/>
  <c r="F24" i="3" a="1"/>
  <c r="F24" i="3" s="1"/>
  <c r="F25" i="3" a="1"/>
  <c r="F25" i="3" s="1"/>
  <c r="F26" i="3" a="1"/>
  <c r="F26" i="3" s="1"/>
  <c r="F27" i="3" a="1"/>
  <c r="F27" i="3" s="1"/>
  <c r="F28" i="3" a="1"/>
  <c r="F28" i="3" s="1"/>
  <c r="F29" i="3" a="1"/>
  <c r="F29" i="3" s="1"/>
  <c r="F30" i="3" a="1"/>
  <c r="F30" i="3" s="1"/>
  <c r="F31" i="3" a="1"/>
  <c r="F31" i="3" s="1"/>
  <c r="F32" i="3" a="1"/>
  <c r="F32" i="3" s="1"/>
  <c r="F33" i="3" a="1"/>
  <c r="F33" i="3" s="1"/>
  <c r="F34" i="3" a="1"/>
  <c r="F34" i="3" s="1"/>
  <c r="F35" i="3" a="1"/>
  <c r="F35" i="3" s="1"/>
  <c r="F36" i="3" a="1"/>
  <c r="F36" i="3" s="1"/>
  <c r="F37" i="3" a="1"/>
  <c r="F37" i="3" s="1"/>
  <c r="F38" i="3" a="1"/>
  <c r="F38" i="3" s="1"/>
  <c r="F39" i="3" a="1"/>
  <c r="F39" i="3" s="1"/>
  <c r="F40" i="3" a="1"/>
  <c r="F40" i="3" s="1"/>
  <c r="F41" i="3" a="1"/>
  <c r="F41" i="3" s="1"/>
  <c r="F42" i="3" a="1"/>
  <c r="F42" i="3" s="1"/>
  <c r="F43" i="3" a="1"/>
  <c r="F43" i="3" s="1"/>
  <c r="F44" i="3" a="1"/>
  <c r="F44" i="3" s="1"/>
  <c r="F45" i="3" a="1"/>
  <c r="F45" i="3" s="1"/>
  <c r="F46" i="3" a="1"/>
  <c r="F46" i="3" s="1"/>
  <c r="F47" i="3" a="1"/>
  <c r="F47" i="3" s="1"/>
  <c r="F48" i="3" a="1"/>
  <c r="F48" i="3" s="1"/>
  <c r="F49" i="3" a="1"/>
  <c r="F49" i="3" s="1"/>
  <c r="F50" i="3" a="1"/>
  <c r="F50" i="3"/>
  <c r="F51" i="3" a="1"/>
  <c r="F51" i="3" s="1"/>
  <c r="F52" i="3" a="1"/>
  <c r="F52" i="3" s="1"/>
  <c r="F53" i="3" a="1"/>
  <c r="F53" i="3" s="1"/>
  <c r="F54" i="3" a="1"/>
  <c r="F54" i="3" s="1"/>
  <c r="F55" i="3" a="1"/>
  <c r="F55" i="3" s="1"/>
  <c r="F56" i="3" a="1"/>
  <c r="F56" i="3" s="1"/>
  <c r="F57" i="3" a="1"/>
  <c r="F57" i="3" s="1"/>
  <c r="F58" i="3" a="1"/>
  <c r="F58" i="3" s="1"/>
  <c r="F59" i="3" a="1"/>
  <c r="F59" i="3" s="1"/>
  <c r="F60" i="3" a="1"/>
  <c r="F60" i="3" s="1"/>
  <c r="F61" i="3" a="1"/>
  <c r="F61" i="3" s="1"/>
  <c r="F62" i="3" a="1"/>
  <c r="F62" i="3" s="1"/>
  <c r="F63" i="3" a="1"/>
  <c r="F63" i="3" s="1"/>
  <c r="F64" i="3" a="1"/>
  <c r="F64" i="3" s="1"/>
  <c r="F65" i="3" a="1"/>
  <c r="F65" i="3" s="1"/>
  <c r="F66" i="3" a="1"/>
  <c r="F66" i="3" s="1"/>
  <c r="F67" i="3" a="1"/>
  <c r="F67" i="3" s="1"/>
  <c r="F68" i="3" a="1"/>
  <c r="F68" i="3" s="1"/>
  <c r="F69" i="3" a="1"/>
  <c r="F69" i="3" s="1"/>
  <c r="F70" i="3" a="1"/>
  <c r="F70" i="3" s="1"/>
  <c r="F71" i="3" a="1"/>
  <c r="F71" i="3" s="1"/>
  <c r="F72" i="3" a="1"/>
  <c r="F72" i="3" s="1"/>
  <c r="F73" i="3" a="1"/>
  <c r="F73" i="3" s="1"/>
  <c r="F74" i="3" a="1"/>
  <c r="F74" i="3"/>
  <c r="F75" i="3" a="1"/>
  <c r="F75" i="3" s="1"/>
  <c r="F76" i="3" a="1"/>
  <c r="F76" i="3" s="1"/>
  <c r="F77" i="3" a="1"/>
  <c r="F77" i="3" s="1"/>
  <c r="F78" i="3" a="1"/>
  <c r="F78" i="3" s="1"/>
  <c r="F79" i="3" a="1"/>
  <c r="F79" i="3" s="1"/>
  <c r="F80" i="3" a="1"/>
  <c r="F80" i="3" s="1"/>
  <c r="F81" i="3" a="1"/>
  <c r="F81" i="3" s="1"/>
  <c r="F82" i="3" a="1"/>
  <c r="F82" i="3"/>
  <c r="F83" i="3" a="1"/>
  <c r="F83" i="3" s="1"/>
  <c r="F84" i="3" a="1"/>
  <c r="F84" i="3" s="1"/>
  <c r="F85" i="3" a="1"/>
  <c r="F85" i="3" s="1"/>
  <c r="F86" i="3" a="1"/>
  <c r="F86" i="3" s="1"/>
  <c r="F87" i="3" a="1"/>
  <c r="F87" i="3" s="1"/>
  <c r="F88" i="3" a="1"/>
  <c r="F88" i="3" s="1"/>
  <c r="F89" i="3" a="1"/>
  <c r="F89" i="3" s="1"/>
  <c r="F90" i="3" a="1"/>
  <c r="F90" i="3" s="1"/>
  <c r="F91" i="3" a="1"/>
  <c r="F91" i="3" s="1"/>
  <c r="F92" i="3" a="1"/>
  <c r="F92" i="3" s="1"/>
  <c r="F93" i="3" a="1"/>
  <c r="F93" i="3" s="1"/>
  <c r="F94" i="3" a="1"/>
  <c r="F94" i="3" s="1"/>
  <c r="F95" i="3" a="1"/>
  <c r="F95" i="3" s="1"/>
  <c r="F96" i="3" a="1"/>
  <c r="F96" i="3" s="1"/>
  <c r="F97" i="3" a="1"/>
  <c r="F97" i="3" s="1"/>
  <c r="F98" i="3" a="1"/>
  <c r="F98" i="3" s="1"/>
  <c r="F99" i="3" a="1"/>
  <c r="F99" i="3" s="1"/>
  <c r="F100" i="3" a="1"/>
  <c r="F100" i="3" s="1"/>
  <c r="F101" i="3" a="1"/>
  <c r="F101" i="3" s="1"/>
  <c r="F102" i="3" a="1"/>
  <c r="F102" i="3" s="1"/>
  <c r="F103" i="3" a="1"/>
  <c r="F103" i="3" s="1"/>
  <c r="F104" i="3" a="1"/>
  <c r="F104" i="3" s="1"/>
  <c r="F105" i="3" a="1"/>
  <c r="F105" i="3" s="1"/>
  <c r="F106" i="3" a="1"/>
  <c r="F106" i="3" s="1"/>
  <c r="F107" i="3" a="1"/>
  <c r="F107" i="3" s="1"/>
  <c r="F108" i="3" a="1"/>
  <c r="F108" i="3" s="1"/>
  <c r="F109" i="3" a="1"/>
  <c r="F109" i="3" s="1"/>
  <c r="F110" i="3" a="1"/>
  <c r="F110" i="3" s="1"/>
  <c r="F111" i="3" a="1"/>
  <c r="F111" i="3" s="1"/>
  <c r="F112" i="3" a="1"/>
  <c r="F112" i="3" s="1"/>
  <c r="F113" i="3" a="1"/>
  <c r="F113" i="3" s="1"/>
  <c r="F114" i="3" a="1"/>
  <c r="F114" i="3" s="1"/>
  <c r="F115" i="3" a="1"/>
  <c r="F115" i="3" s="1"/>
  <c r="F116" i="3" a="1"/>
  <c r="F116" i="3" s="1"/>
  <c r="F117" i="3" a="1"/>
  <c r="F117" i="3" s="1"/>
  <c r="F118" i="3" a="1"/>
  <c r="F118" i="3" s="1"/>
  <c r="F119" i="3" a="1"/>
  <c r="F119" i="3" s="1"/>
  <c r="F120" i="3" a="1"/>
  <c r="F120" i="3" s="1"/>
  <c r="F121" i="3" a="1"/>
  <c r="F121" i="3" s="1"/>
  <c r="F122" i="3" a="1"/>
  <c r="F122" i="3" s="1"/>
  <c r="F123" i="3" a="1"/>
  <c r="F123" i="3" s="1"/>
  <c r="F124" i="3" a="1"/>
  <c r="F124" i="3" s="1"/>
  <c r="F125" i="3" a="1"/>
  <c r="F125" i="3" s="1"/>
  <c r="F126" i="3" a="1"/>
  <c r="F126" i="3" s="1"/>
  <c r="F127" i="3" a="1"/>
  <c r="F127" i="3" s="1"/>
  <c r="F128" i="3" a="1"/>
  <c r="F128" i="3" s="1"/>
  <c r="F129" i="3" a="1"/>
  <c r="F129" i="3" s="1"/>
  <c r="F130" i="3" a="1"/>
  <c r="F130" i="3" s="1"/>
  <c r="F131" i="3" a="1"/>
  <c r="F131" i="3" s="1"/>
  <c r="F132" i="3" a="1"/>
  <c r="F132" i="3" s="1"/>
  <c r="F133" i="3" a="1"/>
  <c r="F133" i="3" s="1"/>
  <c r="F134" i="3" a="1"/>
  <c r="F134" i="3" s="1"/>
  <c r="F135" i="3" a="1"/>
  <c r="F135" i="3" s="1"/>
  <c r="F136" i="3" a="1"/>
  <c r="F136" i="3" s="1"/>
  <c r="F137" i="3" a="1"/>
  <c r="F137" i="3" s="1"/>
  <c r="F138" i="3" a="1"/>
  <c r="F138" i="3" s="1"/>
  <c r="F139" i="3" a="1"/>
  <c r="F139" i="3" s="1"/>
  <c r="F140" i="3" a="1"/>
  <c r="F140" i="3" s="1"/>
  <c r="F141" i="3" a="1"/>
  <c r="F141" i="3" s="1"/>
  <c r="F142" i="3" a="1"/>
  <c r="F142" i="3"/>
  <c r="F143" i="3" a="1"/>
  <c r="F143" i="3" s="1"/>
  <c r="F144" i="3" a="1"/>
  <c r="F144" i="3" s="1"/>
  <c r="F145" i="3" a="1"/>
  <c r="F145" i="3" s="1"/>
  <c r="F146" i="3" a="1"/>
  <c r="F146" i="3" s="1"/>
  <c r="F147" i="3" a="1"/>
  <c r="F147" i="3" s="1"/>
  <c r="F148" i="3" a="1"/>
  <c r="F148" i="3" s="1"/>
  <c r="F149" i="3" a="1"/>
  <c r="F149" i="3" s="1"/>
  <c r="F150" i="3" a="1"/>
  <c r="F150" i="3" s="1"/>
  <c r="F151" i="3" a="1"/>
  <c r="F151" i="3" s="1"/>
  <c r="F152" i="3" a="1"/>
  <c r="F152" i="3" s="1"/>
  <c r="F153" i="3" a="1"/>
  <c r="F153" i="3" s="1"/>
  <c r="F154" i="3" a="1"/>
  <c r="F154" i="3" s="1"/>
  <c r="F155" i="3" a="1"/>
  <c r="F155" i="3" s="1"/>
  <c r="F156" i="3" a="1"/>
  <c r="F156" i="3" s="1"/>
  <c r="F157" i="3" a="1"/>
  <c r="F157" i="3" s="1"/>
  <c r="F158" i="3" a="1"/>
  <c r="F158" i="3" s="1"/>
  <c r="F159" i="3" a="1"/>
  <c r="F159" i="3" s="1"/>
  <c r="F160" i="3" a="1"/>
  <c r="F160" i="3" s="1"/>
  <c r="F161" i="3" a="1"/>
  <c r="F161" i="3" s="1"/>
  <c r="F162" i="3" a="1"/>
  <c r="F162" i="3" s="1"/>
  <c r="F163" i="3" a="1"/>
  <c r="F163" i="3" s="1"/>
  <c r="F164" i="3" a="1"/>
  <c r="F164" i="3" s="1"/>
  <c r="F165" i="3" a="1"/>
  <c r="F165" i="3" s="1"/>
  <c r="F166" i="3" a="1"/>
  <c r="F166" i="3" s="1"/>
  <c r="F167" i="3" a="1"/>
  <c r="F167" i="3" s="1"/>
  <c r="F168" i="3" a="1"/>
  <c r="F168" i="3" s="1"/>
  <c r="F169" i="3" a="1"/>
  <c r="F169" i="3" s="1"/>
  <c r="F170" i="3" a="1"/>
  <c r="F170" i="3" s="1"/>
  <c r="F171" i="3" a="1"/>
  <c r="F171" i="3" s="1"/>
  <c r="F172" i="3" a="1"/>
  <c r="F172" i="3" s="1"/>
  <c r="F173" i="3" a="1"/>
  <c r="F173" i="3" s="1"/>
  <c r="F174" i="3" a="1"/>
  <c r="F174" i="3" s="1"/>
  <c r="F175" i="3" a="1"/>
  <c r="F175" i="3" s="1"/>
  <c r="F176" i="3" a="1"/>
  <c r="F176" i="3" s="1"/>
  <c r="F177" i="3" a="1"/>
  <c r="F177" i="3" s="1"/>
  <c r="F178" i="3" a="1"/>
  <c r="F178" i="3" s="1"/>
  <c r="F179" i="3" a="1"/>
  <c r="F179" i="3" s="1"/>
  <c r="F180" i="3" a="1"/>
  <c r="F180" i="3" s="1"/>
  <c r="F181" i="3" a="1"/>
  <c r="F181" i="3" s="1"/>
  <c r="F182" i="3" a="1"/>
  <c r="F182" i="3" s="1"/>
  <c r="F183" i="3" a="1"/>
  <c r="F183" i="3" s="1"/>
  <c r="F184" i="3" a="1"/>
  <c r="F184" i="3" s="1"/>
  <c r="F185" i="3" a="1"/>
  <c r="F185" i="3" s="1"/>
  <c r="F186" i="3" a="1"/>
  <c r="F186" i="3" s="1"/>
  <c r="F187" i="3" a="1"/>
  <c r="F187" i="3" s="1"/>
  <c r="F188" i="3" a="1"/>
  <c r="F188" i="3" s="1"/>
  <c r="F189" i="3" a="1"/>
  <c r="F189" i="3" s="1"/>
  <c r="F190" i="3" a="1"/>
  <c r="F190" i="3" s="1"/>
  <c r="F191" i="3" a="1"/>
  <c r="F191" i="3" s="1"/>
  <c r="F192" i="3" a="1"/>
  <c r="F192" i="3" s="1"/>
  <c r="F193" i="3" a="1"/>
  <c r="F193" i="3" s="1"/>
  <c r="F194" i="3" a="1"/>
  <c r="F194" i="3" s="1"/>
  <c r="F195" i="3" a="1"/>
  <c r="F195" i="3" s="1"/>
  <c r="F196" i="3" a="1"/>
  <c r="F196" i="3"/>
  <c r="F197" i="3" a="1"/>
  <c r="F197" i="3" s="1"/>
  <c r="F198" i="3" a="1"/>
  <c r="F198" i="3" s="1"/>
  <c r="F199" i="3" a="1"/>
  <c r="F199" i="3" s="1"/>
  <c r="F200" i="3" a="1"/>
  <c r="F200" i="3" s="1"/>
  <c r="F201" i="3" a="1"/>
  <c r="F201" i="3" s="1"/>
  <c r="F202" i="3" a="1"/>
  <c r="F202" i="3" s="1"/>
  <c r="F203" i="3" a="1"/>
  <c r="F203" i="3" s="1"/>
  <c r="F204" i="3" a="1"/>
  <c r="F204" i="3" s="1"/>
  <c r="F205" i="3" a="1"/>
  <c r="F205" i="3" s="1"/>
  <c r="F206" i="3" a="1"/>
  <c r="F206" i="3" s="1"/>
  <c r="F207" i="3" a="1"/>
  <c r="F207" i="3" s="1"/>
  <c r="F208" i="3" a="1"/>
  <c r="F208" i="3" s="1"/>
  <c r="F209" i="3" a="1"/>
  <c r="F209" i="3" s="1"/>
  <c r="F210" i="3" a="1"/>
  <c r="F210" i="3" s="1"/>
  <c r="F211" i="3" a="1"/>
  <c r="F211" i="3" s="1"/>
  <c r="F212" i="3" a="1"/>
  <c r="F212" i="3" s="1"/>
  <c r="F213" i="3" a="1"/>
  <c r="F213" i="3" s="1"/>
  <c r="F214" i="3" a="1"/>
  <c r="F214" i="3" s="1"/>
  <c r="F215" i="3" a="1"/>
  <c r="F215" i="3" s="1"/>
  <c r="F216" i="3" a="1"/>
  <c r="F216" i="3" s="1"/>
  <c r="F217" i="3" a="1"/>
  <c r="F217" i="3" s="1"/>
  <c r="F218" i="3" a="1"/>
  <c r="F218" i="3" s="1"/>
  <c r="F219" i="3" a="1"/>
  <c r="F219" i="3" s="1"/>
  <c r="F220" i="3" a="1"/>
  <c r="F220" i="3" s="1"/>
  <c r="F221" i="3" a="1"/>
  <c r="F221" i="3" s="1"/>
  <c r="F222" i="3" a="1"/>
  <c r="F222" i="3" s="1"/>
  <c r="F223" i="3" a="1"/>
  <c r="F223" i="3" s="1"/>
  <c r="F224" i="3" a="1"/>
  <c r="F224" i="3" s="1"/>
  <c r="F225" i="3" a="1"/>
  <c r="F225" i="3" s="1"/>
  <c r="F226" i="3" a="1"/>
  <c r="F226" i="3" s="1"/>
  <c r="F227" i="3" a="1"/>
  <c r="F227" i="3" s="1"/>
  <c r="F228" i="3" a="1"/>
  <c r="F228" i="3" s="1"/>
  <c r="F229" i="3" a="1"/>
  <c r="F229" i="3" s="1"/>
  <c r="F230" i="3" a="1"/>
  <c r="F230" i="3" s="1"/>
  <c r="F231" i="3" a="1"/>
  <c r="F231" i="3" s="1"/>
  <c r="F232" i="3" a="1"/>
  <c r="F232" i="3" s="1"/>
  <c r="F233" i="3" a="1"/>
  <c r="F233" i="3" s="1"/>
  <c r="F234" i="3" a="1"/>
  <c r="F234" i="3" s="1"/>
  <c r="F235" i="3" a="1"/>
  <c r="F235" i="3" s="1"/>
  <c r="F236" i="3" a="1"/>
  <c r="F236" i="3" s="1"/>
  <c r="F237" i="3" a="1"/>
  <c r="F237" i="3" s="1"/>
  <c r="F238" i="3" a="1"/>
  <c r="F238" i="3" s="1"/>
  <c r="F239" i="3" a="1"/>
  <c r="F239" i="3" s="1"/>
  <c r="F240" i="3" a="1"/>
  <c r="F240" i="3" s="1"/>
  <c r="F241" i="3" a="1"/>
  <c r="F241" i="3" s="1"/>
  <c r="F242" i="3" a="1"/>
  <c r="F242" i="3" s="1"/>
  <c r="F243" i="3" a="1"/>
  <c r="F243" i="3" s="1"/>
  <c r="F244" i="3" a="1"/>
  <c r="F244" i="3" s="1"/>
  <c r="F245" i="3" a="1"/>
  <c r="F245" i="3" s="1"/>
  <c r="F246" i="3" a="1"/>
  <c r="F246" i="3" s="1"/>
  <c r="F247" i="3" a="1"/>
  <c r="F247" i="3" s="1"/>
  <c r="F248" i="3" a="1"/>
  <c r="F248" i="3" s="1"/>
  <c r="F249" i="3" a="1"/>
  <c r="F249" i="3" s="1"/>
  <c r="F250" i="3" a="1"/>
  <c r="F250" i="3" s="1"/>
  <c r="F251" i="3" a="1"/>
  <c r="F251" i="3" s="1"/>
  <c r="F252" i="3" a="1"/>
  <c r="F252" i="3" s="1"/>
  <c r="F253" i="3" a="1"/>
  <c r="F253" i="3" s="1"/>
  <c r="F254" i="3" a="1"/>
  <c r="F254" i="3"/>
  <c r="F255" i="3" a="1"/>
  <c r="F255" i="3" s="1"/>
  <c r="F256" i="3" a="1"/>
  <c r="F256" i="3" s="1"/>
  <c r="F257" i="3" a="1"/>
  <c r="F257" i="3" s="1"/>
  <c r="F258" i="3" a="1"/>
  <c r="F258" i="3" s="1"/>
  <c r="F259" i="3" a="1"/>
  <c r="F259" i="3" s="1"/>
  <c r="F260" i="3" a="1"/>
  <c r="F260" i="3" s="1"/>
  <c r="F261" i="3" a="1"/>
  <c r="F261" i="3" s="1"/>
  <c r="F262" i="3" a="1"/>
  <c r="F262" i="3" s="1"/>
  <c r="F263" i="3" a="1"/>
  <c r="F263" i="3" s="1"/>
  <c r="F264" i="3" a="1"/>
  <c r="F264" i="3" s="1"/>
  <c r="F265" i="3" a="1"/>
  <c r="F265" i="3" s="1"/>
  <c r="F266" i="3" a="1"/>
  <c r="F266" i="3" s="1"/>
  <c r="F267" i="3" a="1"/>
  <c r="F267" i="3" s="1"/>
  <c r="F268" i="3" a="1"/>
  <c r="F268" i="3" s="1"/>
  <c r="F269" i="3" a="1"/>
  <c r="F269" i="3" s="1"/>
  <c r="F270" i="3" a="1"/>
  <c r="F270" i="3" s="1"/>
  <c r="F271" i="3" a="1"/>
  <c r="F271" i="3" s="1"/>
  <c r="F272" i="3" a="1"/>
  <c r="F272" i="3" s="1"/>
  <c r="F273" i="3" a="1"/>
  <c r="F273" i="3" s="1"/>
  <c r="F274" i="3" a="1"/>
  <c r="F274" i="3" s="1"/>
  <c r="F275" i="3" a="1"/>
  <c r="F275" i="3" s="1"/>
  <c r="F276" i="3" a="1"/>
  <c r="F276" i="3" s="1"/>
  <c r="F277" i="3" a="1"/>
  <c r="F277" i="3" s="1"/>
  <c r="F278" i="3" a="1"/>
  <c r="F278" i="3" s="1"/>
  <c r="F279" i="3" a="1"/>
  <c r="F279" i="3" s="1"/>
  <c r="F280" i="3" a="1"/>
  <c r="F280" i="3" s="1"/>
  <c r="F281" i="3" a="1"/>
  <c r="F281" i="3" s="1"/>
  <c r="F282" i="3" a="1"/>
  <c r="F282" i="3" s="1"/>
  <c r="F283" i="3" a="1"/>
  <c r="F283" i="3" s="1"/>
  <c r="F284" i="3" a="1"/>
  <c r="F284" i="3" s="1"/>
  <c r="F285" i="3" a="1"/>
  <c r="F285" i="3" s="1"/>
  <c r="F286" i="3" a="1"/>
  <c r="F286" i="3" s="1"/>
  <c r="F287" i="3" a="1"/>
  <c r="F287" i="3" s="1"/>
  <c r="F288" i="3" a="1"/>
  <c r="F288" i="3"/>
  <c r="F289" i="3" a="1"/>
  <c r="F289" i="3" s="1"/>
  <c r="F290" i="3" a="1"/>
  <c r="F290" i="3" s="1"/>
  <c r="F291" i="3" a="1"/>
  <c r="F291" i="3" s="1"/>
  <c r="F292" i="3" a="1"/>
  <c r="F292" i="3" s="1"/>
  <c r="F293" i="3" a="1"/>
  <c r="F293" i="3" s="1"/>
  <c r="F294" i="3" a="1"/>
  <c r="F294" i="3" s="1"/>
  <c r="F295" i="3" a="1"/>
  <c r="F295" i="3" s="1"/>
  <c r="F296" i="3" a="1"/>
  <c r="F296" i="3"/>
  <c r="F297" i="3" a="1"/>
  <c r="F297" i="3" s="1"/>
  <c r="F298" i="3" a="1"/>
  <c r="F298" i="3" s="1"/>
  <c r="F299" i="3" a="1"/>
  <c r="F299" i="3" s="1"/>
  <c r="F300" i="3" a="1"/>
  <c r="F300" i="3" s="1"/>
  <c r="F301" i="3" a="1"/>
  <c r="F301" i="3" s="1"/>
  <c r="F302" i="3" a="1"/>
  <c r="F302" i="3" s="1"/>
  <c r="F303" i="3" a="1"/>
  <c r="F303" i="3" s="1"/>
  <c r="F304" i="3" a="1"/>
  <c r="F304" i="3"/>
  <c r="F305" i="3" a="1"/>
  <c r="F305" i="3" s="1"/>
  <c r="F306" i="3" a="1"/>
  <c r="F306" i="3" s="1"/>
  <c r="F307" i="3" a="1"/>
  <c r="F307" i="3" s="1"/>
  <c r="F308" i="3" a="1"/>
  <c r="F308" i="3" s="1"/>
  <c r="F309" i="3" a="1"/>
  <c r="F309" i="3" s="1"/>
  <c r="F310" i="3" a="1"/>
  <c r="F310" i="3"/>
  <c r="F311" i="3" a="1"/>
  <c r="F311" i="3" s="1"/>
  <c r="F312" i="3" a="1"/>
  <c r="F312" i="3" s="1"/>
  <c r="F313" i="3" a="1"/>
  <c r="F313" i="3" s="1"/>
  <c r="F314" i="3" a="1"/>
  <c r="F314" i="3" s="1"/>
  <c r="F315" i="3" a="1"/>
  <c r="F315" i="3" s="1"/>
  <c r="F316" i="3" a="1"/>
  <c r="F316" i="3" s="1"/>
  <c r="F317" i="3" a="1"/>
  <c r="F317" i="3" s="1"/>
  <c r="F318" i="3" a="1"/>
  <c r="F318" i="3" s="1"/>
  <c r="F319" i="3" a="1"/>
  <c r="F319" i="3" s="1"/>
  <c r="F320" i="3" a="1"/>
  <c r="F320" i="3" s="1"/>
  <c r="F321" i="3" a="1"/>
  <c r="F321" i="3" s="1"/>
  <c r="F322" i="3" a="1"/>
  <c r="F322" i="3" s="1"/>
  <c r="F323" i="3" a="1"/>
  <c r="F323" i="3" s="1"/>
  <c r="F324" i="3" a="1"/>
  <c r="F324" i="3" s="1"/>
  <c r="F325" i="3" a="1"/>
  <c r="F325" i="3" s="1"/>
  <c r="F326" i="3" a="1"/>
  <c r="F326" i="3" s="1"/>
  <c r="F327" i="3" a="1"/>
  <c r="F327" i="3" s="1"/>
  <c r="F328" i="3" a="1"/>
  <c r="F328" i="3" s="1"/>
  <c r="F329" i="3" a="1"/>
  <c r="F329" i="3" s="1"/>
  <c r="F330" i="3" a="1"/>
  <c r="F330" i="3" s="1"/>
  <c r="F331" i="3" a="1"/>
  <c r="F331" i="3" s="1"/>
  <c r="F332" i="3" a="1"/>
  <c r="F332" i="3" s="1"/>
  <c r="F333" i="3" a="1"/>
  <c r="F333" i="3" s="1"/>
  <c r="F334" i="3" a="1"/>
  <c r="F334" i="3" s="1"/>
  <c r="F335" i="3" a="1"/>
  <c r="F335" i="3" s="1"/>
  <c r="F336" i="3" a="1"/>
  <c r="F336" i="3" s="1"/>
  <c r="F337" i="3" a="1"/>
  <c r="F337" i="3" s="1"/>
  <c r="F338" i="3" a="1"/>
  <c r="F338" i="3" s="1"/>
  <c r="F339" i="3" a="1"/>
  <c r="F339" i="3" s="1"/>
  <c r="F340" i="3" a="1"/>
  <c r="F340" i="3"/>
  <c r="F341" i="3" a="1"/>
  <c r="F341" i="3" s="1"/>
  <c r="F342" i="3" a="1"/>
  <c r="F342" i="3" s="1"/>
  <c r="F343" i="3" a="1"/>
  <c r="F343" i="3" s="1"/>
  <c r="F344" i="3" a="1"/>
  <c r="F344" i="3" s="1"/>
  <c r="F345" i="3" a="1"/>
  <c r="F345" i="3" s="1"/>
  <c r="F346" i="3" a="1"/>
  <c r="F346" i="3"/>
  <c r="F347" i="3" a="1"/>
  <c r="F347" i="3" s="1"/>
  <c r="F348" i="3" a="1"/>
  <c r="F348" i="3" s="1"/>
  <c r="F349" i="3" a="1"/>
  <c r="F349" i="3" s="1"/>
  <c r="F350" i="3" a="1"/>
  <c r="F350" i="3" s="1"/>
  <c r="F351" i="3" a="1"/>
  <c r="F351" i="3" s="1"/>
  <c r="F352" i="3" a="1"/>
  <c r="F352" i="3" s="1"/>
  <c r="F353" i="3" a="1"/>
  <c r="F353" i="3" s="1"/>
  <c r="F354" i="3" a="1"/>
  <c r="F354" i="3"/>
  <c r="F355" i="3" a="1"/>
  <c r="F355" i="3" s="1"/>
  <c r="F356" i="3" a="1"/>
  <c r="F356" i="3" s="1"/>
  <c r="F357" i="3" a="1"/>
  <c r="F357" i="3" s="1"/>
  <c r="F358" i="3" a="1"/>
  <c r="F358" i="3" s="1"/>
  <c r="F359" i="3" a="1"/>
  <c r="F359" i="3" s="1"/>
  <c r="F360" i="3" a="1"/>
  <c r="F360" i="3"/>
  <c r="F361" i="3" a="1"/>
  <c r="F361" i="3" s="1"/>
  <c r="F362" i="3" a="1"/>
  <c r="F362" i="3" s="1"/>
  <c r="F363" i="3" a="1"/>
  <c r="F363" i="3" s="1"/>
  <c r="F364" i="3" a="1"/>
  <c r="F364" i="3" s="1"/>
  <c r="F365" i="3" a="1"/>
  <c r="F365" i="3" s="1"/>
  <c r="F366" i="3" a="1"/>
  <c r="F366" i="3" s="1"/>
  <c r="F367" i="3" a="1"/>
  <c r="F367" i="3" s="1"/>
  <c r="F368" i="3" a="1"/>
  <c r="F368" i="3"/>
  <c r="F369" i="3" a="1"/>
  <c r="F369" i="3" s="1"/>
  <c r="F370" i="3" a="1"/>
  <c r="F370" i="3" s="1"/>
  <c r="F371" i="3" a="1"/>
  <c r="F371" i="3" s="1"/>
  <c r="F372" i="3" a="1"/>
  <c r="F372" i="3"/>
  <c r="F373" i="3" a="1"/>
  <c r="F373" i="3" s="1"/>
  <c r="F374" i="3" a="1"/>
  <c r="F374" i="3" s="1"/>
  <c r="F375" i="3" a="1"/>
  <c r="F375" i="3" s="1"/>
  <c r="F376" i="3" a="1"/>
  <c r="F376" i="3" s="1"/>
  <c r="F377" i="3" a="1"/>
  <c r="F377" i="3" s="1"/>
  <c r="F378" i="3" a="1"/>
  <c r="F378" i="3" s="1"/>
  <c r="F379" i="3" a="1"/>
  <c r="F379" i="3" s="1"/>
  <c r="F380" i="3" a="1"/>
  <c r="F380" i="3" s="1"/>
  <c r="F381" i="3" a="1"/>
  <c r="F381" i="3" s="1"/>
  <c r="F382" i="3" a="1"/>
  <c r="F382" i="3" s="1"/>
  <c r="F383" i="3" a="1"/>
  <c r="F383" i="3" s="1"/>
  <c r="F384" i="3" a="1"/>
  <c r="F384" i="3" s="1"/>
  <c r="F385" i="3" a="1"/>
  <c r="F385" i="3" s="1"/>
  <c r="F386" i="3" a="1"/>
  <c r="F386" i="3"/>
  <c r="F387" i="3" a="1"/>
  <c r="F387" i="3" s="1"/>
  <c r="F388" i="3" a="1"/>
  <c r="F388" i="3" s="1"/>
  <c r="F389" i="3" a="1"/>
  <c r="F389" i="3" s="1"/>
  <c r="F390" i="3" a="1"/>
  <c r="F390" i="3" s="1"/>
  <c r="F391" i="3" a="1"/>
  <c r="F391" i="3" s="1"/>
  <c r="F392" i="3" a="1"/>
  <c r="F392" i="3" s="1"/>
  <c r="F393" i="3" a="1"/>
  <c r="F393" i="3" s="1"/>
  <c r="F394" i="3" a="1"/>
  <c r="F394" i="3" s="1"/>
  <c r="F395" i="3" a="1"/>
  <c r="F395" i="3" s="1"/>
  <c r="F396" i="3" a="1"/>
  <c r="F396" i="3" s="1"/>
  <c r="F397" i="3" a="1"/>
  <c r="F397" i="3" s="1"/>
  <c r="F398" i="3" a="1"/>
  <c r="F398" i="3" s="1"/>
  <c r="F399" i="3" a="1"/>
  <c r="F399" i="3" s="1"/>
  <c r="F400" i="3" a="1"/>
  <c r="F400" i="3" s="1"/>
  <c r="F401" i="3" a="1"/>
  <c r="F401" i="3" s="1"/>
  <c r="F402" i="3" a="1"/>
  <c r="F402" i="3"/>
  <c r="F403" i="3" a="1"/>
  <c r="F403" i="3" s="1"/>
  <c r="F404" i="3" a="1"/>
  <c r="F404" i="3" s="1"/>
  <c r="F405" i="3" a="1"/>
  <c r="F405" i="3" s="1"/>
  <c r="F406" i="3" a="1"/>
  <c r="F406" i="3" s="1"/>
  <c r="F407" i="3" a="1"/>
  <c r="F407" i="3" s="1"/>
  <c r="F408" i="3" a="1"/>
  <c r="F408" i="3" s="1"/>
  <c r="F409" i="3" a="1"/>
  <c r="F409" i="3" s="1"/>
  <c r="F410" i="3" a="1"/>
  <c r="F410" i="3" s="1"/>
  <c r="F411" i="3" a="1"/>
  <c r="F411" i="3" s="1"/>
  <c r="F412" i="3" a="1"/>
  <c r="F412" i="3" s="1"/>
  <c r="F413" i="3" a="1"/>
  <c r="F413" i="3" s="1"/>
  <c r="F414" i="3" a="1"/>
  <c r="F414" i="3" s="1"/>
  <c r="F415" i="3" a="1"/>
  <c r="F415" i="3" s="1"/>
  <c r="F416" i="3" a="1"/>
  <c r="F416" i="3" s="1"/>
  <c r="F417" i="3" a="1"/>
  <c r="F417" i="3" s="1"/>
  <c r="F418" i="3" a="1"/>
  <c r="F418" i="3" s="1"/>
  <c r="F419" i="3" a="1"/>
  <c r="F419" i="3" s="1"/>
  <c r="F420" i="3" a="1"/>
  <c r="F420" i="3" s="1"/>
  <c r="F421" i="3" a="1"/>
  <c r="F421" i="3" s="1"/>
  <c r="F422" i="3" a="1"/>
  <c r="F422" i="3" s="1"/>
  <c r="F423" i="3" a="1"/>
  <c r="F423" i="3" s="1"/>
  <c r="F424" i="3" a="1"/>
  <c r="F424" i="3" s="1"/>
  <c r="F425" i="3" a="1"/>
  <c r="F425" i="3" s="1"/>
  <c r="F426" i="3" a="1"/>
  <c r="F426" i="3" s="1"/>
  <c r="F427" i="3" a="1"/>
  <c r="F427" i="3" s="1"/>
  <c r="F428" i="3" a="1"/>
  <c r="F428" i="3" s="1"/>
  <c r="F429" i="3" a="1"/>
  <c r="F429" i="3" s="1"/>
  <c r="F430" i="3" a="1"/>
  <c r="F430" i="3" s="1"/>
  <c r="F431" i="3" a="1"/>
  <c r="F431" i="3" s="1"/>
  <c r="F432" i="3" a="1"/>
  <c r="F432" i="3" s="1"/>
  <c r="F433" i="3" a="1"/>
  <c r="F433" i="3" s="1"/>
  <c r="F434" i="3" a="1"/>
  <c r="F434" i="3" s="1"/>
  <c r="F435" i="3" a="1"/>
  <c r="F435" i="3" s="1"/>
  <c r="F436" i="3" a="1"/>
  <c r="F436" i="3" s="1"/>
  <c r="F437" i="3" a="1"/>
  <c r="F437" i="3" s="1"/>
  <c r="F438" i="3" a="1"/>
  <c r="F438" i="3"/>
  <c r="F439" i="3" a="1"/>
  <c r="F439" i="3" s="1"/>
  <c r="F440" i="3" a="1"/>
  <c r="F440" i="3" s="1"/>
  <c r="F441" i="3" a="1"/>
  <c r="F441" i="3" s="1"/>
  <c r="F442" i="3" a="1"/>
  <c r="F442" i="3" s="1"/>
  <c r="F443" i="3" a="1"/>
  <c r="F443" i="3" s="1"/>
  <c r="F444" i="3" a="1"/>
  <c r="F444" i="3" s="1"/>
  <c r="F445" i="3" a="1"/>
  <c r="F445" i="3" s="1"/>
  <c r="F446" i="3" a="1"/>
  <c r="F446" i="3" s="1"/>
  <c r="F447" i="3" a="1"/>
  <c r="F447" i="3" s="1"/>
  <c r="F448" i="3" a="1"/>
  <c r="F448" i="3" s="1"/>
  <c r="F449" i="3" a="1"/>
  <c r="F449" i="3" s="1"/>
  <c r="F450" i="3" a="1"/>
  <c r="F450" i="3" s="1"/>
  <c r="F451" i="3" a="1"/>
  <c r="F451" i="3" s="1"/>
  <c r="F452" i="3" a="1"/>
  <c r="F452" i="3" s="1"/>
  <c r="F453" i="3" a="1"/>
  <c r="F453" i="3" s="1"/>
  <c r="F454" i="3" a="1"/>
  <c r="F454" i="3" s="1"/>
  <c r="F455" i="3" a="1"/>
  <c r="F455" i="3" s="1"/>
  <c r="F456" i="3" a="1"/>
  <c r="F456" i="3" s="1"/>
  <c r="F457" i="3" a="1"/>
  <c r="F457" i="3" s="1"/>
  <c r="F458" i="3" a="1"/>
  <c r="F458" i="3" s="1"/>
  <c r="F459" i="3" a="1"/>
  <c r="F459" i="3" s="1"/>
  <c r="F460" i="3" a="1"/>
  <c r="F460" i="3" s="1"/>
  <c r="F461" i="3" a="1"/>
  <c r="F461" i="3" s="1"/>
  <c r="F462" i="3" a="1"/>
  <c r="F462" i="3" s="1"/>
  <c r="F463" i="3" a="1"/>
  <c r="F463" i="3" s="1"/>
  <c r="F464" i="3" a="1"/>
  <c r="F464" i="3" s="1"/>
  <c r="F465" i="3" a="1"/>
  <c r="F465" i="3" s="1"/>
  <c r="F466" i="3" a="1"/>
  <c r="F466" i="3" s="1"/>
  <c r="F467" i="3" a="1"/>
  <c r="F467" i="3" s="1"/>
  <c r="F468" i="3" a="1"/>
  <c r="F468" i="3" s="1"/>
  <c r="F469" i="3" a="1"/>
  <c r="F469" i="3" s="1"/>
  <c r="F470" i="3" a="1"/>
  <c r="F470" i="3" s="1"/>
  <c r="F471" i="3" a="1"/>
  <c r="F471" i="3" s="1"/>
  <c r="F472" i="3" a="1"/>
  <c r="F472" i="3" s="1"/>
  <c r="F473" i="3" a="1"/>
  <c r="F473" i="3" s="1"/>
  <c r="F474" i="3" a="1"/>
  <c r="F474" i="3"/>
  <c r="F475" i="3" a="1"/>
  <c r="F475" i="3" s="1"/>
  <c r="F476" i="3" a="1"/>
  <c r="F476" i="3" s="1"/>
  <c r="F477" i="3" a="1"/>
  <c r="F477" i="3" s="1"/>
  <c r="F478" i="3" a="1"/>
  <c r="F478" i="3" s="1"/>
  <c r="F479" i="3" a="1"/>
  <c r="F479" i="3" s="1"/>
  <c r="F480" i="3" a="1"/>
  <c r="F480" i="3" s="1"/>
  <c r="F481" i="3" a="1"/>
  <c r="F481" i="3" s="1"/>
  <c r="F482" i="3" a="1"/>
  <c r="F482" i="3" s="1"/>
  <c r="F483" i="3" a="1"/>
  <c r="F483" i="3" s="1"/>
  <c r="F484" i="3" a="1"/>
  <c r="F484" i="3" s="1"/>
  <c r="F485" i="3" a="1"/>
  <c r="F485" i="3" s="1"/>
  <c r="F486" i="3" a="1"/>
  <c r="F486" i="3" s="1"/>
  <c r="F487" i="3" a="1"/>
  <c r="F487" i="3" s="1"/>
  <c r="F488" i="3" a="1"/>
  <c r="F488" i="3" s="1"/>
  <c r="F489" i="3" a="1"/>
  <c r="F489" i="3" s="1"/>
  <c r="F490" i="3" a="1"/>
  <c r="F490" i="3" s="1"/>
  <c r="F491" i="3" a="1"/>
  <c r="F491" i="3" s="1"/>
  <c r="F492" i="3" a="1"/>
  <c r="F492" i="3" s="1"/>
  <c r="F493" i="3" a="1"/>
  <c r="F493" i="3" s="1"/>
  <c r="F494" i="3" a="1"/>
  <c r="F494" i="3" s="1"/>
  <c r="F495" i="3" a="1"/>
  <c r="F495" i="3" s="1"/>
  <c r="F496" i="3" a="1"/>
  <c r="F496" i="3" s="1"/>
  <c r="F497" i="3" a="1"/>
  <c r="F497" i="3" s="1"/>
  <c r="F498" i="3" a="1"/>
  <c r="F498" i="3" s="1"/>
  <c r="F499" i="3" a="1"/>
  <c r="F499" i="3" s="1"/>
  <c r="F500" i="3" a="1"/>
  <c r="F500" i="3" s="1"/>
  <c r="E3" i="3" a="1"/>
  <c r="E3" i="3" s="1"/>
  <c r="E4" i="3" a="1"/>
  <c r="E4" i="3" s="1"/>
  <c r="E5" i="3" a="1"/>
  <c r="E5" i="3" s="1"/>
  <c r="E6" i="3" a="1"/>
  <c r="E6" i="3" s="1"/>
  <c r="E7" i="3" a="1"/>
  <c r="E7" i="3" s="1"/>
  <c r="E8" i="3" a="1"/>
  <c r="E8" i="3" s="1"/>
  <c r="E9" i="3" a="1"/>
  <c r="E9" i="3" s="1"/>
  <c r="E10" i="3" a="1"/>
  <c r="E10" i="3" s="1"/>
  <c r="E11" i="3" a="1"/>
  <c r="E11" i="3" s="1"/>
  <c r="E12" i="3" a="1"/>
  <c r="E12" i="3" s="1"/>
  <c r="E13" i="3" a="1"/>
  <c r="E13" i="3" s="1"/>
  <c r="E14" i="3" a="1"/>
  <c r="E14" i="3" s="1"/>
  <c r="E15" i="3" a="1"/>
  <c r="E15" i="3" s="1"/>
  <c r="E16" i="3" a="1"/>
  <c r="E16" i="3" s="1"/>
  <c r="E17" i="3" a="1"/>
  <c r="E17" i="3" s="1"/>
  <c r="E18" i="3" a="1"/>
  <c r="E18" i="3" s="1"/>
  <c r="E19" i="3" a="1"/>
  <c r="E19" i="3" s="1"/>
  <c r="E20" i="3" a="1"/>
  <c r="E20" i="3" s="1"/>
  <c r="E21" i="3" a="1"/>
  <c r="E21" i="3" s="1"/>
  <c r="E22" i="3" a="1"/>
  <c r="E22" i="3" s="1"/>
  <c r="E23" i="3" a="1"/>
  <c r="E23" i="3" s="1"/>
  <c r="E24" i="3" a="1"/>
  <c r="E24" i="3" s="1"/>
  <c r="E25" i="3" a="1"/>
  <c r="E25" i="3" s="1"/>
  <c r="E26" i="3" a="1"/>
  <c r="E26" i="3" s="1"/>
  <c r="E27" i="3" a="1"/>
  <c r="E27" i="3" s="1"/>
  <c r="E28" i="3" a="1"/>
  <c r="E28" i="3" s="1"/>
  <c r="E29" i="3" a="1"/>
  <c r="E29" i="3" s="1"/>
  <c r="E30" i="3" a="1"/>
  <c r="E30" i="3" s="1"/>
  <c r="E31" i="3" a="1"/>
  <c r="E31" i="3" s="1"/>
  <c r="E32" i="3" a="1"/>
  <c r="E32" i="3" s="1"/>
  <c r="E33" i="3" a="1"/>
  <c r="E33" i="3" s="1"/>
  <c r="E34" i="3" a="1"/>
  <c r="E34" i="3" s="1"/>
  <c r="E35" i="3" a="1"/>
  <c r="E35" i="3" s="1"/>
  <c r="E36" i="3" a="1"/>
  <c r="E36" i="3" s="1"/>
  <c r="E37" i="3" a="1"/>
  <c r="E37" i="3" s="1"/>
  <c r="E38" i="3" a="1"/>
  <c r="E38" i="3" s="1"/>
  <c r="E39" i="3" a="1"/>
  <c r="E39" i="3" s="1"/>
  <c r="E40" i="3" a="1"/>
  <c r="E40" i="3" s="1"/>
  <c r="E41" i="3" a="1"/>
  <c r="E41" i="3" s="1"/>
  <c r="E42" i="3" a="1"/>
  <c r="E42" i="3" s="1"/>
  <c r="E43" i="3" a="1"/>
  <c r="E43" i="3" s="1"/>
  <c r="E44" i="3" a="1"/>
  <c r="E44" i="3" s="1"/>
  <c r="E45" i="3" a="1"/>
  <c r="E45" i="3" s="1"/>
  <c r="E46" i="3" a="1"/>
  <c r="E46" i="3" s="1"/>
  <c r="E47" i="3" a="1"/>
  <c r="E47" i="3" s="1"/>
  <c r="E48" i="3" a="1"/>
  <c r="E48" i="3" s="1"/>
  <c r="E49" i="3" a="1"/>
  <c r="E49" i="3" s="1"/>
  <c r="E50" i="3" a="1"/>
  <c r="E50" i="3" s="1"/>
  <c r="E51" i="3" a="1"/>
  <c r="E51" i="3" s="1"/>
  <c r="E52" i="3" a="1"/>
  <c r="E52" i="3" s="1"/>
  <c r="E53" i="3" a="1"/>
  <c r="E53" i="3" s="1"/>
  <c r="E54" i="3" a="1"/>
  <c r="E54" i="3" s="1"/>
  <c r="E55" i="3" a="1"/>
  <c r="E55" i="3" s="1"/>
  <c r="E56" i="3" a="1"/>
  <c r="E56" i="3" s="1"/>
  <c r="E57" i="3" a="1"/>
  <c r="E57" i="3" s="1"/>
  <c r="E58" i="3" a="1"/>
  <c r="E58" i="3" s="1"/>
  <c r="E59" i="3" a="1"/>
  <c r="E59" i="3" s="1"/>
  <c r="E60" i="3" a="1"/>
  <c r="E60" i="3" s="1"/>
  <c r="E61" i="3" a="1"/>
  <c r="E61" i="3" s="1"/>
  <c r="E62" i="3" a="1"/>
  <c r="E62" i="3" s="1"/>
  <c r="E63" i="3" a="1"/>
  <c r="E63" i="3" s="1"/>
  <c r="E64" i="3" a="1"/>
  <c r="E64" i="3" s="1"/>
  <c r="E65" i="3" a="1"/>
  <c r="E65" i="3" s="1"/>
  <c r="E66" i="3" a="1"/>
  <c r="E66" i="3" s="1"/>
  <c r="E67" i="3" a="1"/>
  <c r="E67" i="3" s="1"/>
  <c r="E68" i="3" a="1"/>
  <c r="E68" i="3" s="1"/>
  <c r="E69" i="3" a="1"/>
  <c r="E69" i="3" s="1"/>
  <c r="E70" i="3" a="1"/>
  <c r="E70" i="3" s="1"/>
  <c r="E71" i="3" a="1"/>
  <c r="E71" i="3" s="1"/>
  <c r="E72" i="3" a="1"/>
  <c r="E72" i="3" s="1"/>
  <c r="E73" i="3" a="1"/>
  <c r="E73" i="3" s="1"/>
  <c r="E74" i="3" a="1"/>
  <c r="E74" i="3" s="1"/>
  <c r="E75" i="3" a="1"/>
  <c r="E75" i="3" s="1"/>
  <c r="E76" i="3" a="1"/>
  <c r="E76" i="3" s="1"/>
  <c r="E77" i="3" a="1"/>
  <c r="E77" i="3" s="1"/>
  <c r="E78" i="3" a="1"/>
  <c r="E78" i="3" s="1"/>
  <c r="E79" i="3" a="1"/>
  <c r="E79" i="3" s="1"/>
  <c r="E80" i="3" a="1"/>
  <c r="E80" i="3" s="1"/>
  <c r="E81" i="3" a="1"/>
  <c r="E81" i="3" s="1"/>
  <c r="E82" i="3" a="1"/>
  <c r="E82" i="3" s="1"/>
  <c r="E83" i="3" a="1"/>
  <c r="E83" i="3" s="1"/>
  <c r="E84" i="3" a="1"/>
  <c r="E84" i="3" s="1"/>
  <c r="E85" i="3" a="1"/>
  <c r="E85" i="3" s="1"/>
  <c r="E86" i="3" a="1"/>
  <c r="E86" i="3" s="1"/>
  <c r="E87" i="3" a="1"/>
  <c r="E87" i="3" s="1"/>
  <c r="E88" i="3" a="1"/>
  <c r="E88" i="3" s="1"/>
  <c r="E89" i="3" a="1"/>
  <c r="E89" i="3" s="1"/>
  <c r="E90" i="3" a="1"/>
  <c r="E90" i="3" s="1"/>
  <c r="E91" i="3" a="1"/>
  <c r="E91" i="3" s="1"/>
  <c r="E92" i="3" a="1"/>
  <c r="E92" i="3" s="1"/>
  <c r="E93" i="3" a="1"/>
  <c r="E93" i="3" s="1"/>
  <c r="E94" i="3" a="1"/>
  <c r="E94" i="3" s="1"/>
  <c r="E95" i="3" a="1"/>
  <c r="E95" i="3" s="1"/>
  <c r="E96" i="3" a="1"/>
  <c r="E96" i="3" s="1"/>
  <c r="E97" i="3" a="1"/>
  <c r="E97" i="3" s="1"/>
  <c r="E98" i="3" a="1"/>
  <c r="E98" i="3" s="1"/>
  <c r="E99" i="3" a="1"/>
  <c r="E99" i="3" s="1"/>
  <c r="E100" i="3" a="1"/>
  <c r="E100" i="3" s="1"/>
  <c r="E101" i="3" a="1"/>
  <c r="E101" i="3" s="1"/>
  <c r="E102" i="3" a="1"/>
  <c r="E102" i="3" s="1"/>
  <c r="E103" i="3" a="1"/>
  <c r="E103" i="3" s="1"/>
  <c r="E104" i="3" a="1"/>
  <c r="E104" i="3" s="1"/>
  <c r="E105" i="3" a="1"/>
  <c r="E105" i="3" s="1"/>
  <c r="E106" i="3" a="1"/>
  <c r="E106" i="3" s="1"/>
  <c r="E107" i="3" a="1"/>
  <c r="E107" i="3" s="1"/>
  <c r="E108" i="3" a="1"/>
  <c r="E108" i="3" s="1"/>
  <c r="E109" i="3" a="1"/>
  <c r="E109" i="3" s="1"/>
  <c r="E110" i="3" a="1"/>
  <c r="E110" i="3" s="1"/>
  <c r="E111" i="3" a="1"/>
  <c r="E111" i="3" s="1"/>
  <c r="E112" i="3" a="1"/>
  <c r="E112" i="3" s="1"/>
  <c r="E113" i="3" a="1"/>
  <c r="E113" i="3" s="1"/>
  <c r="E114" i="3" a="1"/>
  <c r="E114" i="3" s="1"/>
  <c r="E115" i="3" a="1"/>
  <c r="E115" i="3" s="1"/>
  <c r="E116" i="3" a="1"/>
  <c r="E116" i="3" s="1"/>
  <c r="E117" i="3" a="1"/>
  <c r="E117" i="3" s="1"/>
  <c r="E118" i="3" a="1"/>
  <c r="E118" i="3" s="1"/>
  <c r="E119" i="3" a="1"/>
  <c r="E119" i="3" s="1"/>
  <c r="E120" i="3" a="1"/>
  <c r="E120" i="3" s="1"/>
  <c r="E121" i="3" a="1"/>
  <c r="E121" i="3" s="1"/>
  <c r="E122" i="3" a="1"/>
  <c r="E122" i="3" s="1"/>
  <c r="E123" i="3" a="1"/>
  <c r="E123" i="3" s="1"/>
  <c r="E124" i="3" a="1"/>
  <c r="E124" i="3" s="1"/>
  <c r="E125" i="3" a="1"/>
  <c r="E125" i="3" s="1"/>
  <c r="E126" i="3" a="1"/>
  <c r="E126" i="3" s="1"/>
  <c r="E127" i="3" a="1"/>
  <c r="E127" i="3" s="1"/>
  <c r="E128" i="3" a="1"/>
  <c r="E128" i="3" s="1"/>
  <c r="E129" i="3" a="1"/>
  <c r="E129" i="3" s="1"/>
  <c r="E130" i="3" a="1"/>
  <c r="E130" i="3" s="1"/>
  <c r="E131" i="3" a="1"/>
  <c r="E131" i="3" s="1"/>
  <c r="E132" i="3" a="1"/>
  <c r="E132" i="3" s="1"/>
  <c r="E133" i="3" a="1"/>
  <c r="E133" i="3" s="1"/>
  <c r="E134" i="3" a="1"/>
  <c r="E134" i="3" s="1"/>
  <c r="E135" i="3" a="1"/>
  <c r="E135" i="3" s="1"/>
  <c r="E136" i="3" a="1"/>
  <c r="E136" i="3" s="1"/>
  <c r="E137" i="3" a="1"/>
  <c r="E137" i="3" s="1"/>
  <c r="E138" i="3" a="1"/>
  <c r="E138" i="3" s="1"/>
  <c r="E139" i="3" a="1"/>
  <c r="E139" i="3" s="1"/>
  <c r="E140" i="3" a="1"/>
  <c r="E140" i="3" s="1"/>
  <c r="E141" i="3" a="1"/>
  <c r="E141" i="3" s="1"/>
  <c r="E142" i="3" a="1"/>
  <c r="E142" i="3" s="1"/>
  <c r="E143" i="3" a="1"/>
  <c r="E143" i="3" s="1"/>
  <c r="E144" i="3" a="1"/>
  <c r="E144" i="3" s="1"/>
  <c r="E145" i="3" a="1"/>
  <c r="E145" i="3" s="1"/>
  <c r="E146" i="3" a="1"/>
  <c r="E146" i="3" s="1"/>
  <c r="E147" i="3" a="1"/>
  <c r="E147" i="3" s="1"/>
  <c r="E148" i="3" a="1"/>
  <c r="E148" i="3" s="1"/>
  <c r="E149" i="3" a="1"/>
  <c r="E149" i="3" s="1"/>
  <c r="E150" i="3" a="1"/>
  <c r="E150" i="3" s="1"/>
  <c r="E151" i="3" a="1"/>
  <c r="E151" i="3" s="1"/>
  <c r="E152" i="3" a="1"/>
  <c r="E152" i="3" s="1"/>
  <c r="E153" i="3" a="1"/>
  <c r="E153" i="3" s="1"/>
  <c r="E154" i="3" a="1"/>
  <c r="E154" i="3" s="1"/>
  <c r="E155" i="3" a="1"/>
  <c r="E155" i="3" s="1"/>
  <c r="E156" i="3" a="1"/>
  <c r="E156" i="3" s="1"/>
  <c r="E157" i="3" a="1"/>
  <c r="E157" i="3" s="1"/>
  <c r="E158" i="3" a="1"/>
  <c r="E158" i="3" s="1"/>
  <c r="E159" i="3" a="1"/>
  <c r="E159" i="3" s="1"/>
  <c r="E160" i="3" a="1"/>
  <c r="E160" i="3" s="1"/>
  <c r="E161" i="3" a="1"/>
  <c r="E161" i="3" s="1"/>
  <c r="E162" i="3" a="1"/>
  <c r="E162" i="3" s="1"/>
  <c r="E163" i="3" a="1"/>
  <c r="E163" i="3" s="1"/>
  <c r="E164" i="3" a="1"/>
  <c r="E164" i="3" s="1"/>
  <c r="E165" i="3" a="1"/>
  <c r="E165" i="3" s="1"/>
  <c r="E166" i="3" a="1"/>
  <c r="E166" i="3" s="1"/>
  <c r="E167" i="3" a="1"/>
  <c r="E167" i="3" s="1"/>
  <c r="E168" i="3" a="1"/>
  <c r="E168" i="3" s="1"/>
  <c r="E169" i="3" a="1"/>
  <c r="E169" i="3" s="1"/>
  <c r="E170" i="3" a="1"/>
  <c r="E170" i="3" s="1"/>
  <c r="E171" i="3" a="1"/>
  <c r="E171" i="3" s="1"/>
  <c r="E172" i="3" a="1"/>
  <c r="E172" i="3" s="1"/>
  <c r="E173" i="3" a="1"/>
  <c r="E173" i="3" s="1"/>
  <c r="E174" i="3" a="1"/>
  <c r="E174" i="3" s="1"/>
  <c r="E175" i="3" a="1"/>
  <c r="E175" i="3" s="1"/>
  <c r="E176" i="3" a="1"/>
  <c r="E176" i="3" s="1"/>
  <c r="E177" i="3" a="1"/>
  <c r="E177" i="3" s="1"/>
  <c r="E178" i="3" a="1"/>
  <c r="E178" i="3" s="1"/>
  <c r="E179" i="3" a="1"/>
  <c r="E179" i="3" s="1"/>
  <c r="E180" i="3" a="1"/>
  <c r="E180" i="3" s="1"/>
  <c r="E181" i="3" a="1"/>
  <c r="E181" i="3" s="1"/>
  <c r="E182" i="3" a="1"/>
  <c r="E182" i="3" s="1"/>
  <c r="E183" i="3" a="1"/>
  <c r="E183" i="3" s="1"/>
  <c r="E184" i="3" a="1"/>
  <c r="E184" i="3" s="1"/>
  <c r="E185" i="3" a="1"/>
  <c r="E185" i="3" s="1"/>
  <c r="E186" i="3" a="1"/>
  <c r="E186" i="3" s="1"/>
  <c r="E187" i="3" a="1"/>
  <c r="E187" i="3" s="1"/>
  <c r="E188" i="3" a="1"/>
  <c r="E188" i="3" s="1"/>
  <c r="E189" i="3" a="1"/>
  <c r="E189" i="3" s="1"/>
  <c r="E190" i="3" a="1"/>
  <c r="E190" i="3" s="1"/>
  <c r="E191" i="3" a="1"/>
  <c r="E191" i="3" s="1"/>
  <c r="E192" i="3" a="1"/>
  <c r="E192" i="3" s="1"/>
  <c r="E193" i="3" a="1"/>
  <c r="E193" i="3" s="1"/>
  <c r="E194" i="3" a="1"/>
  <c r="E194" i="3" s="1"/>
  <c r="E195" i="3" a="1"/>
  <c r="E195" i="3" s="1"/>
  <c r="E196" i="3" a="1"/>
  <c r="E196" i="3" s="1"/>
  <c r="E197" i="3" a="1"/>
  <c r="E197" i="3" s="1"/>
  <c r="E198" i="3" a="1"/>
  <c r="E198" i="3" s="1"/>
  <c r="E199" i="3" a="1"/>
  <c r="E199" i="3" s="1"/>
  <c r="E200" i="3" a="1"/>
  <c r="E200" i="3" s="1"/>
  <c r="E201" i="3" a="1"/>
  <c r="E201" i="3" s="1"/>
  <c r="E202" i="3" a="1"/>
  <c r="E202" i="3" s="1"/>
  <c r="E203" i="3" a="1"/>
  <c r="E203" i="3" s="1"/>
  <c r="E204" i="3" a="1"/>
  <c r="E204" i="3" s="1"/>
  <c r="E205" i="3" a="1"/>
  <c r="E205" i="3" s="1"/>
  <c r="E206" i="3" a="1"/>
  <c r="E206" i="3" s="1"/>
  <c r="E207" i="3" a="1"/>
  <c r="E207" i="3" s="1"/>
  <c r="E208" i="3" a="1"/>
  <c r="E208" i="3" s="1"/>
  <c r="E209" i="3" a="1"/>
  <c r="E209" i="3" s="1"/>
  <c r="E210" i="3" a="1"/>
  <c r="E210" i="3" s="1"/>
  <c r="E211" i="3" a="1"/>
  <c r="E211" i="3" s="1"/>
  <c r="E212" i="3" a="1"/>
  <c r="E212" i="3" s="1"/>
  <c r="E213" i="3" a="1"/>
  <c r="E213" i="3" s="1"/>
  <c r="E214" i="3" a="1"/>
  <c r="E214" i="3" s="1"/>
  <c r="E215" i="3" a="1"/>
  <c r="E215" i="3" s="1"/>
  <c r="E216" i="3" a="1"/>
  <c r="E216" i="3" s="1"/>
  <c r="E217" i="3" a="1"/>
  <c r="E217" i="3" s="1"/>
  <c r="E218" i="3" a="1"/>
  <c r="E218" i="3" s="1"/>
  <c r="E219" i="3" a="1"/>
  <c r="E219" i="3" s="1"/>
  <c r="E220" i="3" a="1"/>
  <c r="E220" i="3" s="1"/>
  <c r="E221" i="3" a="1"/>
  <c r="E221" i="3" s="1"/>
  <c r="E222" i="3" a="1"/>
  <c r="E222" i="3" s="1"/>
  <c r="E223" i="3" a="1"/>
  <c r="E223" i="3" s="1"/>
  <c r="E224" i="3" a="1"/>
  <c r="E224" i="3" s="1"/>
  <c r="E225" i="3" a="1"/>
  <c r="E225" i="3" s="1"/>
  <c r="E226" i="3" a="1"/>
  <c r="E226" i="3" s="1"/>
  <c r="E227" i="3" a="1"/>
  <c r="E227" i="3" s="1"/>
  <c r="E228" i="3" a="1"/>
  <c r="E228" i="3" s="1"/>
  <c r="E229" i="3" a="1"/>
  <c r="E229" i="3" s="1"/>
  <c r="E230" i="3" a="1"/>
  <c r="E230" i="3" s="1"/>
  <c r="E231" i="3" a="1"/>
  <c r="E231" i="3" s="1"/>
  <c r="E232" i="3" a="1"/>
  <c r="E232" i="3" s="1"/>
  <c r="E233" i="3" a="1"/>
  <c r="E233" i="3" s="1"/>
  <c r="E234" i="3" a="1"/>
  <c r="E234" i="3" s="1"/>
  <c r="E235" i="3" a="1"/>
  <c r="E235" i="3" s="1"/>
  <c r="E236" i="3" a="1"/>
  <c r="E236" i="3" s="1"/>
  <c r="E237" i="3" a="1"/>
  <c r="E237" i="3" s="1"/>
  <c r="E238" i="3" a="1"/>
  <c r="E238" i="3" s="1"/>
  <c r="E239" i="3" a="1"/>
  <c r="E239" i="3" s="1"/>
  <c r="E240" i="3" a="1"/>
  <c r="E240" i="3" s="1"/>
  <c r="E241" i="3" a="1"/>
  <c r="E241" i="3" s="1"/>
  <c r="E242" i="3" a="1"/>
  <c r="E242" i="3" s="1"/>
  <c r="E243" i="3" a="1"/>
  <c r="E243" i="3" s="1"/>
  <c r="E244" i="3" a="1"/>
  <c r="E244" i="3" s="1"/>
  <c r="E245" i="3" a="1"/>
  <c r="E245" i="3" s="1"/>
  <c r="E246" i="3" a="1"/>
  <c r="E246" i="3" s="1"/>
  <c r="E247" i="3" a="1"/>
  <c r="E247" i="3" s="1"/>
  <c r="E248" i="3" a="1"/>
  <c r="E248" i="3" s="1"/>
  <c r="E249" i="3" a="1"/>
  <c r="E249" i="3" s="1"/>
  <c r="E250" i="3" a="1"/>
  <c r="E250" i="3" s="1"/>
  <c r="E251" i="3" a="1"/>
  <c r="E251" i="3" s="1"/>
  <c r="E252" i="3" a="1"/>
  <c r="E252" i="3" s="1"/>
  <c r="E253" i="3" a="1"/>
  <c r="E253" i="3" s="1"/>
  <c r="E254" i="3" a="1"/>
  <c r="E254" i="3" s="1"/>
  <c r="E255" i="3" a="1"/>
  <c r="E255" i="3" s="1"/>
  <c r="E256" i="3" a="1"/>
  <c r="E256" i="3" s="1"/>
  <c r="E257" i="3" a="1"/>
  <c r="E257" i="3" s="1"/>
  <c r="E258" i="3" a="1"/>
  <c r="E258" i="3" s="1"/>
  <c r="E259" i="3" a="1"/>
  <c r="E259" i="3" s="1"/>
  <c r="E260" i="3" a="1"/>
  <c r="E260" i="3" s="1"/>
  <c r="E261" i="3" a="1"/>
  <c r="E261" i="3" s="1"/>
  <c r="E262" i="3" a="1"/>
  <c r="E262" i="3" s="1"/>
  <c r="E263" i="3" a="1"/>
  <c r="E263" i="3" s="1"/>
  <c r="E264" i="3" a="1"/>
  <c r="E264" i="3" s="1"/>
  <c r="E265" i="3" a="1"/>
  <c r="E265" i="3" s="1"/>
  <c r="E266" i="3" a="1"/>
  <c r="E266" i="3" s="1"/>
  <c r="E267" i="3" a="1"/>
  <c r="E267" i="3" s="1"/>
  <c r="E268" i="3" a="1"/>
  <c r="E268" i="3" s="1"/>
  <c r="E269" i="3" a="1"/>
  <c r="E269" i="3" s="1"/>
  <c r="E270" i="3" a="1"/>
  <c r="E270" i="3" s="1"/>
  <c r="E271" i="3" a="1"/>
  <c r="E271" i="3" s="1"/>
  <c r="E272" i="3" a="1"/>
  <c r="E272" i="3" s="1"/>
  <c r="E273" i="3" a="1"/>
  <c r="E273" i="3" s="1"/>
  <c r="E274" i="3" a="1"/>
  <c r="E274" i="3" s="1"/>
  <c r="E275" i="3" a="1"/>
  <c r="E275" i="3" s="1"/>
  <c r="E276" i="3" a="1"/>
  <c r="E276" i="3" s="1"/>
  <c r="E277" i="3" a="1"/>
  <c r="E277" i="3" s="1"/>
  <c r="E278" i="3" a="1"/>
  <c r="E278" i="3" s="1"/>
  <c r="E279" i="3" a="1"/>
  <c r="E279" i="3" s="1"/>
  <c r="E280" i="3" a="1"/>
  <c r="E280" i="3" s="1"/>
  <c r="E281" i="3" a="1"/>
  <c r="E281" i="3" s="1"/>
  <c r="E282" i="3" a="1"/>
  <c r="E282" i="3" s="1"/>
  <c r="E283" i="3" a="1"/>
  <c r="E283" i="3" s="1"/>
  <c r="E284" i="3" a="1"/>
  <c r="E284" i="3" s="1"/>
  <c r="E285" i="3" a="1"/>
  <c r="E285" i="3" s="1"/>
  <c r="E286" i="3" a="1"/>
  <c r="E286" i="3" s="1"/>
  <c r="E287" i="3" a="1"/>
  <c r="E287" i="3" s="1"/>
  <c r="E288" i="3" a="1"/>
  <c r="E288" i="3" s="1"/>
  <c r="E289" i="3" a="1"/>
  <c r="E289" i="3" s="1"/>
  <c r="E290" i="3" a="1"/>
  <c r="E290" i="3" s="1"/>
  <c r="E291" i="3" a="1"/>
  <c r="E291" i="3" s="1"/>
  <c r="E292" i="3" a="1"/>
  <c r="E292" i="3" s="1"/>
  <c r="E293" i="3" a="1"/>
  <c r="E293" i="3" s="1"/>
  <c r="E294" i="3" a="1"/>
  <c r="E294" i="3" s="1"/>
  <c r="E295" i="3" a="1"/>
  <c r="E295" i="3" s="1"/>
  <c r="E296" i="3" a="1"/>
  <c r="E296" i="3" s="1"/>
  <c r="E297" i="3" a="1"/>
  <c r="E297" i="3" s="1"/>
  <c r="E298" i="3" a="1"/>
  <c r="E298" i="3" s="1"/>
  <c r="E299" i="3" a="1"/>
  <c r="E299" i="3" s="1"/>
  <c r="E300" i="3" a="1"/>
  <c r="E300" i="3" s="1"/>
  <c r="E301" i="3" a="1"/>
  <c r="E301" i="3" s="1"/>
  <c r="E302" i="3" a="1"/>
  <c r="E302" i="3" s="1"/>
  <c r="E303" i="3" a="1"/>
  <c r="E303" i="3" s="1"/>
  <c r="E304" i="3" a="1"/>
  <c r="E304" i="3" s="1"/>
  <c r="E305" i="3" a="1"/>
  <c r="E305" i="3" s="1"/>
  <c r="E306" i="3" a="1"/>
  <c r="E306" i="3" s="1"/>
  <c r="E307" i="3" a="1"/>
  <c r="E307" i="3" s="1"/>
  <c r="E308" i="3" a="1"/>
  <c r="E308" i="3" s="1"/>
  <c r="E309" i="3" a="1"/>
  <c r="E309" i="3" s="1"/>
  <c r="E310" i="3" a="1"/>
  <c r="E310" i="3" s="1"/>
  <c r="E311" i="3" a="1"/>
  <c r="E311" i="3" s="1"/>
  <c r="E312" i="3" a="1"/>
  <c r="E312" i="3" s="1"/>
  <c r="E313" i="3" a="1"/>
  <c r="E313" i="3" s="1"/>
  <c r="E314" i="3" a="1"/>
  <c r="E314" i="3" s="1"/>
  <c r="E315" i="3" a="1"/>
  <c r="E315" i="3" s="1"/>
  <c r="E316" i="3" a="1"/>
  <c r="E316" i="3" s="1"/>
  <c r="E317" i="3" a="1"/>
  <c r="E317" i="3" s="1"/>
  <c r="E318" i="3" a="1"/>
  <c r="E318" i="3" s="1"/>
  <c r="E319" i="3" a="1"/>
  <c r="E319" i="3" s="1"/>
  <c r="E320" i="3" a="1"/>
  <c r="E320" i="3" s="1"/>
  <c r="E321" i="3" a="1"/>
  <c r="E321" i="3" s="1"/>
  <c r="E322" i="3" a="1"/>
  <c r="E322" i="3" s="1"/>
  <c r="E323" i="3" a="1"/>
  <c r="E323" i="3" s="1"/>
  <c r="E324" i="3" a="1"/>
  <c r="E324" i="3" s="1"/>
  <c r="E325" i="3" a="1"/>
  <c r="E325" i="3" s="1"/>
  <c r="E326" i="3" a="1"/>
  <c r="E326" i="3" s="1"/>
  <c r="E327" i="3" a="1"/>
  <c r="E327" i="3" s="1"/>
  <c r="E328" i="3" a="1"/>
  <c r="E328" i="3" s="1"/>
  <c r="E329" i="3" a="1"/>
  <c r="E329" i="3" s="1"/>
  <c r="E330" i="3" a="1"/>
  <c r="E330" i="3" s="1"/>
  <c r="E331" i="3" a="1"/>
  <c r="E331" i="3" s="1"/>
  <c r="E332" i="3" a="1"/>
  <c r="E332" i="3" s="1"/>
  <c r="E333" i="3" a="1"/>
  <c r="E333" i="3" s="1"/>
  <c r="E334" i="3" a="1"/>
  <c r="E334" i="3" s="1"/>
  <c r="E335" i="3" a="1"/>
  <c r="E335" i="3" s="1"/>
  <c r="E336" i="3" a="1"/>
  <c r="E336" i="3" s="1"/>
  <c r="E337" i="3" a="1"/>
  <c r="E337" i="3" s="1"/>
  <c r="E338" i="3" a="1"/>
  <c r="E338" i="3" s="1"/>
  <c r="E339" i="3" a="1"/>
  <c r="E339" i="3" s="1"/>
  <c r="E340" i="3" a="1"/>
  <c r="E340" i="3" s="1"/>
  <c r="E341" i="3" a="1"/>
  <c r="E341" i="3" s="1"/>
  <c r="E342" i="3" a="1"/>
  <c r="E342" i="3" s="1"/>
  <c r="E343" i="3" a="1"/>
  <c r="E343" i="3" s="1"/>
  <c r="E344" i="3" a="1"/>
  <c r="E344" i="3" s="1"/>
  <c r="E345" i="3" a="1"/>
  <c r="E345" i="3" s="1"/>
  <c r="E346" i="3" a="1"/>
  <c r="E346" i="3" s="1"/>
  <c r="E347" i="3" a="1"/>
  <c r="E347" i="3" s="1"/>
  <c r="E348" i="3" a="1"/>
  <c r="E348" i="3" s="1"/>
  <c r="E349" i="3" a="1"/>
  <c r="E349" i="3" s="1"/>
  <c r="E350" i="3" a="1"/>
  <c r="E350" i="3" s="1"/>
  <c r="E351" i="3" a="1"/>
  <c r="E351" i="3" s="1"/>
  <c r="E352" i="3" a="1"/>
  <c r="E352" i="3" s="1"/>
  <c r="E353" i="3" a="1"/>
  <c r="E353" i="3" s="1"/>
  <c r="E354" i="3" a="1"/>
  <c r="E354" i="3" s="1"/>
  <c r="E355" i="3" a="1"/>
  <c r="E355" i="3" s="1"/>
  <c r="E356" i="3" a="1"/>
  <c r="E356" i="3" s="1"/>
  <c r="E357" i="3" a="1"/>
  <c r="E357" i="3" s="1"/>
  <c r="E358" i="3" a="1"/>
  <c r="E358" i="3" s="1"/>
  <c r="E359" i="3" a="1"/>
  <c r="E359" i="3" s="1"/>
  <c r="E360" i="3" a="1"/>
  <c r="E360" i="3" s="1"/>
  <c r="E361" i="3" a="1"/>
  <c r="E361" i="3" s="1"/>
  <c r="E362" i="3" a="1"/>
  <c r="E362" i="3" s="1"/>
  <c r="E363" i="3" a="1"/>
  <c r="E363" i="3" s="1"/>
  <c r="E364" i="3" a="1"/>
  <c r="E364" i="3" s="1"/>
  <c r="E365" i="3" a="1"/>
  <c r="E365" i="3" s="1"/>
  <c r="E366" i="3" a="1"/>
  <c r="E366" i="3" s="1"/>
  <c r="E367" i="3" a="1"/>
  <c r="E367" i="3" s="1"/>
  <c r="E368" i="3" a="1"/>
  <c r="E368" i="3" s="1"/>
  <c r="E369" i="3" a="1"/>
  <c r="E369" i="3" s="1"/>
  <c r="E370" i="3" a="1"/>
  <c r="E370" i="3" s="1"/>
  <c r="E371" i="3" a="1"/>
  <c r="E371" i="3" s="1"/>
  <c r="E372" i="3" a="1"/>
  <c r="E372" i="3" s="1"/>
  <c r="E373" i="3" a="1"/>
  <c r="E373" i="3" s="1"/>
  <c r="E374" i="3" a="1"/>
  <c r="E374" i="3" s="1"/>
  <c r="E375" i="3" a="1"/>
  <c r="E375" i="3" s="1"/>
  <c r="E376" i="3" a="1"/>
  <c r="E376" i="3" s="1"/>
  <c r="E377" i="3" a="1"/>
  <c r="E377" i="3" s="1"/>
  <c r="E378" i="3" a="1"/>
  <c r="E378" i="3" s="1"/>
  <c r="E379" i="3" a="1"/>
  <c r="E379" i="3" s="1"/>
  <c r="E380" i="3" a="1"/>
  <c r="E380" i="3" s="1"/>
  <c r="E381" i="3" a="1"/>
  <c r="E381" i="3" s="1"/>
  <c r="E382" i="3" a="1"/>
  <c r="E382" i="3" s="1"/>
  <c r="E383" i="3" a="1"/>
  <c r="E383" i="3" s="1"/>
  <c r="E384" i="3" a="1"/>
  <c r="E384" i="3" s="1"/>
  <c r="E385" i="3" a="1"/>
  <c r="E385" i="3" s="1"/>
  <c r="E386" i="3" a="1"/>
  <c r="E386" i="3" s="1"/>
  <c r="E387" i="3" a="1"/>
  <c r="E387" i="3" s="1"/>
  <c r="E388" i="3" a="1"/>
  <c r="E388" i="3" s="1"/>
  <c r="E389" i="3" a="1"/>
  <c r="E389" i="3" s="1"/>
  <c r="E390" i="3" a="1"/>
  <c r="E390" i="3" s="1"/>
  <c r="E391" i="3" a="1"/>
  <c r="E391" i="3" s="1"/>
  <c r="E392" i="3" a="1"/>
  <c r="E392" i="3" s="1"/>
  <c r="E393" i="3" a="1"/>
  <c r="E393" i="3" s="1"/>
  <c r="E394" i="3" a="1"/>
  <c r="E394" i="3" s="1"/>
  <c r="E395" i="3" a="1"/>
  <c r="E395" i="3" s="1"/>
  <c r="E396" i="3" a="1"/>
  <c r="E396" i="3" s="1"/>
  <c r="E397" i="3" a="1"/>
  <c r="E397" i="3" s="1"/>
  <c r="E398" i="3" a="1"/>
  <c r="E398" i="3" s="1"/>
  <c r="E399" i="3" a="1"/>
  <c r="E399" i="3" s="1"/>
  <c r="E400" i="3" a="1"/>
  <c r="E400" i="3" s="1"/>
  <c r="E401" i="3" a="1"/>
  <c r="E401" i="3" s="1"/>
  <c r="E402" i="3" a="1"/>
  <c r="E402" i="3" s="1"/>
  <c r="E403" i="3" a="1"/>
  <c r="E403" i="3" s="1"/>
  <c r="E404" i="3" a="1"/>
  <c r="E404" i="3" s="1"/>
  <c r="E405" i="3" a="1"/>
  <c r="E405" i="3" s="1"/>
  <c r="E406" i="3" a="1"/>
  <c r="E406" i="3" s="1"/>
  <c r="E407" i="3" a="1"/>
  <c r="E407" i="3" s="1"/>
  <c r="E408" i="3" a="1"/>
  <c r="E408" i="3" s="1"/>
  <c r="E409" i="3" a="1"/>
  <c r="E409" i="3" s="1"/>
  <c r="E410" i="3" a="1"/>
  <c r="E410" i="3" s="1"/>
  <c r="E411" i="3" a="1"/>
  <c r="E411" i="3" s="1"/>
  <c r="E412" i="3" a="1"/>
  <c r="E412" i="3" s="1"/>
  <c r="E413" i="3" a="1"/>
  <c r="E413" i="3" s="1"/>
  <c r="E414" i="3" a="1"/>
  <c r="E414" i="3" s="1"/>
  <c r="E415" i="3" a="1"/>
  <c r="E415" i="3" s="1"/>
  <c r="E416" i="3" a="1"/>
  <c r="E416" i="3" s="1"/>
  <c r="E417" i="3" a="1"/>
  <c r="E417" i="3" s="1"/>
  <c r="E418" i="3" a="1"/>
  <c r="E418" i="3" s="1"/>
  <c r="E419" i="3" a="1"/>
  <c r="E419" i="3" s="1"/>
  <c r="E420" i="3" a="1"/>
  <c r="E420" i="3" s="1"/>
  <c r="E421" i="3" a="1"/>
  <c r="E421" i="3" s="1"/>
  <c r="E422" i="3" a="1"/>
  <c r="E422" i="3" s="1"/>
  <c r="E423" i="3" a="1"/>
  <c r="E423" i="3" s="1"/>
  <c r="E424" i="3" a="1"/>
  <c r="E424" i="3" s="1"/>
  <c r="E425" i="3" a="1"/>
  <c r="E425" i="3" s="1"/>
  <c r="E426" i="3" a="1"/>
  <c r="E426" i="3" s="1"/>
  <c r="E427" i="3" a="1"/>
  <c r="E427" i="3" s="1"/>
  <c r="E428" i="3" a="1"/>
  <c r="E428" i="3" s="1"/>
  <c r="E429" i="3" a="1"/>
  <c r="E429" i="3" s="1"/>
  <c r="E430" i="3" a="1"/>
  <c r="E430" i="3" s="1"/>
  <c r="E431" i="3" a="1"/>
  <c r="E431" i="3" s="1"/>
  <c r="E432" i="3" a="1"/>
  <c r="E432" i="3" s="1"/>
  <c r="E433" i="3" a="1"/>
  <c r="E433" i="3" s="1"/>
  <c r="E434" i="3" a="1"/>
  <c r="E434" i="3" s="1"/>
  <c r="E435" i="3" a="1"/>
  <c r="E435" i="3" s="1"/>
  <c r="E436" i="3" a="1"/>
  <c r="E436" i="3" s="1"/>
  <c r="E437" i="3" a="1"/>
  <c r="E437" i="3" s="1"/>
  <c r="E438" i="3" a="1"/>
  <c r="E438" i="3" s="1"/>
  <c r="E439" i="3" a="1"/>
  <c r="E439" i="3" s="1"/>
  <c r="E440" i="3" a="1"/>
  <c r="E440" i="3" s="1"/>
  <c r="E441" i="3" a="1"/>
  <c r="E441" i="3" s="1"/>
  <c r="E442" i="3" a="1"/>
  <c r="E442" i="3" s="1"/>
  <c r="E443" i="3" a="1"/>
  <c r="E443" i="3" s="1"/>
  <c r="E444" i="3" a="1"/>
  <c r="E444" i="3" s="1"/>
  <c r="E445" i="3" a="1"/>
  <c r="E445" i="3" s="1"/>
  <c r="E446" i="3" a="1"/>
  <c r="E446" i="3" s="1"/>
  <c r="E447" i="3" a="1"/>
  <c r="E447" i="3" s="1"/>
  <c r="E448" i="3" a="1"/>
  <c r="E448" i="3" s="1"/>
  <c r="E449" i="3" a="1"/>
  <c r="E449" i="3" s="1"/>
  <c r="E450" i="3" a="1"/>
  <c r="E450" i="3" s="1"/>
  <c r="E451" i="3" a="1"/>
  <c r="E451" i="3" s="1"/>
  <c r="E452" i="3" a="1"/>
  <c r="E452" i="3" s="1"/>
  <c r="E453" i="3" a="1"/>
  <c r="E453" i="3" s="1"/>
  <c r="E454" i="3" a="1"/>
  <c r="E454" i="3" s="1"/>
  <c r="E455" i="3" a="1"/>
  <c r="E455" i="3" s="1"/>
  <c r="E456" i="3" a="1"/>
  <c r="E456" i="3" s="1"/>
  <c r="E457" i="3" a="1"/>
  <c r="E457" i="3" s="1"/>
  <c r="E458" i="3" a="1"/>
  <c r="E458" i="3" s="1"/>
  <c r="E459" i="3" a="1"/>
  <c r="E459" i="3" s="1"/>
  <c r="E460" i="3" a="1"/>
  <c r="E460" i="3" s="1"/>
  <c r="E461" i="3" a="1"/>
  <c r="E461" i="3" s="1"/>
  <c r="E462" i="3" a="1"/>
  <c r="E462" i="3" s="1"/>
  <c r="E463" i="3" a="1"/>
  <c r="E463" i="3" s="1"/>
  <c r="E464" i="3" a="1"/>
  <c r="E464" i="3" s="1"/>
  <c r="E465" i="3" a="1"/>
  <c r="E465" i="3" s="1"/>
  <c r="E466" i="3" a="1"/>
  <c r="E466" i="3" s="1"/>
  <c r="E467" i="3" a="1"/>
  <c r="E467" i="3" s="1"/>
  <c r="E468" i="3" a="1"/>
  <c r="E468" i="3" s="1"/>
  <c r="E469" i="3" a="1"/>
  <c r="E469" i="3" s="1"/>
  <c r="E470" i="3" a="1"/>
  <c r="E470" i="3" s="1"/>
  <c r="E471" i="3" a="1"/>
  <c r="E471" i="3" s="1"/>
  <c r="E472" i="3" a="1"/>
  <c r="E472" i="3" s="1"/>
  <c r="E473" i="3" a="1"/>
  <c r="E473" i="3" s="1"/>
  <c r="E474" i="3" a="1"/>
  <c r="E474" i="3" s="1"/>
  <c r="E475" i="3" a="1"/>
  <c r="E475" i="3" s="1"/>
  <c r="E476" i="3" a="1"/>
  <c r="E476" i="3" s="1"/>
  <c r="E477" i="3" a="1"/>
  <c r="E477" i="3" s="1"/>
  <c r="E478" i="3" a="1"/>
  <c r="E478" i="3" s="1"/>
  <c r="E479" i="3" a="1"/>
  <c r="E479" i="3" s="1"/>
  <c r="E480" i="3" a="1"/>
  <c r="E480" i="3" s="1"/>
  <c r="E481" i="3" a="1"/>
  <c r="E481" i="3" s="1"/>
  <c r="E482" i="3" a="1"/>
  <c r="E482" i="3" s="1"/>
  <c r="E483" i="3" a="1"/>
  <c r="E483" i="3" s="1"/>
  <c r="E484" i="3" a="1"/>
  <c r="E484" i="3" s="1"/>
  <c r="E485" i="3" a="1"/>
  <c r="E485" i="3" s="1"/>
  <c r="E486" i="3" a="1"/>
  <c r="E486" i="3" s="1"/>
  <c r="E487" i="3" a="1"/>
  <c r="E487" i="3" s="1"/>
  <c r="E488" i="3" a="1"/>
  <c r="E488" i="3" s="1"/>
  <c r="E489" i="3" a="1"/>
  <c r="E489" i="3" s="1"/>
  <c r="E490" i="3" a="1"/>
  <c r="E490" i="3" s="1"/>
  <c r="E491" i="3" a="1"/>
  <c r="E491" i="3" s="1"/>
  <c r="E492" i="3" a="1"/>
  <c r="E492" i="3" s="1"/>
  <c r="E493" i="3" a="1"/>
  <c r="E493" i="3" s="1"/>
  <c r="E494" i="3" a="1"/>
  <c r="E494" i="3" s="1"/>
  <c r="E495" i="3" a="1"/>
  <c r="E495" i="3" s="1"/>
  <c r="E496" i="3" a="1"/>
  <c r="E496" i="3" s="1"/>
  <c r="E497" i="3" a="1"/>
  <c r="E497" i="3" s="1"/>
  <c r="E498" i="3" a="1"/>
  <c r="E498" i="3" s="1"/>
  <c r="E499" i="3" a="1"/>
  <c r="E499" i="3" s="1"/>
  <c r="E500" i="3" a="1"/>
  <c r="E500" i="3" s="1"/>
  <c r="E2" i="3" a="1"/>
  <c r="E2" i="3" s="1"/>
  <c r="A3" i="5" a="1"/>
  <c r="A3" i="5" s="1"/>
  <c r="A4" i="5" a="1"/>
  <c r="A4" i="5" s="1"/>
  <c r="A5" i="5" a="1"/>
  <c r="A5" i="5" s="1"/>
  <c r="A6" i="5" a="1"/>
  <c r="A6" i="5" s="1"/>
  <c r="A7" i="5" a="1"/>
  <c r="A7" i="5" s="1"/>
  <c r="A8" i="5" a="1"/>
  <c r="A8" i="5" s="1"/>
  <c r="A9" i="5" a="1"/>
  <c r="A9" i="5" s="1"/>
  <c r="A10" i="5" a="1"/>
  <c r="A10" i="5" s="1"/>
  <c r="A11" i="5" a="1"/>
  <c r="A11" i="5" s="1"/>
  <c r="A12" i="5" a="1"/>
  <c r="A12" i="5" s="1"/>
  <c r="A13" i="5" a="1"/>
  <c r="A13" i="5" s="1"/>
  <c r="A14" i="5" a="1"/>
  <c r="A14" i="5" s="1"/>
  <c r="A15" i="5" a="1"/>
  <c r="A15" i="5" s="1"/>
  <c r="A16" i="5" a="1"/>
  <c r="A16" i="5" s="1"/>
  <c r="A17" i="5" a="1"/>
  <c r="A17" i="5" s="1"/>
  <c r="A18" i="5" a="1"/>
  <c r="A18" i="5" s="1"/>
  <c r="A19" i="5" a="1"/>
  <c r="A19" i="5" s="1"/>
  <c r="A20" i="5" a="1"/>
  <c r="A20" i="5" s="1"/>
  <c r="A21" i="5" a="1"/>
  <c r="A21" i="5" s="1"/>
  <c r="A22" i="5" a="1"/>
  <c r="A22" i="5" s="1"/>
  <c r="A23" i="5" a="1"/>
  <c r="A23" i="5" s="1"/>
  <c r="A24" i="5" a="1"/>
  <c r="A24" i="5" s="1"/>
  <c r="A25" i="5" a="1"/>
  <c r="A25" i="5" s="1"/>
  <c r="A26" i="5" a="1"/>
  <c r="A26" i="5" s="1"/>
  <c r="A27" i="5" a="1"/>
  <c r="A27" i="5" s="1"/>
  <c r="A28" i="5" a="1"/>
  <c r="A28" i="5" s="1"/>
  <c r="A29" i="5" a="1"/>
  <c r="A29" i="5" s="1"/>
  <c r="A30" i="5" a="1"/>
  <c r="A30" i="5" s="1"/>
  <c r="A31" i="5" a="1"/>
  <c r="A31" i="5" s="1"/>
  <c r="A32" i="5" a="1"/>
  <c r="A32" i="5" s="1"/>
  <c r="A33" i="5" a="1"/>
  <c r="A33" i="5" s="1"/>
  <c r="A34" i="5" a="1"/>
  <c r="A34" i="5" s="1"/>
  <c r="A35" i="5" a="1"/>
  <c r="A35" i="5" s="1"/>
  <c r="A36" i="5" a="1"/>
  <c r="A36" i="5" s="1"/>
  <c r="A37" i="5" a="1"/>
  <c r="A37" i="5" s="1"/>
  <c r="A38" i="5" a="1"/>
  <c r="A38" i="5" s="1"/>
  <c r="A39" i="5" a="1"/>
  <c r="A39" i="5" s="1"/>
  <c r="A40" i="5" a="1"/>
  <c r="A40" i="5" s="1"/>
  <c r="A41" i="5" a="1"/>
  <c r="A41" i="5" s="1"/>
  <c r="A42" i="5" a="1"/>
  <c r="A42" i="5" s="1"/>
  <c r="A43" i="5" a="1"/>
  <c r="A43" i="5" s="1"/>
  <c r="A44" i="5" a="1"/>
  <c r="A44" i="5" s="1"/>
  <c r="A45" i="5" a="1"/>
  <c r="A45" i="5" s="1"/>
  <c r="A46" i="5" a="1"/>
  <c r="A46" i="5" s="1"/>
  <c r="A47" i="5" a="1"/>
  <c r="A47" i="5" s="1"/>
  <c r="A48" i="5" a="1"/>
  <c r="A48" i="5" s="1"/>
  <c r="A49" i="5" a="1"/>
  <c r="A49" i="5" s="1"/>
  <c r="A50" i="5" a="1"/>
  <c r="A50" i="5" s="1"/>
  <c r="A51" i="5" a="1"/>
  <c r="A51" i="5" s="1"/>
  <c r="A52" i="5" a="1"/>
  <c r="A52" i="5" s="1"/>
  <c r="A53" i="5" a="1"/>
  <c r="A53" i="5" s="1"/>
  <c r="A54" i="5" a="1"/>
  <c r="A54" i="5" s="1"/>
  <c r="A55" i="5" a="1"/>
  <c r="A55" i="5" s="1"/>
  <c r="A56" i="5" a="1"/>
  <c r="A56" i="5" s="1"/>
  <c r="A57" i="5" a="1"/>
  <c r="A57" i="5" s="1"/>
  <c r="A58" i="5" a="1"/>
  <c r="A58" i="5" s="1"/>
  <c r="A59" i="5" a="1"/>
  <c r="A59" i="5" s="1"/>
  <c r="A60" i="5" a="1"/>
  <c r="A60" i="5" s="1"/>
  <c r="A61" i="5" a="1"/>
  <c r="A61" i="5" s="1"/>
  <c r="A62" i="5" a="1"/>
  <c r="A62" i="5" s="1"/>
  <c r="A63" i="5" a="1"/>
  <c r="A63" i="5" s="1"/>
  <c r="A64" i="5" a="1"/>
  <c r="A64" i="5" s="1"/>
  <c r="A65" i="5" a="1"/>
  <c r="A65" i="5" s="1"/>
  <c r="A66" i="5" a="1"/>
  <c r="A66" i="5" s="1"/>
  <c r="A67" i="5" a="1"/>
  <c r="A67" i="5" s="1"/>
  <c r="A68" i="5" a="1"/>
  <c r="A68" i="5" s="1"/>
  <c r="A69" i="5" a="1"/>
  <c r="A69" i="5" s="1"/>
  <c r="A70" i="5" a="1"/>
  <c r="A70" i="5" s="1"/>
  <c r="A71" i="5" a="1"/>
  <c r="A71" i="5" s="1"/>
  <c r="A72" i="5" a="1"/>
  <c r="A72" i="5" s="1"/>
  <c r="A73" i="5" a="1"/>
  <c r="A73" i="5" s="1"/>
  <c r="A74" i="5" a="1"/>
  <c r="A74" i="5" s="1"/>
  <c r="A75" i="5" a="1"/>
  <c r="A75" i="5" s="1"/>
  <c r="A76" i="5" a="1"/>
  <c r="A76" i="5" s="1"/>
  <c r="A77" i="5" a="1"/>
  <c r="A77" i="5" s="1"/>
  <c r="A78" i="5" a="1"/>
  <c r="A78" i="5" s="1"/>
  <c r="A79" i="5" a="1"/>
  <c r="A79" i="5" s="1"/>
  <c r="A80" i="5" a="1"/>
  <c r="A80" i="5" s="1"/>
  <c r="A81" i="5" a="1"/>
  <c r="A81" i="5" s="1"/>
  <c r="A82" i="5" a="1"/>
  <c r="A82" i="5" s="1"/>
  <c r="A83" i="5" a="1"/>
  <c r="A83" i="5" s="1"/>
  <c r="A84" i="5" a="1"/>
  <c r="A84" i="5" s="1"/>
  <c r="A85" i="5" a="1"/>
  <c r="A85" i="5" s="1"/>
  <c r="A86" i="5" a="1"/>
  <c r="A86" i="5" s="1"/>
  <c r="A87" i="5" a="1"/>
  <c r="A87" i="5" s="1"/>
  <c r="A88" i="5" a="1"/>
  <c r="A88" i="5" s="1"/>
  <c r="A89" i="5" a="1"/>
  <c r="A89" i="5" s="1"/>
  <c r="A90" i="5" a="1"/>
  <c r="A90" i="5" s="1"/>
  <c r="A91" i="5" a="1"/>
  <c r="A91" i="5" s="1"/>
  <c r="A92" i="5" a="1"/>
  <c r="A92" i="5" s="1"/>
  <c r="A93" i="5" a="1"/>
  <c r="A93" i="5" s="1"/>
  <c r="A94" i="5" a="1"/>
  <c r="A94" i="5" s="1"/>
  <c r="A95" i="5" a="1"/>
  <c r="A95" i="5" s="1"/>
  <c r="A96" i="5" a="1"/>
  <c r="A96" i="5" s="1"/>
  <c r="A97" i="5" a="1"/>
  <c r="A97" i="5" s="1"/>
  <c r="A98" i="5" a="1"/>
  <c r="A98" i="5" s="1"/>
  <c r="A99" i="5" a="1"/>
  <c r="A99" i="5" s="1"/>
  <c r="A100" i="5" a="1"/>
  <c r="A100" i="5" s="1"/>
  <c r="A101" i="5" a="1"/>
  <c r="A101" i="5" s="1"/>
  <c r="A102" i="5" a="1"/>
  <c r="A102" i="5" s="1"/>
  <c r="A103" i="5" a="1"/>
  <c r="A103" i="5" s="1"/>
  <c r="A104" i="5" a="1"/>
  <c r="A104" i="5" s="1"/>
  <c r="A105" i="5" a="1"/>
  <c r="A105" i="5" s="1"/>
  <c r="A106" i="5" a="1"/>
  <c r="A106" i="5" s="1"/>
  <c r="A107" i="5" a="1"/>
  <c r="A107" i="5" s="1"/>
  <c r="A108" i="5" a="1"/>
  <c r="A108" i="5" s="1"/>
  <c r="A109" i="5" a="1"/>
  <c r="A109" i="5" s="1"/>
  <c r="A110" i="5" a="1"/>
  <c r="A110" i="5" s="1"/>
  <c r="A111" i="5" a="1"/>
  <c r="A111" i="5" s="1"/>
  <c r="A112" i="5" a="1"/>
  <c r="A112" i="5" s="1"/>
  <c r="A113" i="5" a="1"/>
  <c r="A113" i="5" s="1"/>
  <c r="A114" i="5" a="1"/>
  <c r="A114" i="5" s="1"/>
  <c r="A115" i="5" a="1"/>
  <c r="A115" i="5" s="1"/>
  <c r="A116" i="5" a="1"/>
  <c r="A116" i="5" s="1"/>
  <c r="A117" i="5" a="1"/>
  <c r="A117" i="5" s="1"/>
  <c r="A118" i="5" a="1"/>
  <c r="A118" i="5" s="1"/>
  <c r="A119" i="5" a="1"/>
  <c r="A119" i="5" s="1"/>
  <c r="A120" i="5" a="1"/>
  <c r="A120" i="5" s="1"/>
  <c r="A121" i="5" a="1"/>
  <c r="A121" i="5" s="1"/>
  <c r="A122" i="5" a="1"/>
  <c r="A122" i="5" s="1"/>
  <c r="A123" i="5" a="1"/>
  <c r="A123" i="5" s="1"/>
  <c r="A124" i="5" a="1"/>
  <c r="A124" i="5" s="1"/>
  <c r="A125" i="5" a="1"/>
  <c r="A125" i="5" s="1"/>
  <c r="A126" i="5" a="1"/>
  <c r="A126" i="5" s="1"/>
  <c r="A127" i="5" a="1"/>
  <c r="A127" i="5" s="1"/>
  <c r="A128" i="5" a="1"/>
  <c r="A128" i="5" s="1"/>
  <c r="A129" i="5" a="1"/>
  <c r="A129" i="5" s="1"/>
  <c r="A130" i="5" a="1"/>
  <c r="A130" i="5" s="1"/>
  <c r="A131" i="5" a="1"/>
  <c r="A131" i="5" s="1"/>
  <c r="A132" i="5" a="1"/>
  <c r="A132" i="5" s="1"/>
  <c r="A133" i="5" a="1"/>
  <c r="A133" i="5" s="1"/>
  <c r="A134" i="5" a="1"/>
  <c r="A134" i="5" s="1"/>
  <c r="A135" i="5" a="1"/>
  <c r="A135" i="5" s="1"/>
  <c r="A136" i="5" a="1"/>
  <c r="A136" i="5" s="1"/>
  <c r="A137" i="5" a="1"/>
  <c r="A137" i="5" s="1"/>
  <c r="A138" i="5" a="1"/>
  <c r="A138" i="5" s="1"/>
  <c r="A139" i="5" a="1"/>
  <c r="A139" i="5" s="1"/>
  <c r="A140" i="5" a="1"/>
  <c r="A140" i="5" s="1"/>
  <c r="A141" i="5" a="1"/>
  <c r="A141" i="5" s="1"/>
  <c r="A142" i="5" a="1"/>
  <c r="A142" i="5" s="1"/>
  <c r="A143" i="5" a="1"/>
  <c r="A143" i="5" s="1"/>
  <c r="A144" i="5" a="1"/>
  <c r="A144" i="5" s="1"/>
  <c r="A145" i="5" a="1"/>
  <c r="A145" i="5" s="1"/>
  <c r="A146" i="5" a="1"/>
  <c r="A146" i="5" s="1"/>
  <c r="A147" i="5" a="1"/>
  <c r="A147" i="5" s="1"/>
  <c r="A148" i="5" a="1"/>
  <c r="A148" i="5" s="1"/>
  <c r="A149" i="5" a="1"/>
  <c r="A149" i="5" s="1"/>
  <c r="A150" i="5" a="1"/>
  <c r="A150" i="5" s="1"/>
  <c r="A151" i="5" a="1"/>
  <c r="A151" i="5" s="1"/>
  <c r="A152" i="5" a="1"/>
  <c r="A152" i="5" s="1"/>
  <c r="A153" i="5" a="1"/>
  <c r="A153" i="5" s="1"/>
  <c r="A154" i="5" a="1"/>
  <c r="A154" i="5" s="1"/>
  <c r="A155" i="5" a="1"/>
  <c r="A155" i="5" s="1"/>
  <c r="A156" i="5" a="1"/>
  <c r="A156" i="5" s="1"/>
  <c r="A157" i="5" a="1"/>
  <c r="A157" i="5" s="1"/>
  <c r="A158" i="5" a="1"/>
  <c r="A158" i="5" s="1"/>
  <c r="A159" i="5" a="1"/>
  <c r="A159" i="5" s="1"/>
  <c r="A160" i="5" a="1"/>
  <c r="A160" i="5" s="1"/>
  <c r="A161" i="5" a="1"/>
  <c r="A161" i="5" s="1"/>
  <c r="A162" i="5" a="1"/>
  <c r="A162" i="5" s="1"/>
  <c r="A163" i="5" a="1"/>
  <c r="A163" i="5" s="1"/>
  <c r="A164" i="5" a="1"/>
  <c r="A164" i="5" s="1"/>
  <c r="A165" i="5" a="1"/>
  <c r="A165" i="5" s="1"/>
  <c r="A166" i="5" a="1"/>
  <c r="A166" i="5" s="1"/>
  <c r="A167" i="5" a="1"/>
  <c r="A167" i="5" s="1"/>
  <c r="A168" i="5" a="1"/>
  <c r="A168" i="5" s="1"/>
  <c r="A169" i="5" a="1"/>
  <c r="A169" i="5" s="1"/>
  <c r="A170" i="5" a="1"/>
  <c r="A170" i="5" s="1"/>
  <c r="A171" i="5" a="1"/>
  <c r="A171" i="5" s="1"/>
  <c r="A172" i="5" a="1"/>
  <c r="A172" i="5" s="1"/>
  <c r="A173" i="5" a="1"/>
  <c r="A173" i="5" s="1"/>
  <c r="A174" i="5" a="1"/>
  <c r="A174" i="5" s="1"/>
  <c r="A175" i="5" a="1"/>
  <c r="A175" i="5" s="1"/>
  <c r="A176" i="5" a="1"/>
  <c r="A176" i="5" s="1"/>
  <c r="A177" i="5" a="1"/>
  <c r="A177" i="5" s="1"/>
  <c r="A178" i="5" a="1"/>
  <c r="A178" i="5" s="1"/>
  <c r="A179" i="5" a="1"/>
  <c r="A179" i="5" s="1"/>
  <c r="A180" i="5" a="1"/>
  <c r="A180" i="5" s="1"/>
  <c r="A181" i="5" a="1"/>
  <c r="A181" i="5" s="1"/>
  <c r="A182" i="5" a="1"/>
  <c r="A182" i="5" s="1"/>
  <c r="A183" i="5" a="1"/>
  <c r="A183" i="5" s="1"/>
  <c r="A184" i="5" a="1"/>
  <c r="A184" i="5" s="1"/>
  <c r="A185" i="5" a="1"/>
  <c r="A185" i="5" s="1"/>
  <c r="A186" i="5" a="1"/>
  <c r="A186" i="5" s="1"/>
  <c r="A187" i="5" a="1"/>
  <c r="A187" i="5" s="1"/>
  <c r="A188" i="5" a="1"/>
  <c r="A188" i="5" s="1"/>
  <c r="A189" i="5" a="1"/>
  <c r="A189" i="5" s="1"/>
  <c r="A190" i="5" a="1"/>
  <c r="A190" i="5" s="1"/>
  <c r="A191" i="5" a="1"/>
  <c r="A191" i="5" s="1"/>
  <c r="A192" i="5" a="1"/>
  <c r="A192" i="5" s="1"/>
  <c r="A193" i="5" a="1"/>
  <c r="A193" i="5" s="1"/>
  <c r="A194" i="5" a="1"/>
  <c r="A194" i="5" s="1"/>
  <c r="A195" i="5" a="1"/>
  <c r="A195" i="5" s="1"/>
  <c r="A196" i="5" a="1"/>
  <c r="A196" i="5" s="1"/>
  <c r="A197" i="5" a="1"/>
  <c r="A197" i="5" s="1"/>
  <c r="A198" i="5" a="1"/>
  <c r="A198" i="5" s="1"/>
  <c r="A199" i="5" a="1"/>
  <c r="A199" i="5" s="1"/>
  <c r="A200" i="5" a="1"/>
  <c r="A200" i="5" s="1"/>
  <c r="A201" i="5" a="1"/>
  <c r="A201" i="5" s="1"/>
  <c r="A202" i="5" a="1"/>
  <c r="A202" i="5" s="1"/>
  <c r="A203" i="5" a="1"/>
  <c r="A203" i="5" s="1"/>
  <c r="A204" i="5" a="1"/>
  <c r="A204" i="5" s="1"/>
  <c r="A205" i="5" a="1"/>
  <c r="A205" i="5" s="1"/>
  <c r="A206" i="5" a="1"/>
  <c r="A206" i="5" s="1"/>
  <c r="A207" i="5" a="1"/>
  <c r="A207" i="5" s="1"/>
  <c r="A208" i="5" a="1"/>
  <c r="A208" i="5" s="1"/>
  <c r="A209" i="5" a="1"/>
  <c r="A209" i="5" s="1"/>
  <c r="A210" i="5" a="1"/>
  <c r="A210" i="5" s="1"/>
  <c r="A211" i="5" a="1"/>
  <c r="A211" i="5" s="1"/>
  <c r="A212" i="5" a="1"/>
  <c r="A212" i="5" s="1"/>
  <c r="A213" i="5" a="1"/>
  <c r="A213" i="5" s="1"/>
  <c r="A214" i="5" a="1"/>
  <c r="A214" i="5" s="1"/>
  <c r="A215" i="5" a="1"/>
  <c r="A215" i="5" s="1"/>
  <c r="A216" i="5" a="1"/>
  <c r="A216" i="5" s="1"/>
  <c r="A217" i="5" a="1"/>
  <c r="A217" i="5" s="1"/>
  <c r="A218" i="5" a="1"/>
  <c r="A218" i="5" s="1"/>
  <c r="A219" i="5" a="1"/>
  <c r="A219" i="5" s="1"/>
  <c r="A220" i="5" a="1"/>
  <c r="A220" i="5" s="1"/>
  <c r="A221" i="5" a="1"/>
  <c r="A221" i="5" s="1"/>
  <c r="A222" i="5" a="1"/>
  <c r="A222" i="5" s="1"/>
  <c r="A223" i="5" a="1"/>
  <c r="A223" i="5" s="1"/>
  <c r="A224" i="5" a="1"/>
  <c r="A224" i="5" s="1"/>
  <c r="A225" i="5" a="1"/>
  <c r="A225" i="5" s="1"/>
  <c r="A226" i="5" a="1"/>
  <c r="A226" i="5" s="1"/>
  <c r="A227" i="5" a="1"/>
  <c r="A227" i="5" s="1"/>
  <c r="A228" i="5" a="1"/>
  <c r="A228" i="5" s="1"/>
  <c r="A229" i="5" a="1"/>
  <c r="A229" i="5" s="1"/>
  <c r="A230" i="5" a="1"/>
  <c r="A230" i="5" s="1"/>
  <c r="A231" i="5" a="1"/>
  <c r="A231" i="5" s="1"/>
  <c r="A232" i="5" a="1"/>
  <c r="A232" i="5" s="1"/>
  <c r="A233" i="5" a="1"/>
  <c r="A233" i="5" s="1"/>
  <c r="A234" i="5" a="1"/>
  <c r="A234" i="5" s="1"/>
  <c r="A235" i="5" a="1"/>
  <c r="A235" i="5" s="1"/>
  <c r="A236" i="5" a="1"/>
  <c r="A236" i="5" s="1"/>
  <c r="A237" i="5" a="1"/>
  <c r="A237" i="5" s="1"/>
  <c r="A238" i="5" a="1"/>
  <c r="A238" i="5" s="1"/>
  <c r="A239" i="5" a="1"/>
  <c r="A239" i="5" s="1"/>
  <c r="A240" i="5" a="1"/>
  <c r="A240" i="5" s="1"/>
  <c r="A241" i="5" a="1"/>
  <c r="A241" i="5" s="1"/>
  <c r="A242" i="5" a="1"/>
  <c r="A242" i="5" s="1"/>
  <c r="A243" i="5" a="1"/>
  <c r="A243" i="5" s="1"/>
  <c r="A244" i="5" a="1"/>
  <c r="A244" i="5" s="1"/>
  <c r="A245" i="5" a="1"/>
  <c r="A245" i="5" s="1"/>
  <c r="A246" i="5" a="1"/>
  <c r="A246" i="5" s="1"/>
  <c r="A247" i="5" a="1"/>
  <c r="A247" i="5" s="1"/>
  <c r="A248" i="5" a="1"/>
  <c r="A248" i="5" s="1"/>
  <c r="A249" i="5" a="1"/>
  <c r="A249" i="5" s="1"/>
  <c r="A250" i="5" a="1"/>
  <c r="A250" i="5" s="1"/>
  <c r="A251" i="5" a="1"/>
  <c r="A251" i="5" s="1"/>
  <c r="A252" i="5" a="1"/>
  <c r="A252" i="5" s="1"/>
  <c r="A253" i="5" a="1"/>
  <c r="A253" i="5" s="1"/>
  <c r="A254" i="5" a="1"/>
  <c r="A254" i="5" s="1"/>
  <c r="A255" i="5" a="1"/>
  <c r="A255" i="5" s="1"/>
  <c r="A256" i="5" a="1"/>
  <c r="A256" i="5" s="1"/>
  <c r="A257" i="5" a="1"/>
  <c r="A257" i="5" s="1"/>
  <c r="A258" i="5" a="1"/>
  <c r="A258" i="5" s="1"/>
  <c r="A259" i="5" a="1"/>
  <c r="A259" i="5" s="1"/>
  <c r="A260" i="5" a="1"/>
  <c r="A260" i="5" s="1"/>
  <c r="A261" i="5" a="1"/>
  <c r="A261" i="5" s="1"/>
  <c r="A262" i="5" a="1"/>
  <c r="A262" i="5" s="1"/>
  <c r="A263" i="5" a="1"/>
  <c r="A263" i="5" s="1"/>
  <c r="A264" i="5" a="1"/>
  <c r="A264" i="5" s="1"/>
  <c r="A265" i="5" a="1"/>
  <c r="A265" i="5" s="1"/>
  <c r="A266" i="5" a="1"/>
  <c r="A266" i="5" s="1"/>
  <c r="A267" i="5" a="1"/>
  <c r="A267" i="5" s="1"/>
  <c r="A268" i="5" a="1"/>
  <c r="A268" i="5" s="1"/>
  <c r="A269" i="5" a="1"/>
  <c r="A269" i="5" s="1"/>
  <c r="A270" i="5" a="1"/>
  <c r="A270" i="5" s="1"/>
  <c r="A271" i="5" a="1"/>
  <c r="A271" i="5" s="1"/>
  <c r="A272" i="5" a="1"/>
  <c r="A272" i="5" s="1"/>
  <c r="A273" i="5" a="1"/>
  <c r="A273" i="5" s="1"/>
  <c r="A274" i="5" a="1"/>
  <c r="A274" i="5" s="1"/>
  <c r="A275" i="5" a="1"/>
  <c r="A275" i="5" s="1"/>
  <c r="A276" i="5" a="1"/>
  <c r="A276" i="5" s="1"/>
  <c r="A277" i="5" a="1"/>
  <c r="A277" i="5" s="1"/>
  <c r="A278" i="5" a="1"/>
  <c r="A278" i="5" s="1"/>
  <c r="A279" i="5" a="1"/>
  <c r="A279" i="5" s="1"/>
  <c r="A280" i="5" a="1"/>
  <c r="A280" i="5" s="1"/>
  <c r="A281" i="5" a="1"/>
  <c r="A281" i="5" s="1"/>
  <c r="A282" i="5" a="1"/>
  <c r="A282" i="5" s="1"/>
  <c r="A283" i="5" a="1"/>
  <c r="A283" i="5" s="1"/>
  <c r="A284" i="5" a="1"/>
  <c r="A284" i="5" s="1"/>
  <c r="A285" i="5" a="1"/>
  <c r="A285" i="5" s="1"/>
  <c r="A286" i="5" a="1"/>
  <c r="A286" i="5" s="1"/>
  <c r="A287" i="5" a="1"/>
  <c r="A287" i="5" s="1"/>
  <c r="A288" i="5" a="1"/>
  <c r="A288" i="5" s="1"/>
  <c r="A289" i="5" a="1"/>
  <c r="A289" i="5" s="1"/>
  <c r="A290" i="5" a="1"/>
  <c r="A290" i="5" s="1"/>
  <c r="A291" i="5" a="1"/>
  <c r="A291" i="5" s="1"/>
  <c r="A292" i="5" a="1"/>
  <c r="A292" i="5" s="1"/>
  <c r="A293" i="5" a="1"/>
  <c r="A293" i="5" s="1"/>
  <c r="A294" i="5" a="1"/>
  <c r="A294" i="5" s="1"/>
  <c r="A295" i="5" a="1"/>
  <c r="A295" i="5" s="1"/>
  <c r="A296" i="5" a="1"/>
  <c r="A296" i="5" s="1"/>
  <c r="A297" i="5" a="1"/>
  <c r="A297" i="5" s="1"/>
  <c r="A298" i="5" a="1"/>
  <c r="A298" i="5" s="1"/>
  <c r="A299" i="5" a="1"/>
  <c r="A299" i="5" s="1"/>
  <c r="A300" i="5" a="1"/>
  <c r="A300" i="5" s="1"/>
  <c r="B2" i="3" a="1"/>
  <c r="B2" i="3" s="1"/>
  <c r="B3" i="3" a="1"/>
  <c r="B3" i="3" s="1"/>
  <c r="B4" i="3" a="1"/>
  <c r="B4" i="3" s="1"/>
  <c r="B5" i="3" a="1"/>
  <c r="B5" i="3" s="1"/>
  <c r="B6" i="3" a="1"/>
  <c r="B6" i="3" s="1"/>
  <c r="B7" i="3" a="1"/>
  <c r="B7" i="3" s="1"/>
  <c r="B8" i="3" a="1"/>
  <c r="B8" i="3" s="1"/>
  <c r="B9" i="3" a="1"/>
  <c r="B9" i="3" s="1"/>
  <c r="B10" i="3" a="1"/>
  <c r="B10" i="3" s="1"/>
  <c r="B11" i="3" a="1"/>
  <c r="B11" i="3" s="1"/>
  <c r="B12" i="3" a="1"/>
  <c r="B12" i="3" s="1"/>
  <c r="B13" i="3" a="1"/>
  <c r="B13" i="3" s="1"/>
  <c r="B14" i="3" a="1"/>
  <c r="B14" i="3" s="1"/>
  <c r="B15" i="3" a="1"/>
  <c r="B15" i="3" s="1"/>
  <c r="B16" i="3" a="1"/>
  <c r="B16" i="3" s="1"/>
  <c r="B17" i="3" a="1"/>
  <c r="B17" i="3" s="1"/>
  <c r="B18" i="3" a="1"/>
  <c r="B18" i="3" s="1"/>
  <c r="B19" i="3" a="1"/>
  <c r="B19" i="3" s="1"/>
  <c r="B20" i="3" a="1"/>
  <c r="B20" i="3" s="1"/>
  <c r="B21" i="3" a="1"/>
  <c r="B21" i="3" s="1"/>
  <c r="B22" i="3" a="1"/>
  <c r="B22" i="3" s="1"/>
  <c r="B23" i="3" a="1"/>
  <c r="B23" i="3" s="1"/>
  <c r="B24" i="3" a="1"/>
  <c r="B24" i="3" s="1"/>
  <c r="B25" i="3" a="1"/>
  <c r="B25" i="3" s="1"/>
  <c r="B26" i="3" a="1"/>
  <c r="B26" i="3" s="1"/>
  <c r="B27" i="3" a="1"/>
  <c r="B27" i="3" s="1"/>
  <c r="B28" i="3" a="1"/>
  <c r="B28" i="3" s="1"/>
  <c r="B29" i="3" a="1"/>
  <c r="B29" i="3" s="1"/>
  <c r="B30" i="3" a="1"/>
  <c r="B30" i="3" s="1"/>
  <c r="B31" i="3" a="1"/>
  <c r="B31" i="3" s="1"/>
  <c r="B32" i="3" a="1"/>
  <c r="B32" i="3" s="1"/>
  <c r="B33" i="3" a="1"/>
  <c r="B33" i="3" s="1"/>
  <c r="B34" i="3" a="1"/>
  <c r="B34" i="3" s="1"/>
  <c r="B35" i="3" a="1"/>
  <c r="B35" i="3" s="1"/>
  <c r="B36" i="3" a="1"/>
  <c r="B36" i="3" s="1"/>
  <c r="B37" i="3" a="1"/>
  <c r="B37" i="3" s="1"/>
  <c r="B38" i="3" a="1"/>
  <c r="B38" i="3" s="1"/>
  <c r="B39" i="3" a="1"/>
  <c r="B39" i="3" s="1"/>
  <c r="B40" i="3" a="1"/>
  <c r="B40" i="3" s="1"/>
  <c r="B41" i="3" a="1"/>
  <c r="B41" i="3" s="1"/>
  <c r="B42" i="3" a="1"/>
  <c r="B42" i="3" s="1"/>
  <c r="B43" i="3" a="1"/>
  <c r="B43" i="3" s="1"/>
  <c r="B44" i="3" a="1"/>
  <c r="B44" i="3" s="1"/>
  <c r="B45" i="3" a="1"/>
  <c r="B45" i="3" s="1"/>
  <c r="B46" i="3" a="1"/>
  <c r="B46" i="3" s="1"/>
  <c r="B47" i="3" a="1"/>
  <c r="B47" i="3" s="1"/>
  <c r="B48" i="3" a="1"/>
  <c r="B48" i="3" s="1"/>
  <c r="B49" i="3" a="1"/>
  <c r="B49" i="3" s="1"/>
  <c r="B50" i="3" a="1"/>
  <c r="B50" i="3" s="1"/>
  <c r="B51" i="3" a="1"/>
  <c r="B51" i="3" s="1"/>
  <c r="B52" i="3" a="1"/>
  <c r="B52" i="3" s="1"/>
  <c r="B53" i="3" a="1"/>
  <c r="B53" i="3" s="1"/>
  <c r="B54" i="3" a="1"/>
  <c r="B54" i="3" s="1"/>
  <c r="B55" i="3" a="1"/>
  <c r="B55" i="3" s="1"/>
  <c r="B56" i="3" a="1"/>
  <c r="B56" i="3" s="1"/>
  <c r="B57" i="3" a="1"/>
  <c r="B57" i="3" s="1"/>
  <c r="B58" i="3" a="1"/>
  <c r="B58" i="3" s="1"/>
  <c r="B59" i="3" a="1"/>
  <c r="B59" i="3" s="1"/>
  <c r="B60" i="3" a="1"/>
  <c r="B60" i="3" s="1"/>
  <c r="B61" i="3" a="1"/>
  <c r="B61" i="3" s="1"/>
  <c r="B62" i="3" a="1"/>
  <c r="B62" i="3" s="1"/>
  <c r="B63" i="3" a="1"/>
  <c r="B63" i="3" s="1"/>
  <c r="B64" i="3" a="1"/>
  <c r="B64" i="3" s="1"/>
  <c r="B65" i="3" a="1"/>
  <c r="B65" i="3" s="1"/>
  <c r="B66" i="3" a="1"/>
  <c r="B66" i="3" s="1"/>
  <c r="B67" i="3" a="1"/>
  <c r="B67" i="3" s="1"/>
  <c r="B68" i="3" a="1"/>
  <c r="B68" i="3" s="1"/>
  <c r="B69" i="3" a="1"/>
  <c r="B69" i="3" s="1"/>
  <c r="B70" i="3" a="1"/>
  <c r="B70" i="3" s="1"/>
  <c r="B71" i="3" a="1"/>
  <c r="B71" i="3" s="1"/>
  <c r="B72" i="3" a="1"/>
  <c r="B72" i="3" s="1"/>
  <c r="B73" i="3" a="1"/>
  <c r="B73" i="3" s="1"/>
  <c r="B74" i="3" a="1"/>
  <c r="B74" i="3" s="1"/>
  <c r="B75" i="3" a="1"/>
  <c r="B75" i="3" s="1"/>
  <c r="B76" i="3" a="1"/>
  <c r="B76" i="3" s="1"/>
  <c r="B77" i="3" a="1"/>
  <c r="B77" i="3" s="1"/>
  <c r="B78" i="3" a="1"/>
  <c r="B78" i="3" s="1"/>
  <c r="B79" i="3" a="1"/>
  <c r="B79" i="3" s="1"/>
  <c r="B80" i="3" a="1"/>
  <c r="B80" i="3" s="1"/>
  <c r="B81" i="3" a="1"/>
  <c r="B81" i="3" s="1"/>
  <c r="B82" i="3" a="1"/>
  <c r="B82" i="3" s="1"/>
  <c r="B83" i="3" a="1"/>
  <c r="B83" i="3" s="1"/>
  <c r="B84" i="3" a="1"/>
  <c r="B84" i="3" s="1"/>
  <c r="B85" i="3" a="1"/>
  <c r="B85" i="3" s="1"/>
  <c r="B86" i="3" a="1"/>
  <c r="B86" i="3" s="1"/>
  <c r="B87" i="3" a="1"/>
  <c r="B87" i="3" s="1"/>
  <c r="B88" i="3" a="1"/>
  <c r="B88" i="3" s="1"/>
  <c r="B89" i="3" a="1"/>
  <c r="B89" i="3" s="1"/>
  <c r="B90" i="3" a="1"/>
  <c r="B90" i="3" s="1"/>
  <c r="B91" i="3" a="1"/>
  <c r="B91" i="3" s="1"/>
  <c r="B92" i="3" a="1"/>
  <c r="B92" i="3" s="1"/>
  <c r="B93" i="3" a="1"/>
  <c r="B93" i="3" s="1"/>
  <c r="B94" i="3" a="1"/>
  <c r="B94" i="3" s="1"/>
  <c r="B95" i="3" a="1"/>
  <c r="B95" i="3" s="1"/>
  <c r="B96" i="3" a="1"/>
  <c r="B96" i="3" s="1"/>
  <c r="B97" i="3" a="1"/>
  <c r="B97" i="3" s="1"/>
  <c r="B98" i="3" a="1"/>
  <c r="B98" i="3" s="1"/>
  <c r="B99" i="3" a="1"/>
  <c r="B99" i="3" s="1"/>
  <c r="B100" i="3" a="1"/>
  <c r="B100" i="3" s="1"/>
  <c r="B101" i="3" a="1"/>
  <c r="B101" i="3" s="1"/>
  <c r="B102" i="3" a="1"/>
  <c r="B102" i="3" s="1"/>
  <c r="B103" i="3" a="1"/>
  <c r="B103" i="3" s="1"/>
  <c r="B104" i="3" a="1"/>
  <c r="B104" i="3" s="1"/>
  <c r="B105" i="3" a="1"/>
  <c r="B105" i="3" s="1"/>
  <c r="B106" i="3" a="1"/>
  <c r="B106" i="3" s="1"/>
  <c r="B107" i="3" a="1"/>
  <c r="B107" i="3" s="1"/>
  <c r="B108" i="3" a="1"/>
  <c r="B108" i="3" s="1"/>
  <c r="B109" i="3" a="1"/>
  <c r="B109" i="3" s="1"/>
  <c r="B110" i="3" a="1"/>
  <c r="B110" i="3" s="1"/>
  <c r="B111" i="3" a="1"/>
  <c r="B111" i="3" s="1"/>
  <c r="B112" i="3" a="1"/>
  <c r="B112" i="3" s="1"/>
  <c r="B113" i="3" a="1"/>
  <c r="B113" i="3" s="1"/>
  <c r="B114" i="3" a="1"/>
  <c r="B114" i="3" s="1"/>
  <c r="B115" i="3" a="1"/>
  <c r="B115" i="3" s="1"/>
  <c r="B116" i="3" a="1"/>
  <c r="B116" i="3" s="1"/>
  <c r="B117" i="3" a="1"/>
  <c r="B117" i="3" s="1"/>
  <c r="B118" i="3" a="1"/>
  <c r="B118" i="3" s="1"/>
  <c r="B119" i="3" a="1"/>
  <c r="B119" i="3" s="1"/>
  <c r="B120" i="3" a="1"/>
  <c r="B120" i="3" s="1"/>
  <c r="B121" i="3" a="1"/>
  <c r="B121" i="3" s="1"/>
  <c r="B122" i="3" a="1"/>
  <c r="B122" i="3" s="1"/>
  <c r="B123" i="3" a="1"/>
  <c r="B123" i="3" s="1"/>
  <c r="B124" i="3" a="1"/>
  <c r="B124" i="3" s="1"/>
  <c r="B125" i="3" a="1"/>
  <c r="B125" i="3" s="1"/>
  <c r="B126" i="3" a="1"/>
  <c r="B126" i="3" s="1"/>
  <c r="B127" i="3" a="1"/>
  <c r="B127" i="3" s="1"/>
  <c r="B128" i="3" a="1"/>
  <c r="B128" i="3" s="1"/>
  <c r="B129" i="3" a="1"/>
  <c r="B129" i="3" s="1"/>
  <c r="B130" i="3" a="1"/>
  <c r="B130" i="3" s="1"/>
  <c r="B131" i="3" a="1"/>
  <c r="B131" i="3" s="1"/>
  <c r="B132" i="3" a="1"/>
  <c r="B132" i="3" s="1"/>
  <c r="B133" i="3" a="1"/>
  <c r="B133" i="3" s="1"/>
  <c r="B134" i="3" a="1"/>
  <c r="B134" i="3" s="1"/>
  <c r="B135" i="3" a="1"/>
  <c r="B135" i="3" s="1"/>
  <c r="B136" i="3" a="1"/>
  <c r="B136" i="3" s="1"/>
  <c r="B137" i="3" a="1"/>
  <c r="B137" i="3" s="1"/>
  <c r="B138" i="3" a="1"/>
  <c r="B138" i="3" s="1"/>
  <c r="B139" i="3" a="1"/>
  <c r="B139" i="3" s="1"/>
  <c r="B140" i="3" a="1"/>
  <c r="B140" i="3" s="1"/>
  <c r="B141" i="3" a="1"/>
  <c r="B141" i="3" s="1"/>
  <c r="B142" i="3" a="1"/>
  <c r="B142" i="3" s="1"/>
  <c r="B143" i="3" a="1"/>
  <c r="B143" i="3" s="1"/>
  <c r="B144" i="3" a="1"/>
  <c r="B144" i="3" s="1"/>
  <c r="B145" i="3" a="1"/>
  <c r="B145" i="3" s="1"/>
  <c r="B146" i="3" a="1"/>
  <c r="B146" i="3" s="1"/>
  <c r="B147" i="3" a="1"/>
  <c r="B147" i="3" s="1"/>
  <c r="B148" i="3" a="1"/>
  <c r="B148" i="3" s="1"/>
  <c r="B149" i="3" a="1"/>
  <c r="B149" i="3" s="1"/>
  <c r="B150" i="3" a="1"/>
  <c r="B150" i="3" s="1"/>
  <c r="B151" i="3" a="1"/>
  <c r="B151" i="3" s="1"/>
  <c r="B152" i="3" a="1"/>
  <c r="B152" i="3" s="1"/>
  <c r="B153" i="3" a="1"/>
  <c r="B153" i="3" s="1"/>
  <c r="B154" i="3" a="1"/>
  <c r="B154" i="3" s="1"/>
  <c r="B155" i="3" a="1"/>
  <c r="B155" i="3" s="1"/>
  <c r="B156" i="3" a="1"/>
  <c r="B156" i="3" s="1"/>
  <c r="B157" i="3" a="1"/>
  <c r="B157" i="3" s="1"/>
  <c r="B158" i="3" a="1"/>
  <c r="B158" i="3" s="1"/>
  <c r="B159" i="3" a="1"/>
  <c r="B159" i="3" s="1"/>
  <c r="B160" i="3" a="1"/>
  <c r="B160" i="3" s="1"/>
  <c r="B161" i="3" a="1"/>
  <c r="B161" i="3" s="1"/>
  <c r="B162" i="3" a="1"/>
  <c r="B162" i="3" s="1"/>
  <c r="B163" i="3" a="1"/>
  <c r="B163" i="3" s="1"/>
  <c r="B164" i="3" a="1"/>
  <c r="B164" i="3" s="1"/>
  <c r="B165" i="3" a="1"/>
  <c r="B165" i="3" s="1"/>
  <c r="B166" i="3" a="1"/>
  <c r="B166" i="3" s="1"/>
  <c r="B167" i="3" a="1"/>
  <c r="B167" i="3" s="1"/>
  <c r="B168" i="3" a="1"/>
  <c r="B168" i="3" s="1"/>
  <c r="B169" i="3" a="1"/>
  <c r="B169" i="3" s="1"/>
  <c r="B170" i="3" a="1"/>
  <c r="B170" i="3" s="1"/>
  <c r="B171" i="3" a="1"/>
  <c r="B171" i="3" s="1"/>
  <c r="B172" i="3" a="1"/>
  <c r="B172" i="3" s="1"/>
  <c r="B173" i="3" a="1"/>
  <c r="B173" i="3" s="1"/>
  <c r="B174" i="3" a="1"/>
  <c r="B174" i="3" s="1"/>
  <c r="B175" i="3" a="1"/>
  <c r="B175" i="3" s="1"/>
  <c r="B176" i="3" a="1"/>
  <c r="B176" i="3" s="1"/>
  <c r="B177" i="3" a="1"/>
  <c r="B177" i="3" s="1"/>
  <c r="B178" i="3" a="1"/>
  <c r="B178" i="3" s="1"/>
  <c r="B179" i="3" a="1"/>
  <c r="B179" i="3" s="1"/>
  <c r="B180" i="3" a="1"/>
  <c r="B180" i="3" s="1"/>
  <c r="B181" i="3" a="1"/>
  <c r="B181" i="3" s="1"/>
  <c r="B182" i="3" a="1"/>
  <c r="B182" i="3" s="1"/>
  <c r="B183" i="3" a="1"/>
  <c r="B183" i="3" s="1"/>
  <c r="B184" i="3" a="1"/>
  <c r="B184" i="3" s="1"/>
  <c r="B185" i="3" a="1"/>
  <c r="B185" i="3" s="1"/>
  <c r="B186" i="3" a="1"/>
  <c r="B186" i="3" s="1"/>
  <c r="B187" i="3" a="1"/>
  <c r="B187" i="3" s="1"/>
  <c r="B188" i="3" a="1"/>
  <c r="B188" i="3" s="1"/>
  <c r="B189" i="3" a="1"/>
  <c r="B189" i="3" s="1"/>
  <c r="B190" i="3" a="1"/>
  <c r="B190" i="3" s="1"/>
  <c r="B191" i="3" a="1"/>
  <c r="B191" i="3" s="1"/>
  <c r="B192" i="3" a="1"/>
  <c r="B192" i="3" s="1"/>
  <c r="B193" i="3" a="1"/>
  <c r="B193" i="3" s="1"/>
  <c r="B194" i="3" a="1"/>
  <c r="B194" i="3" s="1"/>
  <c r="B195" i="3" a="1"/>
  <c r="B195" i="3" s="1"/>
  <c r="B196" i="3" a="1"/>
  <c r="B196" i="3" s="1"/>
  <c r="B197" i="3" a="1"/>
  <c r="B197" i="3" s="1"/>
  <c r="B198" i="3" a="1"/>
  <c r="B198" i="3" s="1"/>
  <c r="B199" i="3" a="1"/>
  <c r="B199" i="3" s="1"/>
  <c r="B200" i="3" a="1"/>
  <c r="B200" i="3" s="1"/>
  <c r="B201" i="3" a="1"/>
  <c r="B201" i="3" s="1"/>
  <c r="B202" i="3" a="1"/>
  <c r="B202" i="3" s="1"/>
  <c r="B203" i="3" a="1"/>
  <c r="B203" i="3" s="1"/>
  <c r="B204" i="3" a="1"/>
  <c r="B204" i="3" s="1"/>
  <c r="B205" i="3" a="1"/>
  <c r="B205" i="3" s="1"/>
  <c r="B206" i="3" a="1"/>
  <c r="B206" i="3" s="1"/>
  <c r="B207" i="3" a="1"/>
  <c r="B207" i="3" s="1"/>
  <c r="B208" i="3" a="1"/>
  <c r="B208" i="3" s="1"/>
  <c r="B209" i="3" a="1"/>
  <c r="B209" i="3" s="1"/>
  <c r="B210" i="3" a="1"/>
  <c r="B210" i="3" s="1"/>
  <c r="B211" i="3" a="1"/>
  <c r="B211" i="3" s="1"/>
  <c r="B212" i="3" a="1"/>
  <c r="B212" i="3" s="1"/>
  <c r="B213" i="3" a="1"/>
  <c r="B213" i="3" s="1"/>
  <c r="B214" i="3" a="1"/>
  <c r="B214" i="3" s="1"/>
  <c r="B215" i="3" a="1"/>
  <c r="B215" i="3" s="1"/>
  <c r="B216" i="3" a="1"/>
  <c r="B216" i="3" s="1"/>
  <c r="B217" i="3" a="1"/>
  <c r="B217" i="3" s="1"/>
  <c r="B218" i="3" a="1"/>
  <c r="B218" i="3" s="1"/>
  <c r="B219" i="3" a="1"/>
  <c r="B219" i="3" s="1"/>
  <c r="B220" i="3" a="1"/>
  <c r="B220" i="3" s="1"/>
  <c r="B221" i="3" a="1"/>
  <c r="B221" i="3" s="1"/>
  <c r="B222" i="3" a="1"/>
  <c r="B222" i="3" s="1"/>
  <c r="B223" i="3" a="1"/>
  <c r="B223" i="3" s="1"/>
  <c r="B224" i="3" a="1"/>
  <c r="B224" i="3" s="1"/>
  <c r="B225" i="3" a="1"/>
  <c r="B225" i="3" s="1"/>
  <c r="B226" i="3" a="1"/>
  <c r="B226" i="3" s="1"/>
  <c r="B227" i="3" a="1"/>
  <c r="B227" i="3" s="1"/>
  <c r="B228" i="3" a="1"/>
  <c r="B228" i="3" s="1"/>
  <c r="B229" i="3" a="1"/>
  <c r="B229" i="3" s="1"/>
  <c r="B230" i="3" a="1"/>
  <c r="B230" i="3" s="1"/>
  <c r="B231" i="3" a="1"/>
  <c r="B231" i="3" s="1"/>
  <c r="B232" i="3" a="1"/>
  <c r="B232" i="3" s="1"/>
  <c r="B233" i="3" a="1"/>
  <c r="B233" i="3" s="1"/>
  <c r="B234" i="3" a="1"/>
  <c r="B234" i="3" s="1"/>
  <c r="B235" i="3" a="1"/>
  <c r="B235" i="3" s="1"/>
  <c r="B236" i="3" a="1"/>
  <c r="B236" i="3" s="1"/>
  <c r="B237" i="3" a="1"/>
  <c r="B237" i="3" s="1"/>
  <c r="B238" i="3" a="1"/>
  <c r="B238" i="3" s="1"/>
  <c r="B239" i="3" a="1"/>
  <c r="B239" i="3" s="1"/>
  <c r="B240" i="3" a="1"/>
  <c r="B240" i="3" s="1"/>
  <c r="B241" i="3" a="1"/>
  <c r="B241" i="3" s="1"/>
  <c r="B242" i="3" a="1"/>
  <c r="B242" i="3" s="1"/>
  <c r="B243" i="3" a="1"/>
  <c r="B243" i="3" s="1"/>
  <c r="B244" i="3" a="1"/>
  <c r="B244" i="3" s="1"/>
  <c r="B245" i="3" a="1"/>
  <c r="B245" i="3" s="1"/>
  <c r="B246" i="3" a="1"/>
  <c r="B246" i="3" s="1"/>
  <c r="B247" i="3" a="1"/>
  <c r="B247" i="3" s="1"/>
  <c r="B248" i="3" a="1"/>
  <c r="B248" i="3" s="1"/>
  <c r="B249" i="3" a="1"/>
  <c r="B249" i="3" s="1"/>
  <c r="B250" i="3" a="1"/>
  <c r="B250" i="3" s="1"/>
  <c r="B251" i="3" a="1"/>
  <c r="B251" i="3" s="1"/>
  <c r="B252" i="3" a="1"/>
  <c r="B252" i="3" s="1"/>
  <c r="B253" i="3" a="1"/>
  <c r="B253" i="3" s="1"/>
  <c r="B254" i="3" a="1"/>
  <c r="B254" i="3" s="1"/>
  <c r="B255" i="3" a="1"/>
  <c r="B255" i="3" s="1"/>
  <c r="B256" i="3" a="1"/>
  <c r="B256" i="3" s="1"/>
  <c r="B257" i="3" a="1"/>
  <c r="B257" i="3" s="1"/>
  <c r="B258" i="3" a="1"/>
  <c r="B258" i="3" s="1"/>
  <c r="B259" i="3" a="1"/>
  <c r="B259" i="3" s="1"/>
  <c r="B260" i="3" a="1"/>
  <c r="B260" i="3" s="1"/>
  <c r="B261" i="3" a="1"/>
  <c r="B261" i="3" s="1"/>
  <c r="B262" i="3" a="1"/>
  <c r="B262" i="3" s="1"/>
  <c r="B263" i="3" a="1"/>
  <c r="B263" i="3" s="1"/>
  <c r="B264" i="3" a="1"/>
  <c r="B264" i="3" s="1"/>
  <c r="B265" i="3" a="1"/>
  <c r="B265" i="3" s="1"/>
  <c r="B266" i="3" a="1"/>
  <c r="B266" i="3" s="1"/>
  <c r="B267" i="3" a="1"/>
  <c r="B267" i="3" s="1"/>
  <c r="B268" i="3" a="1"/>
  <c r="B268" i="3" s="1"/>
  <c r="B269" i="3" a="1"/>
  <c r="B269" i="3" s="1"/>
  <c r="B270" i="3" a="1"/>
  <c r="B270" i="3" s="1"/>
  <c r="B271" i="3" a="1"/>
  <c r="B271" i="3" s="1"/>
  <c r="B272" i="3" a="1"/>
  <c r="B272" i="3" s="1"/>
  <c r="B273" i="3" a="1"/>
  <c r="B273" i="3" s="1"/>
  <c r="B274" i="3" a="1"/>
  <c r="B274" i="3" s="1"/>
  <c r="B275" i="3" a="1"/>
  <c r="B275" i="3" s="1"/>
  <c r="B276" i="3" a="1"/>
  <c r="B276" i="3" s="1"/>
  <c r="B277" i="3" a="1"/>
  <c r="B277" i="3" s="1"/>
  <c r="B278" i="3" a="1"/>
  <c r="B278" i="3" s="1"/>
  <c r="B279" i="3" a="1"/>
  <c r="B279" i="3" s="1"/>
  <c r="B280" i="3" a="1"/>
  <c r="B280" i="3" s="1"/>
  <c r="B281" i="3" a="1"/>
  <c r="B281" i="3" s="1"/>
  <c r="B282" i="3" a="1"/>
  <c r="B282" i="3" s="1"/>
  <c r="B283" i="3" a="1"/>
  <c r="B283" i="3" s="1"/>
  <c r="B284" i="3" a="1"/>
  <c r="B284" i="3" s="1"/>
  <c r="B285" i="3" a="1"/>
  <c r="B285" i="3" s="1"/>
  <c r="B286" i="3" a="1"/>
  <c r="B286" i="3" s="1"/>
  <c r="B287" i="3" a="1"/>
  <c r="B287" i="3" s="1"/>
  <c r="B288" i="3" a="1"/>
  <c r="B288" i="3" s="1"/>
  <c r="B289" i="3" a="1"/>
  <c r="B289" i="3" s="1"/>
  <c r="B290" i="3" a="1"/>
  <c r="B290" i="3" s="1"/>
  <c r="B291" i="3" a="1"/>
  <c r="B291" i="3" s="1"/>
  <c r="B292" i="3" a="1"/>
  <c r="B292" i="3" s="1"/>
  <c r="B293" i="3" a="1"/>
  <c r="B293" i="3" s="1"/>
  <c r="B294" i="3" a="1"/>
  <c r="B294" i="3" s="1"/>
  <c r="B295" i="3" a="1"/>
  <c r="B295" i="3" s="1"/>
  <c r="B296" i="3" a="1"/>
  <c r="B296" i="3" s="1"/>
  <c r="B297" i="3" a="1"/>
  <c r="B297" i="3" s="1"/>
  <c r="B298" i="3" a="1"/>
  <c r="B298" i="3" s="1"/>
  <c r="B299" i="3" a="1"/>
  <c r="B299" i="3" s="1"/>
  <c r="B300" i="3" a="1"/>
  <c r="B300" i="3" s="1"/>
  <c r="B301" i="3" a="1"/>
  <c r="B301" i="3" s="1"/>
  <c r="B302" i="3" a="1"/>
  <c r="B302" i="3" s="1"/>
  <c r="B303" i="3" a="1"/>
  <c r="B303" i="3" s="1"/>
  <c r="B304" i="3" a="1"/>
  <c r="B304" i="3" s="1"/>
  <c r="B305" i="3" a="1"/>
  <c r="B305" i="3" s="1"/>
  <c r="B306" i="3" a="1"/>
  <c r="B306" i="3" s="1"/>
  <c r="B307" i="3" a="1"/>
  <c r="B307" i="3" s="1"/>
  <c r="B308" i="3" a="1"/>
  <c r="B308" i="3" s="1"/>
  <c r="B309" i="3" a="1"/>
  <c r="B309" i="3" s="1"/>
  <c r="B310" i="3" a="1"/>
  <c r="B310" i="3" s="1"/>
  <c r="B311" i="3" a="1"/>
  <c r="B311" i="3" s="1"/>
  <c r="B312" i="3" a="1"/>
  <c r="B312" i="3" s="1"/>
  <c r="B313" i="3" a="1"/>
  <c r="B313" i="3" s="1"/>
  <c r="B314" i="3" a="1"/>
  <c r="B314" i="3" s="1"/>
  <c r="B315" i="3" a="1"/>
  <c r="B315" i="3" s="1"/>
  <c r="B316" i="3" a="1"/>
  <c r="B316" i="3" s="1"/>
  <c r="B317" i="3" a="1"/>
  <c r="B317" i="3" s="1"/>
  <c r="B318" i="3" a="1"/>
  <c r="B318" i="3" s="1"/>
  <c r="B319" i="3" a="1"/>
  <c r="B319" i="3" s="1"/>
  <c r="B320" i="3" a="1"/>
  <c r="B320" i="3" s="1"/>
  <c r="B321" i="3" a="1"/>
  <c r="B321" i="3" s="1"/>
  <c r="B322" i="3" a="1"/>
  <c r="B322" i="3" s="1"/>
  <c r="B323" i="3" a="1"/>
  <c r="B323" i="3" s="1"/>
  <c r="B324" i="3" a="1"/>
  <c r="B324" i="3" s="1"/>
  <c r="B325" i="3" a="1"/>
  <c r="B325" i="3" s="1"/>
  <c r="B326" i="3" a="1"/>
  <c r="B326" i="3" s="1"/>
  <c r="B327" i="3" a="1"/>
  <c r="B327" i="3" s="1"/>
  <c r="B328" i="3" a="1"/>
  <c r="B328" i="3" s="1"/>
  <c r="B329" i="3" a="1"/>
  <c r="B329" i="3" s="1"/>
  <c r="B330" i="3" a="1"/>
  <c r="B330" i="3" s="1"/>
  <c r="B331" i="3" a="1"/>
  <c r="B331" i="3" s="1"/>
  <c r="B332" i="3" a="1"/>
  <c r="B332" i="3" s="1"/>
  <c r="B333" i="3" a="1"/>
  <c r="B333" i="3" s="1"/>
  <c r="B334" i="3" a="1"/>
  <c r="B334" i="3" s="1"/>
  <c r="B335" i="3" a="1"/>
  <c r="B335" i="3" s="1"/>
  <c r="B336" i="3" a="1"/>
  <c r="B336" i="3" s="1"/>
  <c r="B337" i="3" a="1"/>
  <c r="B337" i="3" s="1"/>
  <c r="B338" i="3" a="1"/>
  <c r="B338" i="3" s="1"/>
  <c r="B339" i="3" a="1"/>
  <c r="B339" i="3" s="1"/>
  <c r="B340" i="3" a="1"/>
  <c r="B340" i="3" s="1"/>
  <c r="B341" i="3" a="1"/>
  <c r="B341" i="3" s="1"/>
  <c r="B342" i="3" a="1"/>
  <c r="B342" i="3" s="1"/>
  <c r="B343" i="3" a="1"/>
  <c r="B343" i="3" s="1"/>
  <c r="B344" i="3" a="1"/>
  <c r="B344" i="3" s="1"/>
  <c r="B345" i="3" a="1"/>
  <c r="B345" i="3" s="1"/>
  <c r="B346" i="3" a="1"/>
  <c r="B346" i="3" s="1"/>
  <c r="B347" i="3" a="1"/>
  <c r="B347" i="3" s="1"/>
  <c r="B348" i="3" a="1"/>
  <c r="B348" i="3" s="1"/>
  <c r="B349" i="3" a="1"/>
  <c r="B349" i="3" s="1"/>
  <c r="B350" i="3" a="1"/>
  <c r="B350" i="3" s="1"/>
  <c r="B351" i="3" a="1"/>
  <c r="B351" i="3" s="1"/>
  <c r="B352" i="3" a="1"/>
  <c r="B352" i="3" s="1"/>
  <c r="B353" i="3" a="1"/>
  <c r="B353" i="3" s="1"/>
  <c r="B354" i="3" a="1"/>
  <c r="B354" i="3" s="1"/>
  <c r="B355" i="3" a="1"/>
  <c r="B355" i="3" s="1"/>
  <c r="B356" i="3" a="1"/>
  <c r="B356" i="3" s="1"/>
  <c r="B357" i="3" a="1"/>
  <c r="B357" i="3" s="1"/>
  <c r="B358" i="3" a="1"/>
  <c r="B358" i="3" s="1"/>
  <c r="B359" i="3" a="1"/>
  <c r="B359" i="3" s="1"/>
  <c r="B360" i="3" a="1"/>
  <c r="B360" i="3" s="1"/>
  <c r="B361" i="3" a="1"/>
  <c r="B361" i="3" s="1"/>
  <c r="B362" i="3" a="1"/>
  <c r="B362" i="3" s="1"/>
  <c r="B363" i="3" a="1"/>
  <c r="B363" i="3" s="1"/>
  <c r="B364" i="3" a="1"/>
  <c r="B364" i="3" s="1"/>
  <c r="B365" i="3" a="1"/>
  <c r="B365" i="3" s="1"/>
  <c r="B366" i="3" a="1"/>
  <c r="B366" i="3" s="1"/>
  <c r="B367" i="3" a="1"/>
  <c r="B367" i="3" s="1"/>
  <c r="B368" i="3" a="1"/>
  <c r="B368" i="3" s="1"/>
  <c r="B369" i="3" a="1"/>
  <c r="B369" i="3" s="1"/>
  <c r="B370" i="3" a="1"/>
  <c r="B370" i="3" s="1"/>
  <c r="B371" i="3" a="1"/>
  <c r="B371" i="3" s="1"/>
  <c r="B372" i="3" a="1"/>
  <c r="B372" i="3" s="1"/>
  <c r="B373" i="3" a="1"/>
  <c r="B373" i="3" s="1"/>
  <c r="B374" i="3" a="1"/>
  <c r="B374" i="3" s="1"/>
  <c r="B375" i="3" a="1"/>
  <c r="B375" i="3" s="1"/>
  <c r="B376" i="3" a="1"/>
  <c r="B376" i="3" s="1"/>
  <c r="B377" i="3" a="1"/>
  <c r="B377" i="3" s="1"/>
  <c r="B378" i="3" a="1"/>
  <c r="B378" i="3" s="1"/>
  <c r="B379" i="3" a="1"/>
  <c r="B379" i="3" s="1"/>
  <c r="B380" i="3" a="1"/>
  <c r="B380" i="3" s="1"/>
  <c r="B381" i="3" a="1"/>
  <c r="B381" i="3" s="1"/>
  <c r="B382" i="3" a="1"/>
  <c r="B382" i="3" s="1"/>
  <c r="B383" i="3" a="1"/>
  <c r="B383" i="3" s="1"/>
  <c r="B384" i="3" a="1"/>
  <c r="B384" i="3" s="1"/>
  <c r="B385" i="3" a="1"/>
  <c r="B385" i="3" s="1"/>
  <c r="B386" i="3" a="1"/>
  <c r="B386" i="3" s="1"/>
  <c r="B387" i="3" a="1"/>
  <c r="B387" i="3" s="1"/>
  <c r="B388" i="3" a="1"/>
  <c r="B388" i="3" s="1"/>
  <c r="B389" i="3" a="1"/>
  <c r="B389" i="3" s="1"/>
  <c r="B390" i="3" a="1"/>
  <c r="B390" i="3" s="1"/>
  <c r="B391" i="3" a="1"/>
  <c r="B391" i="3" s="1"/>
  <c r="B392" i="3" a="1"/>
  <c r="B392" i="3" s="1"/>
  <c r="B393" i="3" a="1"/>
  <c r="B393" i="3" s="1"/>
  <c r="B394" i="3" a="1"/>
  <c r="B394" i="3" s="1"/>
  <c r="B395" i="3" a="1"/>
  <c r="B395" i="3" s="1"/>
  <c r="B396" i="3" a="1"/>
  <c r="B396" i="3" s="1"/>
  <c r="B397" i="3" a="1"/>
  <c r="B397" i="3" s="1"/>
  <c r="B398" i="3" a="1"/>
  <c r="B398" i="3" s="1"/>
  <c r="B399" i="3" a="1"/>
  <c r="B399" i="3" s="1"/>
  <c r="B400" i="3" a="1"/>
  <c r="B400" i="3" s="1"/>
  <c r="B401" i="3" a="1"/>
  <c r="B401" i="3" s="1"/>
  <c r="B402" i="3" a="1"/>
  <c r="B402" i="3" s="1"/>
  <c r="B403" i="3" a="1"/>
  <c r="B403" i="3" s="1"/>
  <c r="B404" i="3" a="1"/>
  <c r="B404" i="3" s="1"/>
  <c r="B405" i="3" a="1"/>
  <c r="B405" i="3" s="1"/>
  <c r="B406" i="3" a="1"/>
  <c r="B406" i="3" s="1"/>
  <c r="B407" i="3" a="1"/>
  <c r="B407" i="3" s="1"/>
  <c r="B408" i="3" a="1"/>
  <c r="B408" i="3" s="1"/>
  <c r="B409" i="3" a="1"/>
  <c r="B409" i="3" s="1"/>
  <c r="B410" i="3" a="1"/>
  <c r="B410" i="3" s="1"/>
  <c r="B411" i="3" a="1"/>
  <c r="B411" i="3" s="1"/>
  <c r="B412" i="3" a="1"/>
  <c r="B412" i="3" s="1"/>
  <c r="B413" i="3" a="1"/>
  <c r="B413" i="3" s="1"/>
  <c r="B414" i="3" a="1"/>
  <c r="B414" i="3" s="1"/>
  <c r="B415" i="3" a="1"/>
  <c r="B415" i="3" s="1"/>
  <c r="B416" i="3" a="1"/>
  <c r="B416" i="3" s="1"/>
  <c r="B417" i="3" a="1"/>
  <c r="B417" i="3" s="1"/>
  <c r="B418" i="3" a="1"/>
  <c r="B418" i="3" s="1"/>
  <c r="B419" i="3" a="1"/>
  <c r="B419" i="3" s="1"/>
  <c r="B420" i="3" a="1"/>
  <c r="B420" i="3" s="1"/>
  <c r="B421" i="3" a="1"/>
  <c r="B421" i="3" s="1"/>
  <c r="B422" i="3" a="1"/>
  <c r="B422" i="3" s="1"/>
  <c r="B423" i="3" a="1"/>
  <c r="B423" i="3" s="1"/>
  <c r="B424" i="3" a="1"/>
  <c r="B424" i="3" s="1"/>
  <c r="B425" i="3" a="1"/>
  <c r="B425" i="3" s="1"/>
  <c r="B426" i="3" a="1"/>
  <c r="B426" i="3" s="1"/>
  <c r="B427" i="3" a="1"/>
  <c r="B427" i="3" s="1"/>
  <c r="B428" i="3" a="1"/>
  <c r="B428" i="3" s="1"/>
  <c r="B429" i="3" a="1"/>
  <c r="B429" i="3" s="1"/>
  <c r="B430" i="3" a="1"/>
  <c r="B430" i="3" s="1"/>
  <c r="B431" i="3" a="1"/>
  <c r="B431" i="3" s="1"/>
  <c r="B432" i="3" a="1"/>
  <c r="B432" i="3" s="1"/>
  <c r="B433" i="3" a="1"/>
  <c r="B433" i="3" s="1"/>
  <c r="B434" i="3" a="1"/>
  <c r="B434" i="3" s="1"/>
  <c r="B435" i="3" a="1"/>
  <c r="B435" i="3" s="1"/>
  <c r="B436" i="3" a="1"/>
  <c r="B436" i="3" s="1"/>
  <c r="B437" i="3" a="1"/>
  <c r="B437" i="3" s="1"/>
  <c r="B438" i="3" a="1"/>
  <c r="B438" i="3" s="1"/>
  <c r="B439" i="3" a="1"/>
  <c r="B439" i="3" s="1"/>
  <c r="B440" i="3" a="1"/>
  <c r="B440" i="3" s="1"/>
  <c r="B441" i="3" a="1"/>
  <c r="B441" i="3" s="1"/>
  <c r="B442" i="3" a="1"/>
  <c r="B442" i="3" s="1"/>
  <c r="B443" i="3" a="1"/>
  <c r="B443" i="3" s="1"/>
  <c r="B444" i="3" a="1"/>
  <c r="B444" i="3" s="1"/>
  <c r="B445" i="3" a="1"/>
  <c r="B445" i="3" s="1"/>
  <c r="B446" i="3" a="1"/>
  <c r="B446" i="3" s="1"/>
  <c r="B447" i="3" a="1"/>
  <c r="B447" i="3" s="1"/>
  <c r="B448" i="3" a="1"/>
  <c r="B448" i="3" s="1"/>
  <c r="B449" i="3" a="1"/>
  <c r="B449" i="3" s="1"/>
  <c r="B450" i="3" a="1"/>
  <c r="B450" i="3" s="1"/>
  <c r="B451" i="3" a="1"/>
  <c r="B451" i="3" s="1"/>
  <c r="B452" i="3" a="1"/>
  <c r="B452" i="3" s="1"/>
  <c r="B453" i="3" a="1"/>
  <c r="B453" i="3" s="1"/>
  <c r="B454" i="3" a="1"/>
  <c r="B454" i="3" s="1"/>
  <c r="B455" i="3" a="1"/>
  <c r="B455" i="3" s="1"/>
  <c r="B456" i="3" a="1"/>
  <c r="B456" i="3" s="1"/>
  <c r="B457" i="3" a="1"/>
  <c r="B457" i="3" s="1"/>
  <c r="B458" i="3" a="1"/>
  <c r="B458" i="3" s="1"/>
  <c r="B459" i="3" a="1"/>
  <c r="B459" i="3" s="1"/>
  <c r="B460" i="3" a="1"/>
  <c r="B460" i="3" s="1"/>
  <c r="B461" i="3" a="1"/>
  <c r="B461" i="3" s="1"/>
  <c r="B462" i="3" a="1"/>
  <c r="B462" i="3" s="1"/>
  <c r="B463" i="3" a="1"/>
  <c r="B463" i="3" s="1"/>
  <c r="B464" i="3" a="1"/>
  <c r="B464" i="3" s="1"/>
  <c r="B465" i="3" a="1"/>
  <c r="B465" i="3" s="1"/>
  <c r="B466" i="3" a="1"/>
  <c r="B466" i="3" s="1"/>
  <c r="B467" i="3" a="1"/>
  <c r="B467" i="3" s="1"/>
  <c r="B468" i="3" a="1"/>
  <c r="B468" i="3" s="1"/>
  <c r="B469" i="3" a="1"/>
  <c r="B469" i="3" s="1"/>
  <c r="B470" i="3" a="1"/>
  <c r="B470" i="3" s="1"/>
  <c r="B471" i="3" a="1"/>
  <c r="B471" i="3" s="1"/>
  <c r="B472" i="3" a="1"/>
  <c r="B472" i="3" s="1"/>
  <c r="B473" i="3" a="1"/>
  <c r="B473" i="3" s="1"/>
  <c r="B474" i="3" a="1"/>
  <c r="B474" i="3" s="1"/>
  <c r="B475" i="3" a="1"/>
  <c r="B475" i="3" s="1"/>
  <c r="B476" i="3" a="1"/>
  <c r="B476" i="3" s="1"/>
  <c r="B477" i="3" a="1"/>
  <c r="B477" i="3" s="1"/>
  <c r="B478" i="3" a="1"/>
  <c r="B478" i="3" s="1"/>
  <c r="B479" i="3" a="1"/>
  <c r="B479" i="3" s="1"/>
  <c r="B480" i="3" a="1"/>
  <c r="B480" i="3" s="1"/>
  <c r="B481" i="3" a="1"/>
  <c r="B481" i="3" s="1"/>
  <c r="B482" i="3" a="1"/>
  <c r="B482" i="3" s="1"/>
  <c r="B483" i="3" a="1"/>
  <c r="B483" i="3" s="1"/>
  <c r="B484" i="3" a="1"/>
  <c r="B484" i="3" s="1"/>
  <c r="B485" i="3" a="1"/>
  <c r="B485" i="3" s="1"/>
  <c r="B486" i="3" a="1"/>
  <c r="B486" i="3" s="1"/>
  <c r="B487" i="3" a="1"/>
  <c r="B487" i="3" s="1"/>
  <c r="B488" i="3" a="1"/>
  <c r="B488" i="3" s="1"/>
  <c r="B489" i="3" a="1"/>
  <c r="B489" i="3" s="1"/>
  <c r="B490" i="3" a="1"/>
  <c r="B490" i="3" s="1"/>
  <c r="B491" i="3" a="1"/>
  <c r="B491" i="3" s="1"/>
  <c r="B492" i="3" a="1"/>
  <c r="B492" i="3" s="1"/>
  <c r="B493" i="3" a="1"/>
  <c r="B493" i="3" s="1"/>
  <c r="B494" i="3" a="1"/>
  <c r="B494" i="3" s="1"/>
  <c r="B495" i="3" a="1"/>
  <c r="B495" i="3" s="1"/>
  <c r="B496" i="3" a="1"/>
  <c r="B496" i="3" s="1"/>
  <c r="B497" i="3" a="1"/>
  <c r="B497" i="3" s="1"/>
  <c r="B498" i="3" a="1"/>
  <c r="B498" i="3" s="1"/>
  <c r="B499" i="3" a="1"/>
  <c r="B499" i="3" s="1"/>
  <c r="B500" i="3" a="1"/>
  <c r="B500" i="3" s="1"/>
  <c r="D3" i="3" a="1"/>
  <c r="D3" i="3" s="1"/>
  <c r="D4" i="3" a="1"/>
  <c r="D4" i="3" s="1"/>
  <c r="D5" i="3" a="1"/>
  <c r="D5" i="3" s="1"/>
  <c r="D6" i="3" a="1"/>
  <c r="D6" i="3" s="1"/>
  <c r="D7" i="3" a="1"/>
  <c r="D7" i="3" s="1"/>
  <c r="D8" i="3" a="1"/>
  <c r="D8" i="3" s="1"/>
  <c r="D9" i="3" a="1"/>
  <c r="D9" i="3" s="1"/>
  <c r="D10" i="3" a="1"/>
  <c r="D10" i="3" s="1"/>
  <c r="D11" i="3" a="1"/>
  <c r="D11" i="3" s="1"/>
  <c r="D12" i="3" a="1"/>
  <c r="D12" i="3" s="1"/>
  <c r="D13" i="3" a="1"/>
  <c r="D13" i="3" s="1"/>
  <c r="D14" i="3" a="1"/>
  <c r="D14" i="3" s="1"/>
  <c r="D15" i="3" a="1"/>
  <c r="D15" i="3" s="1"/>
  <c r="D16" i="3" a="1"/>
  <c r="D16" i="3" s="1"/>
  <c r="D17" i="3" a="1"/>
  <c r="D17" i="3" s="1"/>
  <c r="D18" i="3" a="1"/>
  <c r="D18" i="3" s="1"/>
  <c r="D19" i="3" a="1"/>
  <c r="D19" i="3" s="1"/>
  <c r="D20" i="3" a="1"/>
  <c r="D20" i="3" s="1"/>
  <c r="D21" i="3" a="1"/>
  <c r="D21" i="3" s="1"/>
  <c r="D22" i="3" a="1"/>
  <c r="D22" i="3" s="1"/>
  <c r="D23" i="3" a="1"/>
  <c r="D23" i="3" s="1"/>
  <c r="D24" i="3" a="1"/>
  <c r="D24" i="3" s="1"/>
  <c r="D25" i="3" a="1"/>
  <c r="D25" i="3" s="1"/>
  <c r="D26" i="3" a="1"/>
  <c r="D26" i="3" s="1"/>
  <c r="D27" i="3" a="1"/>
  <c r="D27" i="3" s="1"/>
  <c r="D28" i="3" a="1"/>
  <c r="D28" i="3" s="1"/>
  <c r="D29" i="3" a="1"/>
  <c r="D29" i="3" s="1"/>
  <c r="D30" i="3" a="1"/>
  <c r="D30" i="3" s="1"/>
  <c r="D31" i="3" a="1"/>
  <c r="D31" i="3" s="1"/>
  <c r="D32" i="3" a="1"/>
  <c r="D32" i="3" s="1"/>
  <c r="D33" i="3" a="1"/>
  <c r="D33" i="3" s="1"/>
  <c r="D34" i="3" a="1"/>
  <c r="D34" i="3" s="1"/>
  <c r="D35" i="3" a="1"/>
  <c r="D35" i="3" s="1"/>
  <c r="D36" i="3" a="1"/>
  <c r="D36" i="3" s="1"/>
  <c r="D37" i="3" a="1"/>
  <c r="D37" i="3" s="1"/>
  <c r="D38" i="3" a="1"/>
  <c r="D38" i="3" s="1"/>
  <c r="D39" i="3" a="1"/>
  <c r="D39" i="3" s="1"/>
  <c r="D40" i="3" a="1"/>
  <c r="D40" i="3" s="1"/>
  <c r="D41" i="3" a="1"/>
  <c r="D41" i="3" s="1"/>
  <c r="D42" i="3" a="1"/>
  <c r="D42" i="3" s="1"/>
  <c r="D43" i="3" a="1"/>
  <c r="D43" i="3" s="1"/>
  <c r="D44" i="3" a="1"/>
  <c r="D44" i="3" s="1"/>
  <c r="D45" i="3" a="1"/>
  <c r="D45" i="3" s="1"/>
  <c r="D46" i="3" a="1"/>
  <c r="D46" i="3" s="1"/>
  <c r="D47" i="3" a="1"/>
  <c r="D47" i="3" s="1"/>
  <c r="D48" i="3" a="1"/>
  <c r="D48" i="3" s="1"/>
  <c r="D49" i="3" a="1"/>
  <c r="D49" i="3" s="1"/>
  <c r="D50" i="3" a="1"/>
  <c r="D50" i="3" s="1"/>
  <c r="D51" i="3" a="1"/>
  <c r="D51" i="3" s="1"/>
  <c r="D52" i="3" a="1"/>
  <c r="D52" i="3" s="1"/>
  <c r="D53" i="3" a="1"/>
  <c r="D53" i="3" s="1"/>
  <c r="D54" i="3" a="1"/>
  <c r="D54" i="3" s="1"/>
  <c r="D55" i="3" a="1"/>
  <c r="D55" i="3" s="1"/>
  <c r="D56" i="3" a="1"/>
  <c r="D56" i="3" s="1"/>
  <c r="D57" i="3" a="1"/>
  <c r="D57" i="3" s="1"/>
  <c r="D58" i="3" a="1"/>
  <c r="D58" i="3" s="1"/>
  <c r="D59" i="3" a="1"/>
  <c r="D59" i="3" s="1"/>
  <c r="D60" i="3" a="1"/>
  <c r="D60" i="3" s="1"/>
  <c r="D61" i="3" a="1"/>
  <c r="D61" i="3" s="1"/>
  <c r="D62" i="3" a="1"/>
  <c r="D62" i="3" s="1"/>
  <c r="D63" i="3" a="1"/>
  <c r="D63" i="3" s="1"/>
  <c r="D64" i="3" a="1"/>
  <c r="D64" i="3" s="1"/>
  <c r="D65" i="3" a="1"/>
  <c r="D65" i="3" s="1"/>
  <c r="D66" i="3" a="1"/>
  <c r="D66" i="3" s="1"/>
  <c r="D67" i="3" a="1"/>
  <c r="D67" i="3" s="1"/>
  <c r="D68" i="3" a="1"/>
  <c r="D68" i="3" s="1"/>
  <c r="D69" i="3" a="1"/>
  <c r="D69" i="3" s="1"/>
  <c r="D70" i="3" a="1"/>
  <c r="D70" i="3" s="1"/>
  <c r="D71" i="3" a="1"/>
  <c r="D71" i="3" s="1"/>
  <c r="D72" i="3" a="1"/>
  <c r="D72" i="3" s="1"/>
  <c r="D73" i="3" a="1"/>
  <c r="D73" i="3" s="1"/>
  <c r="D74" i="3" a="1"/>
  <c r="D74" i="3" s="1"/>
  <c r="D75" i="3" a="1"/>
  <c r="D75" i="3" s="1"/>
  <c r="D76" i="3" a="1"/>
  <c r="D76" i="3" s="1"/>
  <c r="D77" i="3" a="1"/>
  <c r="D77" i="3" s="1"/>
  <c r="D78" i="3" a="1"/>
  <c r="D78" i="3" s="1"/>
  <c r="D79" i="3" a="1"/>
  <c r="D79" i="3" s="1"/>
  <c r="D80" i="3" a="1"/>
  <c r="D80" i="3" s="1"/>
  <c r="D81" i="3" a="1"/>
  <c r="D81" i="3" s="1"/>
  <c r="D82" i="3" a="1"/>
  <c r="D82" i="3" s="1"/>
  <c r="D83" i="3" a="1"/>
  <c r="D83" i="3" s="1"/>
  <c r="D84" i="3" a="1"/>
  <c r="D84" i="3" s="1"/>
  <c r="D85" i="3" a="1"/>
  <c r="D85" i="3" s="1"/>
  <c r="D86" i="3" a="1"/>
  <c r="D86" i="3" s="1"/>
  <c r="D87" i="3" a="1"/>
  <c r="D87" i="3" s="1"/>
  <c r="D88" i="3" a="1"/>
  <c r="D88" i="3" s="1"/>
  <c r="D89" i="3" a="1"/>
  <c r="D89" i="3" s="1"/>
  <c r="D90" i="3" a="1"/>
  <c r="D90" i="3" s="1"/>
  <c r="D91" i="3" a="1"/>
  <c r="D91" i="3" s="1"/>
  <c r="D92" i="3" a="1"/>
  <c r="D92" i="3" s="1"/>
  <c r="D93" i="3" a="1"/>
  <c r="D93" i="3" s="1"/>
  <c r="D94" i="3" a="1"/>
  <c r="D94" i="3" s="1"/>
  <c r="D95" i="3" a="1"/>
  <c r="D95" i="3" s="1"/>
  <c r="D96" i="3" a="1"/>
  <c r="D96" i="3" s="1"/>
  <c r="D97" i="3" a="1"/>
  <c r="D97" i="3" s="1"/>
  <c r="D98" i="3" a="1"/>
  <c r="D98" i="3" s="1"/>
  <c r="D99" i="3" a="1"/>
  <c r="D99" i="3" s="1"/>
  <c r="D100" i="3" a="1"/>
  <c r="D100" i="3" s="1"/>
  <c r="D101" i="3" a="1"/>
  <c r="D101" i="3" s="1"/>
  <c r="D102" i="3" a="1"/>
  <c r="D102" i="3" s="1"/>
  <c r="D103" i="3" a="1"/>
  <c r="D103" i="3" s="1"/>
  <c r="D104" i="3" a="1"/>
  <c r="D104" i="3" s="1"/>
  <c r="D105" i="3" a="1"/>
  <c r="D105" i="3" s="1"/>
  <c r="D106" i="3" a="1"/>
  <c r="D106" i="3" s="1"/>
  <c r="D107" i="3" a="1"/>
  <c r="D107" i="3" s="1"/>
  <c r="D108" i="3" a="1"/>
  <c r="D108" i="3" s="1"/>
  <c r="D109" i="3" a="1"/>
  <c r="D109" i="3" s="1"/>
  <c r="D110" i="3" a="1"/>
  <c r="D110" i="3" s="1"/>
  <c r="D111" i="3" a="1"/>
  <c r="D111" i="3" s="1"/>
  <c r="D112" i="3" a="1"/>
  <c r="D112" i="3" s="1"/>
  <c r="D113" i="3" a="1"/>
  <c r="D113" i="3" s="1"/>
  <c r="D114" i="3" a="1"/>
  <c r="D114" i="3" s="1"/>
  <c r="D115" i="3" a="1"/>
  <c r="D115" i="3" s="1"/>
  <c r="D116" i="3" a="1"/>
  <c r="D116" i="3" s="1"/>
  <c r="D117" i="3" a="1"/>
  <c r="D117" i="3" s="1"/>
  <c r="D118" i="3" a="1"/>
  <c r="D118" i="3" s="1"/>
  <c r="D119" i="3" a="1"/>
  <c r="D119" i="3" s="1"/>
  <c r="D120" i="3" a="1"/>
  <c r="D120" i="3" s="1"/>
  <c r="D121" i="3" a="1"/>
  <c r="D121" i="3" s="1"/>
  <c r="D122" i="3" a="1"/>
  <c r="D122" i="3" s="1"/>
  <c r="D123" i="3" a="1"/>
  <c r="D123" i="3" s="1"/>
  <c r="D124" i="3" a="1"/>
  <c r="D124" i="3" s="1"/>
  <c r="D125" i="3" a="1"/>
  <c r="D125" i="3" s="1"/>
  <c r="D126" i="3" a="1"/>
  <c r="D126" i="3" s="1"/>
  <c r="D127" i="3" a="1"/>
  <c r="D127" i="3" s="1"/>
  <c r="D128" i="3" a="1"/>
  <c r="D128" i="3" s="1"/>
  <c r="D129" i="3" a="1"/>
  <c r="D129" i="3" s="1"/>
  <c r="D130" i="3" a="1"/>
  <c r="D130" i="3" s="1"/>
  <c r="D131" i="3" a="1"/>
  <c r="D131" i="3" s="1"/>
  <c r="D132" i="3" a="1"/>
  <c r="D132" i="3" s="1"/>
  <c r="D133" i="3" a="1"/>
  <c r="D133" i="3" s="1"/>
  <c r="D134" i="3" a="1"/>
  <c r="D134" i="3" s="1"/>
  <c r="D135" i="3" a="1"/>
  <c r="D135" i="3" s="1"/>
  <c r="D136" i="3" a="1"/>
  <c r="D136" i="3" s="1"/>
  <c r="D137" i="3" a="1"/>
  <c r="D137" i="3" s="1"/>
  <c r="D138" i="3" a="1"/>
  <c r="D138" i="3" s="1"/>
  <c r="D139" i="3" a="1"/>
  <c r="D139" i="3" s="1"/>
  <c r="D140" i="3" a="1"/>
  <c r="D140" i="3" s="1"/>
  <c r="D141" i="3" a="1"/>
  <c r="D141" i="3" s="1"/>
  <c r="D142" i="3" a="1"/>
  <c r="D142" i="3" s="1"/>
  <c r="D143" i="3" a="1"/>
  <c r="D143" i="3" s="1"/>
  <c r="D144" i="3" a="1"/>
  <c r="D144" i="3" s="1"/>
  <c r="D145" i="3" a="1"/>
  <c r="D145" i="3" s="1"/>
  <c r="D146" i="3" a="1"/>
  <c r="D146" i="3" s="1"/>
  <c r="D147" i="3" a="1"/>
  <c r="D147" i="3" s="1"/>
  <c r="D148" i="3" a="1"/>
  <c r="D148" i="3" s="1"/>
  <c r="D149" i="3" a="1"/>
  <c r="D149" i="3" s="1"/>
  <c r="D150" i="3" a="1"/>
  <c r="D150" i="3" s="1"/>
  <c r="D151" i="3" a="1"/>
  <c r="D151" i="3" s="1"/>
  <c r="D152" i="3" a="1"/>
  <c r="D152" i="3" s="1"/>
  <c r="D153" i="3" a="1"/>
  <c r="D153" i="3" s="1"/>
  <c r="D154" i="3" a="1"/>
  <c r="D154" i="3" s="1"/>
  <c r="D155" i="3" a="1"/>
  <c r="D155" i="3" s="1"/>
  <c r="D156" i="3" a="1"/>
  <c r="D156" i="3" s="1"/>
  <c r="D157" i="3" a="1"/>
  <c r="D157" i="3" s="1"/>
  <c r="D158" i="3" a="1"/>
  <c r="D158" i="3" s="1"/>
  <c r="D159" i="3" a="1"/>
  <c r="D159" i="3" s="1"/>
  <c r="D160" i="3" a="1"/>
  <c r="D160" i="3" s="1"/>
  <c r="D161" i="3" a="1"/>
  <c r="D161" i="3" s="1"/>
  <c r="D162" i="3" a="1"/>
  <c r="D162" i="3" s="1"/>
  <c r="D163" i="3" a="1"/>
  <c r="D163" i="3" s="1"/>
  <c r="D164" i="3" a="1"/>
  <c r="D164" i="3" s="1"/>
  <c r="D165" i="3" a="1"/>
  <c r="D165" i="3" s="1"/>
  <c r="D166" i="3" a="1"/>
  <c r="D166" i="3" s="1"/>
  <c r="D167" i="3" a="1"/>
  <c r="D167" i="3" s="1"/>
  <c r="D168" i="3" a="1"/>
  <c r="D168" i="3" s="1"/>
  <c r="D169" i="3" a="1"/>
  <c r="D169" i="3" s="1"/>
  <c r="D170" i="3" a="1"/>
  <c r="D170" i="3" s="1"/>
  <c r="D171" i="3" a="1"/>
  <c r="D171" i="3" s="1"/>
  <c r="D172" i="3" a="1"/>
  <c r="D172" i="3" s="1"/>
  <c r="D173" i="3" a="1"/>
  <c r="D173" i="3" s="1"/>
  <c r="D174" i="3" a="1"/>
  <c r="D174" i="3" s="1"/>
  <c r="D175" i="3" a="1"/>
  <c r="D175" i="3" s="1"/>
  <c r="D176" i="3" a="1"/>
  <c r="D176" i="3" s="1"/>
  <c r="D177" i="3" a="1"/>
  <c r="D177" i="3" s="1"/>
  <c r="D178" i="3" a="1"/>
  <c r="D178" i="3" s="1"/>
  <c r="D179" i="3" a="1"/>
  <c r="D179" i="3" s="1"/>
  <c r="D180" i="3" a="1"/>
  <c r="D180" i="3" s="1"/>
  <c r="D181" i="3" a="1"/>
  <c r="D181" i="3" s="1"/>
  <c r="D182" i="3" a="1"/>
  <c r="D182" i="3" s="1"/>
  <c r="D183" i="3" a="1"/>
  <c r="D183" i="3" s="1"/>
  <c r="D184" i="3" a="1"/>
  <c r="D184" i="3" s="1"/>
  <c r="D185" i="3" a="1"/>
  <c r="D185" i="3" s="1"/>
  <c r="D186" i="3" a="1"/>
  <c r="D186" i="3" s="1"/>
  <c r="D187" i="3" a="1"/>
  <c r="D187" i="3" s="1"/>
  <c r="D188" i="3" a="1"/>
  <c r="D188" i="3" s="1"/>
  <c r="D189" i="3" a="1"/>
  <c r="D189" i="3" s="1"/>
  <c r="D190" i="3" a="1"/>
  <c r="D190" i="3" s="1"/>
  <c r="D191" i="3" a="1"/>
  <c r="D191" i="3" s="1"/>
  <c r="D192" i="3" a="1"/>
  <c r="D192" i="3" s="1"/>
  <c r="D193" i="3" a="1"/>
  <c r="D193" i="3" s="1"/>
  <c r="D194" i="3" a="1"/>
  <c r="D194" i="3" s="1"/>
  <c r="D195" i="3" a="1"/>
  <c r="D195" i="3" s="1"/>
  <c r="D196" i="3" a="1"/>
  <c r="D196" i="3" s="1"/>
  <c r="D197" i="3" a="1"/>
  <c r="D197" i="3" s="1"/>
  <c r="D198" i="3" a="1"/>
  <c r="D198" i="3" s="1"/>
  <c r="D199" i="3" a="1"/>
  <c r="D199" i="3" s="1"/>
  <c r="D200" i="3" a="1"/>
  <c r="D200" i="3" s="1"/>
  <c r="D201" i="3" a="1"/>
  <c r="D201" i="3" s="1"/>
  <c r="D202" i="3" a="1"/>
  <c r="D202" i="3" s="1"/>
  <c r="D203" i="3" a="1"/>
  <c r="D203" i="3" s="1"/>
  <c r="D204" i="3" a="1"/>
  <c r="D204" i="3" s="1"/>
  <c r="D205" i="3" a="1"/>
  <c r="D205" i="3" s="1"/>
  <c r="D206" i="3" a="1"/>
  <c r="D206" i="3" s="1"/>
  <c r="D207" i="3" a="1"/>
  <c r="D207" i="3" s="1"/>
  <c r="D208" i="3" a="1"/>
  <c r="D208" i="3" s="1"/>
  <c r="D209" i="3" a="1"/>
  <c r="D209" i="3" s="1"/>
  <c r="D210" i="3" a="1"/>
  <c r="D210" i="3" s="1"/>
  <c r="D211" i="3" a="1"/>
  <c r="D211" i="3" s="1"/>
  <c r="D212" i="3" a="1"/>
  <c r="D212" i="3" s="1"/>
  <c r="D213" i="3" a="1"/>
  <c r="D213" i="3" s="1"/>
  <c r="D214" i="3" a="1"/>
  <c r="D214" i="3" s="1"/>
  <c r="D215" i="3" a="1"/>
  <c r="D215" i="3" s="1"/>
  <c r="D216" i="3" a="1"/>
  <c r="D216" i="3" s="1"/>
  <c r="D217" i="3" a="1"/>
  <c r="D217" i="3" s="1"/>
  <c r="D218" i="3" a="1"/>
  <c r="D218" i="3" s="1"/>
  <c r="D219" i="3" a="1"/>
  <c r="D219" i="3" s="1"/>
  <c r="D220" i="3" a="1"/>
  <c r="D220" i="3" s="1"/>
  <c r="D221" i="3" a="1"/>
  <c r="D221" i="3" s="1"/>
  <c r="D222" i="3" a="1"/>
  <c r="D222" i="3" s="1"/>
  <c r="D223" i="3" a="1"/>
  <c r="D223" i="3" s="1"/>
  <c r="D224" i="3" a="1"/>
  <c r="D224" i="3" s="1"/>
  <c r="D225" i="3" a="1"/>
  <c r="D225" i="3" s="1"/>
  <c r="D226" i="3" a="1"/>
  <c r="D226" i="3" s="1"/>
  <c r="D227" i="3" a="1"/>
  <c r="D227" i="3" s="1"/>
  <c r="D228" i="3" a="1"/>
  <c r="D228" i="3" s="1"/>
  <c r="D229" i="3" a="1"/>
  <c r="D229" i="3" s="1"/>
  <c r="D230" i="3" a="1"/>
  <c r="D230" i="3" s="1"/>
  <c r="D231" i="3" a="1"/>
  <c r="D231" i="3" s="1"/>
  <c r="D232" i="3" a="1"/>
  <c r="D232" i="3" s="1"/>
  <c r="D233" i="3" a="1"/>
  <c r="D233" i="3" s="1"/>
  <c r="D234" i="3" a="1"/>
  <c r="D234" i="3" s="1"/>
  <c r="D235" i="3" a="1"/>
  <c r="D235" i="3" s="1"/>
  <c r="D236" i="3" a="1"/>
  <c r="D236" i="3" s="1"/>
  <c r="D237" i="3" a="1"/>
  <c r="D237" i="3" s="1"/>
  <c r="D238" i="3" a="1"/>
  <c r="D238" i="3" s="1"/>
  <c r="D239" i="3" a="1"/>
  <c r="D239" i="3" s="1"/>
  <c r="D240" i="3" a="1"/>
  <c r="D240" i="3" s="1"/>
  <c r="D241" i="3" a="1"/>
  <c r="D241" i="3" s="1"/>
  <c r="D242" i="3" a="1"/>
  <c r="D242" i="3" s="1"/>
  <c r="D243" i="3" a="1"/>
  <c r="D243" i="3" s="1"/>
  <c r="D244" i="3" a="1"/>
  <c r="D244" i="3" s="1"/>
  <c r="D245" i="3" a="1"/>
  <c r="D245" i="3" s="1"/>
  <c r="D246" i="3" a="1"/>
  <c r="D246" i="3" s="1"/>
  <c r="D247" i="3" a="1"/>
  <c r="D247" i="3" s="1"/>
  <c r="D248" i="3" a="1"/>
  <c r="D248" i="3" s="1"/>
  <c r="D249" i="3" a="1"/>
  <c r="D249" i="3" s="1"/>
  <c r="D250" i="3" a="1"/>
  <c r="D250" i="3" s="1"/>
  <c r="D251" i="3" a="1"/>
  <c r="D251" i="3" s="1"/>
  <c r="D252" i="3" a="1"/>
  <c r="D252" i="3" s="1"/>
  <c r="D253" i="3" a="1"/>
  <c r="D253" i="3" s="1"/>
  <c r="D254" i="3" a="1"/>
  <c r="D254" i="3" s="1"/>
  <c r="D255" i="3" a="1"/>
  <c r="D255" i="3" s="1"/>
  <c r="D256" i="3" a="1"/>
  <c r="D256" i="3" s="1"/>
  <c r="D257" i="3" a="1"/>
  <c r="D257" i="3" s="1"/>
  <c r="D258" i="3" a="1"/>
  <c r="D258" i="3" s="1"/>
  <c r="D259" i="3" a="1"/>
  <c r="D259" i="3" s="1"/>
  <c r="D260" i="3" a="1"/>
  <c r="D260" i="3" s="1"/>
  <c r="D261" i="3" a="1"/>
  <c r="D261" i="3" s="1"/>
  <c r="D262" i="3" a="1"/>
  <c r="D262" i="3" s="1"/>
  <c r="D263" i="3" a="1"/>
  <c r="D263" i="3" s="1"/>
  <c r="D264" i="3" a="1"/>
  <c r="D264" i="3" s="1"/>
  <c r="D265" i="3" a="1"/>
  <c r="D265" i="3" s="1"/>
  <c r="D266" i="3" a="1"/>
  <c r="D266" i="3" s="1"/>
  <c r="D267" i="3" a="1"/>
  <c r="D267" i="3" s="1"/>
  <c r="D268" i="3" a="1"/>
  <c r="D268" i="3" s="1"/>
  <c r="D269" i="3" a="1"/>
  <c r="D269" i="3" s="1"/>
  <c r="D270" i="3" a="1"/>
  <c r="D270" i="3" s="1"/>
  <c r="D271" i="3" a="1"/>
  <c r="D271" i="3" s="1"/>
  <c r="D272" i="3" a="1"/>
  <c r="D272" i="3" s="1"/>
  <c r="D273" i="3" a="1"/>
  <c r="D273" i="3" s="1"/>
  <c r="D274" i="3" a="1"/>
  <c r="D274" i="3" s="1"/>
  <c r="D275" i="3" a="1"/>
  <c r="D275" i="3" s="1"/>
  <c r="D276" i="3" a="1"/>
  <c r="D276" i="3" s="1"/>
  <c r="D277" i="3" a="1"/>
  <c r="D277" i="3" s="1"/>
  <c r="D278" i="3" a="1"/>
  <c r="D278" i="3" s="1"/>
  <c r="D279" i="3" a="1"/>
  <c r="D279" i="3" s="1"/>
  <c r="D280" i="3" a="1"/>
  <c r="D280" i="3" s="1"/>
  <c r="D281" i="3" a="1"/>
  <c r="D281" i="3" s="1"/>
  <c r="D282" i="3" a="1"/>
  <c r="D282" i="3" s="1"/>
  <c r="D283" i="3" a="1"/>
  <c r="D283" i="3" s="1"/>
  <c r="D284" i="3" a="1"/>
  <c r="D284" i="3" s="1"/>
  <c r="D285" i="3" a="1"/>
  <c r="D285" i="3" s="1"/>
  <c r="D286" i="3" a="1"/>
  <c r="D286" i="3" s="1"/>
  <c r="D287" i="3" a="1"/>
  <c r="D287" i="3" s="1"/>
  <c r="D288" i="3" a="1"/>
  <c r="D288" i="3" s="1"/>
  <c r="D289" i="3" a="1"/>
  <c r="D289" i="3" s="1"/>
  <c r="D290" i="3" a="1"/>
  <c r="D290" i="3" s="1"/>
  <c r="D291" i="3" a="1"/>
  <c r="D291" i="3" s="1"/>
  <c r="D292" i="3" a="1"/>
  <c r="D292" i="3" s="1"/>
  <c r="D293" i="3" a="1"/>
  <c r="D293" i="3" s="1"/>
  <c r="D294" i="3" a="1"/>
  <c r="D294" i="3" s="1"/>
  <c r="D295" i="3" a="1"/>
  <c r="D295" i="3" s="1"/>
  <c r="D296" i="3" a="1"/>
  <c r="D296" i="3" s="1"/>
  <c r="D297" i="3" a="1"/>
  <c r="D297" i="3" s="1"/>
  <c r="D298" i="3" a="1"/>
  <c r="D298" i="3" s="1"/>
  <c r="D299" i="3" a="1"/>
  <c r="D299" i="3" s="1"/>
  <c r="D300" i="3" a="1"/>
  <c r="D300" i="3" s="1"/>
  <c r="D301" i="3" a="1"/>
  <c r="D301" i="3" s="1"/>
  <c r="D302" i="3" a="1"/>
  <c r="D302" i="3" s="1"/>
  <c r="D303" i="3" a="1"/>
  <c r="D303" i="3" s="1"/>
  <c r="D304" i="3" a="1"/>
  <c r="D304" i="3" s="1"/>
  <c r="D305" i="3" a="1"/>
  <c r="D305" i="3" s="1"/>
  <c r="D306" i="3" a="1"/>
  <c r="D306" i="3" s="1"/>
  <c r="D307" i="3" a="1"/>
  <c r="D307" i="3" s="1"/>
  <c r="D308" i="3" a="1"/>
  <c r="D308" i="3" s="1"/>
  <c r="D309" i="3" a="1"/>
  <c r="D309" i="3" s="1"/>
  <c r="D310" i="3" a="1"/>
  <c r="D310" i="3" s="1"/>
  <c r="D311" i="3" a="1"/>
  <c r="D311" i="3" s="1"/>
  <c r="D312" i="3" a="1"/>
  <c r="D312" i="3" s="1"/>
  <c r="D313" i="3" a="1"/>
  <c r="D313" i="3" s="1"/>
  <c r="D314" i="3" a="1"/>
  <c r="D314" i="3" s="1"/>
  <c r="D315" i="3" a="1"/>
  <c r="D315" i="3" s="1"/>
  <c r="D316" i="3" a="1"/>
  <c r="D316" i="3" s="1"/>
  <c r="D317" i="3" a="1"/>
  <c r="D317" i="3" s="1"/>
  <c r="D318" i="3" a="1"/>
  <c r="D318" i="3" s="1"/>
  <c r="D319" i="3" a="1"/>
  <c r="D319" i="3" s="1"/>
  <c r="D320" i="3" a="1"/>
  <c r="D320" i="3" s="1"/>
  <c r="D321" i="3" a="1"/>
  <c r="D321" i="3" s="1"/>
  <c r="D322" i="3" a="1"/>
  <c r="D322" i="3" s="1"/>
  <c r="D323" i="3" a="1"/>
  <c r="D323" i="3" s="1"/>
  <c r="D324" i="3" a="1"/>
  <c r="D324" i="3" s="1"/>
  <c r="D325" i="3" a="1"/>
  <c r="D325" i="3" s="1"/>
  <c r="D326" i="3" a="1"/>
  <c r="D326" i="3" s="1"/>
  <c r="D327" i="3" a="1"/>
  <c r="D327" i="3" s="1"/>
  <c r="D328" i="3" a="1"/>
  <c r="D328" i="3" s="1"/>
  <c r="D329" i="3" a="1"/>
  <c r="D329" i="3" s="1"/>
  <c r="D330" i="3" a="1"/>
  <c r="D330" i="3" s="1"/>
  <c r="D331" i="3" a="1"/>
  <c r="D331" i="3" s="1"/>
  <c r="D332" i="3" a="1"/>
  <c r="D332" i="3" s="1"/>
  <c r="D333" i="3" a="1"/>
  <c r="D333" i="3" s="1"/>
  <c r="D334" i="3" a="1"/>
  <c r="D334" i="3" s="1"/>
  <c r="D335" i="3" a="1"/>
  <c r="D335" i="3" s="1"/>
  <c r="D336" i="3" a="1"/>
  <c r="D336" i="3" s="1"/>
  <c r="D337" i="3" a="1"/>
  <c r="D337" i="3" s="1"/>
  <c r="D338" i="3" a="1"/>
  <c r="D338" i="3" s="1"/>
  <c r="D339" i="3" a="1"/>
  <c r="D339" i="3" s="1"/>
  <c r="D340" i="3" a="1"/>
  <c r="D340" i="3" s="1"/>
  <c r="D341" i="3" a="1"/>
  <c r="D341" i="3" s="1"/>
  <c r="D342" i="3" a="1"/>
  <c r="D342" i="3" s="1"/>
  <c r="D343" i="3" a="1"/>
  <c r="D343" i="3" s="1"/>
  <c r="D344" i="3" a="1"/>
  <c r="D344" i="3" s="1"/>
  <c r="D345" i="3" a="1"/>
  <c r="D345" i="3" s="1"/>
  <c r="D346" i="3" a="1"/>
  <c r="D346" i="3" s="1"/>
  <c r="D347" i="3" a="1"/>
  <c r="D347" i="3" s="1"/>
  <c r="D348" i="3" a="1"/>
  <c r="D348" i="3" s="1"/>
  <c r="D349" i="3" a="1"/>
  <c r="D349" i="3" s="1"/>
  <c r="D350" i="3" a="1"/>
  <c r="D350" i="3" s="1"/>
  <c r="D351" i="3" a="1"/>
  <c r="D351" i="3" s="1"/>
  <c r="D352" i="3" a="1"/>
  <c r="D352" i="3" s="1"/>
  <c r="D353" i="3" a="1"/>
  <c r="D353" i="3" s="1"/>
  <c r="D354" i="3" a="1"/>
  <c r="D354" i="3" s="1"/>
  <c r="D355" i="3" a="1"/>
  <c r="D355" i="3" s="1"/>
  <c r="D356" i="3" a="1"/>
  <c r="D356" i="3" s="1"/>
  <c r="D357" i="3" a="1"/>
  <c r="D357" i="3" s="1"/>
  <c r="D358" i="3" a="1"/>
  <c r="D358" i="3" s="1"/>
  <c r="D359" i="3" a="1"/>
  <c r="D359" i="3" s="1"/>
  <c r="D360" i="3" a="1"/>
  <c r="D360" i="3" s="1"/>
  <c r="D361" i="3" a="1"/>
  <c r="D361" i="3" s="1"/>
  <c r="D362" i="3" a="1"/>
  <c r="D362" i="3" s="1"/>
  <c r="D363" i="3" a="1"/>
  <c r="D363" i="3" s="1"/>
  <c r="D364" i="3" a="1"/>
  <c r="D364" i="3" s="1"/>
  <c r="D365" i="3" a="1"/>
  <c r="D365" i="3" s="1"/>
  <c r="D366" i="3" a="1"/>
  <c r="D366" i="3" s="1"/>
  <c r="D367" i="3" a="1"/>
  <c r="D367" i="3" s="1"/>
  <c r="D368" i="3" a="1"/>
  <c r="D368" i="3" s="1"/>
  <c r="D369" i="3" a="1"/>
  <c r="D369" i="3" s="1"/>
  <c r="D370" i="3" a="1"/>
  <c r="D370" i="3" s="1"/>
  <c r="D371" i="3" a="1"/>
  <c r="D371" i="3" s="1"/>
  <c r="D372" i="3" a="1"/>
  <c r="D372" i="3" s="1"/>
  <c r="D373" i="3" a="1"/>
  <c r="D373" i="3" s="1"/>
  <c r="D374" i="3" a="1"/>
  <c r="D374" i="3" s="1"/>
  <c r="D375" i="3" a="1"/>
  <c r="D375" i="3" s="1"/>
  <c r="D376" i="3" a="1"/>
  <c r="D376" i="3" s="1"/>
  <c r="D377" i="3" a="1"/>
  <c r="D377" i="3" s="1"/>
  <c r="D378" i="3" a="1"/>
  <c r="D378" i="3" s="1"/>
  <c r="D379" i="3" a="1"/>
  <c r="D379" i="3" s="1"/>
  <c r="D380" i="3" a="1"/>
  <c r="D380" i="3" s="1"/>
  <c r="D381" i="3" a="1"/>
  <c r="D381" i="3" s="1"/>
  <c r="D382" i="3" a="1"/>
  <c r="D382" i="3" s="1"/>
  <c r="D383" i="3" a="1"/>
  <c r="D383" i="3" s="1"/>
  <c r="D384" i="3" a="1"/>
  <c r="D384" i="3" s="1"/>
  <c r="D385" i="3" a="1"/>
  <c r="D385" i="3" s="1"/>
  <c r="D386" i="3" a="1"/>
  <c r="D386" i="3" s="1"/>
  <c r="D387" i="3" a="1"/>
  <c r="D387" i="3" s="1"/>
  <c r="D388" i="3" a="1"/>
  <c r="D388" i="3" s="1"/>
  <c r="D389" i="3" a="1"/>
  <c r="D389" i="3" s="1"/>
  <c r="D390" i="3" a="1"/>
  <c r="D390" i="3" s="1"/>
  <c r="D391" i="3" a="1"/>
  <c r="D391" i="3" s="1"/>
  <c r="D392" i="3" a="1"/>
  <c r="D392" i="3" s="1"/>
  <c r="D393" i="3" a="1"/>
  <c r="D393" i="3" s="1"/>
  <c r="D394" i="3" a="1"/>
  <c r="D394" i="3" s="1"/>
  <c r="D395" i="3" a="1"/>
  <c r="D395" i="3" s="1"/>
  <c r="D396" i="3" a="1"/>
  <c r="D396" i="3" s="1"/>
  <c r="D397" i="3" a="1"/>
  <c r="D397" i="3" s="1"/>
  <c r="D398" i="3" a="1"/>
  <c r="D398" i="3" s="1"/>
  <c r="D399" i="3" a="1"/>
  <c r="D399" i="3" s="1"/>
  <c r="D400" i="3" a="1"/>
  <c r="D400" i="3" s="1"/>
  <c r="D401" i="3" a="1"/>
  <c r="D401" i="3" s="1"/>
  <c r="D402" i="3" a="1"/>
  <c r="D402" i="3" s="1"/>
  <c r="D403" i="3" a="1"/>
  <c r="D403" i="3" s="1"/>
  <c r="D404" i="3" a="1"/>
  <c r="D404" i="3" s="1"/>
  <c r="D405" i="3" a="1"/>
  <c r="D405" i="3" s="1"/>
  <c r="D406" i="3" a="1"/>
  <c r="D406" i="3" s="1"/>
  <c r="D407" i="3" a="1"/>
  <c r="D407" i="3" s="1"/>
  <c r="D408" i="3" a="1"/>
  <c r="D408" i="3" s="1"/>
  <c r="D409" i="3" a="1"/>
  <c r="D409" i="3" s="1"/>
  <c r="D410" i="3" a="1"/>
  <c r="D410" i="3" s="1"/>
  <c r="D411" i="3" a="1"/>
  <c r="D411" i="3" s="1"/>
  <c r="D412" i="3" a="1"/>
  <c r="D412" i="3" s="1"/>
  <c r="D413" i="3" a="1"/>
  <c r="D413" i="3" s="1"/>
  <c r="D414" i="3" a="1"/>
  <c r="D414" i="3" s="1"/>
  <c r="D415" i="3" a="1"/>
  <c r="D415" i="3" s="1"/>
  <c r="D416" i="3" a="1"/>
  <c r="D416" i="3" s="1"/>
  <c r="D417" i="3" a="1"/>
  <c r="D417" i="3" s="1"/>
  <c r="D418" i="3" a="1"/>
  <c r="D418" i="3" s="1"/>
  <c r="D419" i="3" a="1"/>
  <c r="D419" i="3" s="1"/>
  <c r="D420" i="3" a="1"/>
  <c r="D420" i="3" s="1"/>
  <c r="D421" i="3" a="1"/>
  <c r="D421" i="3" s="1"/>
  <c r="D422" i="3" a="1"/>
  <c r="D422" i="3" s="1"/>
  <c r="D423" i="3" a="1"/>
  <c r="D423" i="3" s="1"/>
  <c r="D424" i="3" a="1"/>
  <c r="D424" i="3" s="1"/>
  <c r="D425" i="3" a="1"/>
  <c r="D425" i="3" s="1"/>
  <c r="D426" i="3" a="1"/>
  <c r="D426" i="3" s="1"/>
  <c r="D427" i="3" a="1"/>
  <c r="D427" i="3" s="1"/>
  <c r="D428" i="3" a="1"/>
  <c r="D428" i="3" s="1"/>
  <c r="D429" i="3" a="1"/>
  <c r="D429" i="3" s="1"/>
  <c r="D430" i="3" a="1"/>
  <c r="D430" i="3" s="1"/>
  <c r="D431" i="3" a="1"/>
  <c r="D431" i="3" s="1"/>
  <c r="D432" i="3" a="1"/>
  <c r="D432" i="3" s="1"/>
  <c r="D433" i="3" a="1"/>
  <c r="D433" i="3" s="1"/>
  <c r="D434" i="3" a="1"/>
  <c r="D434" i="3" s="1"/>
  <c r="D435" i="3" a="1"/>
  <c r="D435" i="3" s="1"/>
  <c r="D436" i="3" a="1"/>
  <c r="D436" i="3" s="1"/>
  <c r="D437" i="3" a="1"/>
  <c r="D437" i="3" s="1"/>
  <c r="D438" i="3" a="1"/>
  <c r="D438" i="3" s="1"/>
  <c r="D439" i="3" a="1"/>
  <c r="D439" i="3" s="1"/>
  <c r="D440" i="3" a="1"/>
  <c r="D440" i="3" s="1"/>
  <c r="D441" i="3" a="1"/>
  <c r="D441" i="3" s="1"/>
  <c r="D442" i="3" a="1"/>
  <c r="D442" i="3" s="1"/>
  <c r="D443" i="3" a="1"/>
  <c r="D443" i="3" s="1"/>
  <c r="D444" i="3" a="1"/>
  <c r="D444" i="3" s="1"/>
  <c r="D445" i="3" a="1"/>
  <c r="D445" i="3" s="1"/>
  <c r="D446" i="3" a="1"/>
  <c r="D446" i="3" s="1"/>
  <c r="D447" i="3" a="1"/>
  <c r="D447" i="3" s="1"/>
  <c r="D448" i="3" a="1"/>
  <c r="D448" i="3" s="1"/>
  <c r="D449" i="3" a="1"/>
  <c r="D449" i="3" s="1"/>
  <c r="D450" i="3" a="1"/>
  <c r="D450" i="3" s="1"/>
  <c r="D451" i="3" a="1"/>
  <c r="D451" i="3" s="1"/>
  <c r="D452" i="3" a="1"/>
  <c r="D452" i="3" s="1"/>
  <c r="D453" i="3" a="1"/>
  <c r="D453" i="3" s="1"/>
  <c r="D454" i="3" a="1"/>
  <c r="D454" i="3" s="1"/>
  <c r="D455" i="3" a="1"/>
  <c r="D455" i="3" s="1"/>
  <c r="D456" i="3" a="1"/>
  <c r="D456" i="3" s="1"/>
  <c r="D457" i="3" a="1"/>
  <c r="D457" i="3" s="1"/>
  <c r="D458" i="3" a="1"/>
  <c r="D458" i="3" s="1"/>
  <c r="D459" i="3" a="1"/>
  <c r="D459" i="3" s="1"/>
  <c r="D460" i="3" a="1"/>
  <c r="D460" i="3" s="1"/>
  <c r="D461" i="3" a="1"/>
  <c r="D461" i="3" s="1"/>
  <c r="D462" i="3" a="1"/>
  <c r="D462" i="3" s="1"/>
  <c r="D463" i="3" a="1"/>
  <c r="D463" i="3" s="1"/>
  <c r="D464" i="3" a="1"/>
  <c r="D464" i="3" s="1"/>
  <c r="D465" i="3" a="1"/>
  <c r="D465" i="3" s="1"/>
  <c r="D466" i="3" a="1"/>
  <c r="D466" i="3" s="1"/>
  <c r="D467" i="3" a="1"/>
  <c r="D467" i="3" s="1"/>
  <c r="D468" i="3" a="1"/>
  <c r="D468" i="3" s="1"/>
  <c r="D469" i="3" a="1"/>
  <c r="D469" i="3" s="1"/>
  <c r="D470" i="3" a="1"/>
  <c r="D470" i="3" s="1"/>
  <c r="D471" i="3" a="1"/>
  <c r="D471" i="3" s="1"/>
  <c r="D472" i="3" a="1"/>
  <c r="D472" i="3" s="1"/>
  <c r="D473" i="3" a="1"/>
  <c r="D473" i="3" s="1"/>
  <c r="D474" i="3" a="1"/>
  <c r="D474" i="3" s="1"/>
  <c r="D475" i="3" a="1"/>
  <c r="D475" i="3" s="1"/>
  <c r="D476" i="3" a="1"/>
  <c r="D476" i="3" s="1"/>
  <c r="D477" i="3" a="1"/>
  <c r="D477" i="3" s="1"/>
  <c r="D478" i="3" a="1"/>
  <c r="D478" i="3" s="1"/>
  <c r="D479" i="3" a="1"/>
  <c r="D479" i="3" s="1"/>
  <c r="D480" i="3" a="1"/>
  <c r="D480" i="3" s="1"/>
  <c r="D481" i="3" a="1"/>
  <c r="D481" i="3" s="1"/>
  <c r="D482" i="3" a="1"/>
  <c r="D482" i="3" s="1"/>
  <c r="D483" i="3" a="1"/>
  <c r="D483" i="3" s="1"/>
  <c r="D484" i="3" a="1"/>
  <c r="D484" i="3" s="1"/>
  <c r="D485" i="3" a="1"/>
  <c r="D485" i="3" s="1"/>
  <c r="D486" i="3" a="1"/>
  <c r="D486" i="3" s="1"/>
  <c r="D487" i="3" a="1"/>
  <c r="D487" i="3" s="1"/>
  <c r="D488" i="3" a="1"/>
  <c r="D488" i="3" s="1"/>
  <c r="D489" i="3" a="1"/>
  <c r="D489" i="3" s="1"/>
  <c r="D490" i="3" a="1"/>
  <c r="D490" i="3" s="1"/>
  <c r="D491" i="3" a="1"/>
  <c r="D491" i="3" s="1"/>
  <c r="D492" i="3" a="1"/>
  <c r="D492" i="3" s="1"/>
  <c r="D493" i="3" a="1"/>
  <c r="D493" i="3" s="1"/>
  <c r="D494" i="3" a="1"/>
  <c r="D494" i="3" s="1"/>
  <c r="D495" i="3" a="1"/>
  <c r="D495" i="3" s="1"/>
  <c r="D496" i="3" a="1"/>
  <c r="D496" i="3" s="1"/>
  <c r="D497" i="3" a="1"/>
  <c r="D497" i="3" s="1"/>
  <c r="D498" i="3" a="1"/>
  <c r="D498" i="3" s="1"/>
  <c r="D499" i="3" a="1"/>
  <c r="D499" i="3" s="1"/>
  <c r="D500" i="3" a="1"/>
  <c r="D500" i="3" s="1"/>
  <c r="D2" i="3" a="1"/>
  <c r="D2" i="3" s="1"/>
  <c r="C3" i="3" a="1"/>
  <c r="C3" i="3" s="1"/>
  <c r="C4" i="3" a="1"/>
  <c r="C4" i="3" s="1"/>
  <c r="C5" i="3" a="1"/>
  <c r="C5" i="3" s="1"/>
  <c r="C6" i="3" a="1"/>
  <c r="C6" i="3" s="1"/>
  <c r="C7" i="3" a="1"/>
  <c r="C7" i="3" s="1"/>
  <c r="C8" i="3" a="1"/>
  <c r="C8" i="3" s="1"/>
  <c r="C9" i="3" a="1"/>
  <c r="C9" i="3" s="1"/>
  <c r="C10" i="3" a="1"/>
  <c r="C10" i="3" s="1"/>
  <c r="C11" i="3" a="1"/>
  <c r="C11" i="3" s="1"/>
  <c r="C12" i="3" a="1"/>
  <c r="C12" i="3" s="1"/>
  <c r="C13" i="3" a="1"/>
  <c r="C13" i="3" s="1"/>
  <c r="C14" i="3" a="1"/>
  <c r="C14" i="3" s="1"/>
  <c r="C15" i="3" a="1"/>
  <c r="C15" i="3" s="1"/>
  <c r="C16" i="3" a="1"/>
  <c r="C16" i="3" s="1"/>
  <c r="C17" i="3" a="1"/>
  <c r="C17" i="3" s="1"/>
  <c r="C18" i="3" a="1"/>
  <c r="C18" i="3" s="1"/>
  <c r="C19" i="3" a="1"/>
  <c r="C19" i="3" s="1"/>
  <c r="C20" i="3" a="1"/>
  <c r="C20" i="3" s="1"/>
  <c r="C21" i="3" a="1"/>
  <c r="C21" i="3" s="1"/>
  <c r="C22" i="3" a="1"/>
  <c r="C22" i="3" s="1"/>
  <c r="C23" i="3" a="1"/>
  <c r="C23" i="3" s="1"/>
  <c r="C24" i="3" a="1"/>
  <c r="C24" i="3" s="1"/>
  <c r="C25" i="3" a="1"/>
  <c r="C25" i="3" s="1"/>
  <c r="C26" i="3" a="1"/>
  <c r="C26" i="3" s="1"/>
  <c r="C27" i="3" a="1"/>
  <c r="C27" i="3" s="1"/>
  <c r="C28" i="3" a="1"/>
  <c r="C28" i="3" s="1"/>
  <c r="C29" i="3" a="1"/>
  <c r="C29" i="3" s="1"/>
  <c r="C30" i="3" a="1"/>
  <c r="C30" i="3" s="1"/>
  <c r="C31" i="3" a="1"/>
  <c r="C31" i="3" s="1"/>
  <c r="C32" i="3" a="1"/>
  <c r="C32" i="3" s="1"/>
  <c r="C33" i="3" a="1"/>
  <c r="C33" i="3" s="1"/>
  <c r="C34" i="3" a="1"/>
  <c r="C34" i="3" s="1"/>
  <c r="C35" i="3" a="1"/>
  <c r="C35" i="3" s="1"/>
  <c r="C36" i="3" a="1"/>
  <c r="C36" i="3" s="1"/>
  <c r="C37" i="3" a="1"/>
  <c r="C37" i="3" s="1"/>
  <c r="C38" i="3" a="1"/>
  <c r="C38" i="3" s="1"/>
  <c r="C39" i="3" a="1"/>
  <c r="C39" i="3" s="1"/>
  <c r="C40" i="3" a="1"/>
  <c r="C40" i="3" s="1"/>
  <c r="C41" i="3" a="1"/>
  <c r="C41" i="3" s="1"/>
  <c r="C42" i="3" a="1"/>
  <c r="C42" i="3" s="1"/>
  <c r="C43" i="3" a="1"/>
  <c r="C43" i="3" s="1"/>
  <c r="C44" i="3" a="1"/>
  <c r="C44" i="3" s="1"/>
  <c r="C45" i="3" a="1"/>
  <c r="C45" i="3" s="1"/>
  <c r="C46" i="3" a="1"/>
  <c r="C46" i="3" s="1"/>
  <c r="C47" i="3" a="1"/>
  <c r="C47" i="3" s="1"/>
  <c r="C48" i="3" a="1"/>
  <c r="C48" i="3" s="1"/>
  <c r="C49" i="3" a="1"/>
  <c r="C49" i="3" s="1"/>
  <c r="C50" i="3" a="1"/>
  <c r="C50" i="3" s="1"/>
  <c r="C51" i="3" a="1"/>
  <c r="C51" i="3" s="1"/>
  <c r="C52" i="3" a="1"/>
  <c r="C52" i="3" s="1"/>
  <c r="C53" i="3" a="1"/>
  <c r="C53" i="3" s="1"/>
  <c r="C54" i="3" a="1"/>
  <c r="C54" i="3" s="1"/>
  <c r="C55" i="3" a="1"/>
  <c r="C55" i="3" s="1"/>
  <c r="C56" i="3" a="1"/>
  <c r="C56" i="3" s="1"/>
  <c r="C57" i="3" a="1"/>
  <c r="C57" i="3" s="1"/>
  <c r="C58" i="3" a="1"/>
  <c r="C58" i="3" s="1"/>
  <c r="C59" i="3" a="1"/>
  <c r="C59" i="3" s="1"/>
  <c r="C60" i="3" a="1"/>
  <c r="C60" i="3" s="1"/>
  <c r="C61" i="3" a="1"/>
  <c r="C61" i="3" s="1"/>
  <c r="C62" i="3" a="1"/>
  <c r="C62" i="3" s="1"/>
  <c r="C63" i="3" a="1"/>
  <c r="C63" i="3" s="1"/>
  <c r="C64" i="3" a="1"/>
  <c r="C64" i="3" s="1"/>
  <c r="C65" i="3" a="1"/>
  <c r="C65" i="3" s="1"/>
  <c r="C66" i="3" a="1"/>
  <c r="C66" i="3" s="1"/>
  <c r="C67" i="3" a="1"/>
  <c r="C67" i="3" s="1"/>
  <c r="C68" i="3" a="1"/>
  <c r="C68" i="3" s="1"/>
  <c r="C69" i="3" a="1"/>
  <c r="C69" i="3" s="1"/>
  <c r="C70" i="3" a="1"/>
  <c r="C70" i="3" s="1"/>
  <c r="C71" i="3" a="1"/>
  <c r="C71" i="3" s="1"/>
  <c r="C72" i="3" a="1"/>
  <c r="C72" i="3" s="1"/>
  <c r="C73" i="3" a="1"/>
  <c r="C73" i="3" s="1"/>
  <c r="C74" i="3" a="1"/>
  <c r="C74" i="3" s="1"/>
  <c r="C75" i="3" a="1"/>
  <c r="C75" i="3" s="1"/>
  <c r="C76" i="3" a="1"/>
  <c r="C76" i="3" s="1"/>
  <c r="C77" i="3" a="1"/>
  <c r="C77" i="3" s="1"/>
  <c r="C78" i="3" a="1"/>
  <c r="C78" i="3" s="1"/>
  <c r="C79" i="3" a="1"/>
  <c r="C79" i="3" s="1"/>
  <c r="C80" i="3" a="1"/>
  <c r="C80" i="3" s="1"/>
  <c r="C81" i="3" a="1"/>
  <c r="C81" i="3" s="1"/>
  <c r="C82" i="3" a="1"/>
  <c r="C82" i="3" s="1"/>
  <c r="C83" i="3" a="1"/>
  <c r="C83" i="3" s="1"/>
  <c r="C84" i="3" a="1"/>
  <c r="C84" i="3" s="1"/>
  <c r="C85" i="3" a="1"/>
  <c r="C85" i="3" s="1"/>
  <c r="C86" i="3" a="1"/>
  <c r="C86" i="3" s="1"/>
  <c r="C87" i="3" a="1"/>
  <c r="C87" i="3" s="1"/>
  <c r="C88" i="3" a="1"/>
  <c r="C88" i="3" s="1"/>
  <c r="C89" i="3" a="1"/>
  <c r="C89" i="3" s="1"/>
  <c r="C90" i="3" a="1"/>
  <c r="C90" i="3" s="1"/>
  <c r="C91" i="3" a="1"/>
  <c r="C91" i="3" s="1"/>
  <c r="C92" i="3" a="1"/>
  <c r="C92" i="3" s="1"/>
  <c r="C93" i="3" a="1"/>
  <c r="C93" i="3" s="1"/>
  <c r="C94" i="3" a="1"/>
  <c r="C94" i="3" s="1"/>
  <c r="C95" i="3" a="1"/>
  <c r="C95" i="3" s="1"/>
  <c r="C96" i="3" a="1"/>
  <c r="C96" i="3" s="1"/>
  <c r="C97" i="3" a="1"/>
  <c r="C97" i="3" s="1"/>
  <c r="C98" i="3" a="1"/>
  <c r="C98" i="3" s="1"/>
  <c r="C99" i="3" a="1"/>
  <c r="C99" i="3" s="1"/>
  <c r="C100" i="3" a="1"/>
  <c r="C100" i="3" s="1"/>
  <c r="C101" i="3" a="1"/>
  <c r="C101" i="3" s="1"/>
  <c r="C102" i="3" a="1"/>
  <c r="C102" i="3" s="1"/>
  <c r="C103" i="3" a="1"/>
  <c r="C103" i="3" s="1"/>
  <c r="C104" i="3" a="1"/>
  <c r="C104" i="3" s="1"/>
  <c r="C105" i="3" a="1"/>
  <c r="C105" i="3" s="1"/>
  <c r="C106" i="3" a="1"/>
  <c r="C106" i="3" s="1"/>
  <c r="C107" i="3" a="1"/>
  <c r="C107" i="3" s="1"/>
  <c r="C108" i="3" a="1"/>
  <c r="C108" i="3" s="1"/>
  <c r="C109" i="3" a="1"/>
  <c r="C109" i="3" s="1"/>
  <c r="C110" i="3" a="1"/>
  <c r="C110" i="3" s="1"/>
  <c r="C111" i="3" a="1"/>
  <c r="C111" i="3" s="1"/>
  <c r="C112" i="3" a="1"/>
  <c r="C112" i="3" s="1"/>
  <c r="C113" i="3" a="1"/>
  <c r="C113" i="3" s="1"/>
  <c r="C114" i="3" a="1"/>
  <c r="C114" i="3" s="1"/>
  <c r="C115" i="3" a="1"/>
  <c r="C115" i="3" s="1"/>
  <c r="C116" i="3" a="1"/>
  <c r="C116" i="3" s="1"/>
  <c r="C117" i="3" a="1"/>
  <c r="C117" i="3" s="1"/>
  <c r="C118" i="3" a="1"/>
  <c r="C118" i="3" s="1"/>
  <c r="C119" i="3" a="1"/>
  <c r="C119" i="3" s="1"/>
  <c r="C120" i="3" a="1"/>
  <c r="C120" i="3" s="1"/>
  <c r="C121" i="3" a="1"/>
  <c r="C121" i="3" s="1"/>
  <c r="C122" i="3" a="1"/>
  <c r="C122" i="3" s="1"/>
  <c r="C123" i="3" a="1"/>
  <c r="C123" i="3" s="1"/>
  <c r="C124" i="3" a="1"/>
  <c r="C124" i="3" s="1"/>
  <c r="C125" i="3" a="1"/>
  <c r="C125" i="3" s="1"/>
  <c r="C126" i="3" a="1"/>
  <c r="C126" i="3" s="1"/>
  <c r="C127" i="3" a="1"/>
  <c r="C127" i="3" s="1"/>
  <c r="C128" i="3" a="1"/>
  <c r="C128" i="3" s="1"/>
  <c r="C129" i="3" a="1"/>
  <c r="C129" i="3" s="1"/>
  <c r="C130" i="3" a="1"/>
  <c r="C130" i="3" s="1"/>
  <c r="C131" i="3" a="1"/>
  <c r="C131" i="3" s="1"/>
  <c r="C132" i="3" a="1"/>
  <c r="C132" i="3" s="1"/>
  <c r="C133" i="3" a="1"/>
  <c r="C133" i="3" s="1"/>
  <c r="C134" i="3" a="1"/>
  <c r="C134" i="3" s="1"/>
  <c r="C135" i="3" a="1"/>
  <c r="C135" i="3" s="1"/>
  <c r="C136" i="3" a="1"/>
  <c r="C136" i="3" s="1"/>
  <c r="C137" i="3" a="1"/>
  <c r="C137" i="3" s="1"/>
  <c r="C138" i="3" a="1"/>
  <c r="C138" i="3" s="1"/>
  <c r="C139" i="3" a="1"/>
  <c r="C139" i="3" s="1"/>
  <c r="C140" i="3" a="1"/>
  <c r="C140" i="3" s="1"/>
  <c r="C141" i="3" a="1"/>
  <c r="C141" i="3" s="1"/>
  <c r="C142" i="3" a="1"/>
  <c r="C142" i="3" s="1"/>
  <c r="C143" i="3" a="1"/>
  <c r="C143" i="3" s="1"/>
  <c r="C144" i="3" a="1"/>
  <c r="C144" i="3" s="1"/>
  <c r="C145" i="3" a="1"/>
  <c r="C145" i="3" s="1"/>
  <c r="C146" i="3" a="1"/>
  <c r="C146" i="3" s="1"/>
  <c r="C147" i="3" a="1"/>
  <c r="C147" i="3" s="1"/>
  <c r="C148" i="3" a="1"/>
  <c r="C148" i="3" s="1"/>
  <c r="C149" i="3" a="1"/>
  <c r="C149" i="3" s="1"/>
  <c r="C150" i="3" a="1"/>
  <c r="C150" i="3" s="1"/>
  <c r="C151" i="3" a="1"/>
  <c r="C151" i="3" s="1"/>
  <c r="C152" i="3" a="1"/>
  <c r="C152" i="3" s="1"/>
  <c r="C153" i="3" a="1"/>
  <c r="C153" i="3" s="1"/>
  <c r="C154" i="3" a="1"/>
  <c r="C154" i="3" s="1"/>
  <c r="C155" i="3" a="1"/>
  <c r="C155" i="3" s="1"/>
  <c r="C156" i="3" a="1"/>
  <c r="C156" i="3" s="1"/>
  <c r="C157" i="3" a="1"/>
  <c r="C157" i="3" s="1"/>
  <c r="C158" i="3" a="1"/>
  <c r="C158" i="3" s="1"/>
  <c r="C159" i="3" a="1"/>
  <c r="C159" i="3" s="1"/>
  <c r="C160" i="3" a="1"/>
  <c r="C160" i="3" s="1"/>
  <c r="C161" i="3" a="1"/>
  <c r="C161" i="3" s="1"/>
  <c r="C162" i="3" a="1"/>
  <c r="C162" i="3" s="1"/>
  <c r="C163" i="3" a="1"/>
  <c r="C163" i="3" s="1"/>
  <c r="C164" i="3" a="1"/>
  <c r="C164" i="3" s="1"/>
  <c r="C165" i="3" a="1"/>
  <c r="C165" i="3" s="1"/>
  <c r="C166" i="3" a="1"/>
  <c r="C166" i="3" s="1"/>
  <c r="C167" i="3" a="1"/>
  <c r="C167" i="3" s="1"/>
  <c r="C168" i="3" a="1"/>
  <c r="C168" i="3" s="1"/>
  <c r="C169" i="3" a="1"/>
  <c r="C169" i="3" s="1"/>
  <c r="C170" i="3" a="1"/>
  <c r="C170" i="3" s="1"/>
  <c r="C171" i="3" a="1"/>
  <c r="C171" i="3" s="1"/>
  <c r="C172" i="3" a="1"/>
  <c r="C172" i="3" s="1"/>
  <c r="C173" i="3" a="1"/>
  <c r="C173" i="3" s="1"/>
  <c r="C174" i="3" a="1"/>
  <c r="C174" i="3" s="1"/>
  <c r="C175" i="3" a="1"/>
  <c r="C175" i="3" s="1"/>
  <c r="C176" i="3" a="1"/>
  <c r="C176" i="3" s="1"/>
  <c r="C177" i="3" a="1"/>
  <c r="C177" i="3" s="1"/>
  <c r="C178" i="3" a="1"/>
  <c r="C178" i="3" s="1"/>
  <c r="C179" i="3" a="1"/>
  <c r="C179" i="3" s="1"/>
  <c r="C180" i="3" a="1"/>
  <c r="C180" i="3" s="1"/>
  <c r="C181" i="3" a="1"/>
  <c r="C181" i="3" s="1"/>
  <c r="C182" i="3" a="1"/>
  <c r="C182" i="3" s="1"/>
  <c r="C183" i="3" a="1"/>
  <c r="C183" i="3" s="1"/>
  <c r="C184" i="3" a="1"/>
  <c r="C184" i="3" s="1"/>
  <c r="C185" i="3" a="1"/>
  <c r="C185" i="3" s="1"/>
  <c r="C186" i="3" a="1"/>
  <c r="C186" i="3" s="1"/>
  <c r="C187" i="3" a="1"/>
  <c r="C187" i="3" s="1"/>
  <c r="C188" i="3" a="1"/>
  <c r="C188" i="3" s="1"/>
  <c r="C189" i="3" a="1"/>
  <c r="C189" i="3" s="1"/>
  <c r="C190" i="3" a="1"/>
  <c r="C190" i="3" s="1"/>
  <c r="C191" i="3" a="1"/>
  <c r="C191" i="3" s="1"/>
  <c r="C192" i="3" a="1"/>
  <c r="C192" i="3" s="1"/>
  <c r="C193" i="3" a="1"/>
  <c r="C193" i="3" s="1"/>
  <c r="C194" i="3" a="1"/>
  <c r="C194" i="3" s="1"/>
  <c r="C195" i="3" a="1"/>
  <c r="C195" i="3" s="1"/>
  <c r="C196" i="3" a="1"/>
  <c r="C196" i="3" s="1"/>
  <c r="C197" i="3" a="1"/>
  <c r="C197" i="3" s="1"/>
  <c r="C198" i="3" a="1"/>
  <c r="C198" i="3" s="1"/>
  <c r="C199" i="3" a="1"/>
  <c r="C199" i="3" s="1"/>
  <c r="C200" i="3" a="1"/>
  <c r="C200" i="3" s="1"/>
  <c r="C201" i="3" a="1"/>
  <c r="C201" i="3" s="1"/>
  <c r="C202" i="3" a="1"/>
  <c r="C202" i="3" s="1"/>
  <c r="C203" i="3" a="1"/>
  <c r="C203" i="3" s="1"/>
  <c r="C204" i="3" a="1"/>
  <c r="C204" i="3" s="1"/>
  <c r="C205" i="3" a="1"/>
  <c r="C205" i="3" s="1"/>
  <c r="C206" i="3" a="1"/>
  <c r="C206" i="3" s="1"/>
  <c r="C207" i="3" a="1"/>
  <c r="C207" i="3" s="1"/>
  <c r="C208" i="3" a="1"/>
  <c r="C208" i="3" s="1"/>
  <c r="C209" i="3" a="1"/>
  <c r="C209" i="3" s="1"/>
  <c r="C210" i="3" a="1"/>
  <c r="C210" i="3" s="1"/>
  <c r="C211" i="3" a="1"/>
  <c r="C211" i="3" s="1"/>
  <c r="C212" i="3" a="1"/>
  <c r="C212" i="3" s="1"/>
  <c r="C213" i="3" a="1"/>
  <c r="C213" i="3" s="1"/>
  <c r="C214" i="3" a="1"/>
  <c r="C214" i="3" s="1"/>
  <c r="C215" i="3" a="1"/>
  <c r="C215" i="3" s="1"/>
  <c r="C216" i="3" a="1"/>
  <c r="C216" i="3" s="1"/>
  <c r="C217" i="3" a="1"/>
  <c r="C217" i="3" s="1"/>
  <c r="C218" i="3" a="1"/>
  <c r="C218" i="3" s="1"/>
  <c r="C219" i="3" a="1"/>
  <c r="C219" i="3" s="1"/>
  <c r="C220" i="3" a="1"/>
  <c r="C220" i="3" s="1"/>
  <c r="C221" i="3" a="1"/>
  <c r="C221" i="3" s="1"/>
  <c r="C222" i="3" a="1"/>
  <c r="C222" i="3" s="1"/>
  <c r="C223" i="3" a="1"/>
  <c r="C223" i="3" s="1"/>
  <c r="C224" i="3" a="1"/>
  <c r="C224" i="3" s="1"/>
  <c r="C225" i="3" a="1"/>
  <c r="C225" i="3" s="1"/>
  <c r="C226" i="3" a="1"/>
  <c r="C226" i="3" s="1"/>
  <c r="C227" i="3" a="1"/>
  <c r="C227" i="3" s="1"/>
  <c r="C228" i="3" a="1"/>
  <c r="C228" i="3" s="1"/>
  <c r="C229" i="3" a="1"/>
  <c r="C229" i="3" s="1"/>
  <c r="C230" i="3" a="1"/>
  <c r="C230" i="3" s="1"/>
  <c r="C231" i="3" a="1"/>
  <c r="C231" i="3" s="1"/>
  <c r="C232" i="3" a="1"/>
  <c r="C232" i="3" s="1"/>
  <c r="C233" i="3" a="1"/>
  <c r="C233" i="3" s="1"/>
  <c r="C234" i="3" a="1"/>
  <c r="C234" i="3" s="1"/>
  <c r="C235" i="3" a="1"/>
  <c r="C235" i="3" s="1"/>
  <c r="C236" i="3" a="1"/>
  <c r="C236" i="3" s="1"/>
  <c r="C237" i="3" a="1"/>
  <c r="C237" i="3" s="1"/>
  <c r="C238" i="3" a="1"/>
  <c r="C238" i="3" s="1"/>
  <c r="C239" i="3" a="1"/>
  <c r="C239" i="3" s="1"/>
  <c r="C240" i="3" a="1"/>
  <c r="C240" i="3" s="1"/>
  <c r="C241" i="3" a="1"/>
  <c r="C241" i="3" s="1"/>
  <c r="C242" i="3" a="1"/>
  <c r="C242" i="3" s="1"/>
  <c r="C243" i="3" a="1"/>
  <c r="C243" i="3" s="1"/>
  <c r="C244" i="3" a="1"/>
  <c r="C244" i="3" s="1"/>
  <c r="C245" i="3" a="1"/>
  <c r="C245" i="3" s="1"/>
  <c r="C246" i="3" a="1"/>
  <c r="C246" i="3" s="1"/>
  <c r="C247" i="3" a="1"/>
  <c r="C247" i="3" s="1"/>
  <c r="C248" i="3" a="1"/>
  <c r="C248" i="3" s="1"/>
  <c r="C249" i="3" a="1"/>
  <c r="C249" i="3" s="1"/>
  <c r="C250" i="3" a="1"/>
  <c r="C250" i="3" s="1"/>
  <c r="C251" i="3" a="1"/>
  <c r="C251" i="3" s="1"/>
  <c r="C252" i="3" a="1"/>
  <c r="C252" i="3" s="1"/>
  <c r="C253" i="3" a="1"/>
  <c r="C253" i="3" s="1"/>
  <c r="C254" i="3" a="1"/>
  <c r="C254" i="3" s="1"/>
  <c r="C255" i="3" a="1"/>
  <c r="C255" i="3" s="1"/>
  <c r="C256" i="3" a="1"/>
  <c r="C256" i="3" s="1"/>
  <c r="C257" i="3" a="1"/>
  <c r="C257" i="3" s="1"/>
  <c r="C258" i="3" a="1"/>
  <c r="C258" i="3" s="1"/>
  <c r="C259" i="3" a="1"/>
  <c r="C259" i="3" s="1"/>
  <c r="C260" i="3" a="1"/>
  <c r="C260" i="3" s="1"/>
  <c r="C261" i="3" a="1"/>
  <c r="C261" i="3" s="1"/>
  <c r="C262" i="3" a="1"/>
  <c r="C262" i="3" s="1"/>
  <c r="C263" i="3" a="1"/>
  <c r="C263" i="3" s="1"/>
  <c r="C264" i="3" a="1"/>
  <c r="C264" i="3" s="1"/>
  <c r="C265" i="3" a="1"/>
  <c r="C265" i="3" s="1"/>
  <c r="C266" i="3" a="1"/>
  <c r="C266" i="3" s="1"/>
  <c r="C267" i="3" a="1"/>
  <c r="C267" i="3" s="1"/>
  <c r="C268" i="3" a="1"/>
  <c r="C268" i="3" s="1"/>
  <c r="C269" i="3" a="1"/>
  <c r="C269" i="3" s="1"/>
  <c r="C270" i="3" a="1"/>
  <c r="C270" i="3" s="1"/>
  <c r="C271" i="3" a="1"/>
  <c r="C271" i="3" s="1"/>
  <c r="C272" i="3" a="1"/>
  <c r="C272" i="3" s="1"/>
  <c r="C273" i="3" a="1"/>
  <c r="C273" i="3" s="1"/>
  <c r="C274" i="3" a="1"/>
  <c r="C274" i="3" s="1"/>
  <c r="C275" i="3" a="1"/>
  <c r="C275" i="3" s="1"/>
  <c r="C276" i="3" a="1"/>
  <c r="C276" i="3" s="1"/>
  <c r="C277" i="3" a="1"/>
  <c r="C277" i="3" s="1"/>
  <c r="C278" i="3" a="1"/>
  <c r="C278" i="3" s="1"/>
  <c r="C279" i="3" a="1"/>
  <c r="C279" i="3" s="1"/>
  <c r="C280" i="3" a="1"/>
  <c r="C280" i="3" s="1"/>
  <c r="C281" i="3" a="1"/>
  <c r="C281" i="3" s="1"/>
  <c r="C282" i="3" a="1"/>
  <c r="C282" i="3" s="1"/>
  <c r="C283" i="3" a="1"/>
  <c r="C283" i="3" s="1"/>
  <c r="C284" i="3" a="1"/>
  <c r="C284" i="3" s="1"/>
  <c r="C285" i="3" a="1"/>
  <c r="C285" i="3" s="1"/>
  <c r="C286" i="3" a="1"/>
  <c r="C286" i="3" s="1"/>
  <c r="C287" i="3" a="1"/>
  <c r="C287" i="3" s="1"/>
  <c r="C288" i="3" a="1"/>
  <c r="C288" i="3" s="1"/>
  <c r="C289" i="3" a="1"/>
  <c r="C289" i="3" s="1"/>
  <c r="C290" i="3" a="1"/>
  <c r="C290" i="3" s="1"/>
  <c r="C291" i="3" a="1"/>
  <c r="C291" i="3" s="1"/>
  <c r="C292" i="3" a="1"/>
  <c r="C292" i="3" s="1"/>
  <c r="C293" i="3" a="1"/>
  <c r="C293" i="3" s="1"/>
  <c r="C294" i="3" a="1"/>
  <c r="C294" i="3" s="1"/>
  <c r="C295" i="3" a="1"/>
  <c r="C295" i="3" s="1"/>
  <c r="C296" i="3" a="1"/>
  <c r="C296" i="3" s="1"/>
  <c r="C297" i="3" a="1"/>
  <c r="C297" i="3" s="1"/>
  <c r="C298" i="3" a="1"/>
  <c r="C298" i="3" s="1"/>
  <c r="C299" i="3" a="1"/>
  <c r="C299" i="3" s="1"/>
  <c r="C300" i="3" a="1"/>
  <c r="C300" i="3" s="1"/>
  <c r="C301" i="3" a="1"/>
  <c r="C301" i="3" s="1"/>
  <c r="C302" i="3" a="1"/>
  <c r="C302" i="3" s="1"/>
  <c r="C303" i="3" a="1"/>
  <c r="C303" i="3" s="1"/>
  <c r="C304" i="3" a="1"/>
  <c r="C304" i="3" s="1"/>
  <c r="C305" i="3" a="1"/>
  <c r="C305" i="3" s="1"/>
  <c r="C306" i="3" a="1"/>
  <c r="C306" i="3" s="1"/>
  <c r="C307" i="3" a="1"/>
  <c r="C307" i="3" s="1"/>
  <c r="C308" i="3" a="1"/>
  <c r="C308" i="3" s="1"/>
  <c r="C309" i="3" a="1"/>
  <c r="C309" i="3" s="1"/>
  <c r="C310" i="3" a="1"/>
  <c r="C310" i="3" s="1"/>
  <c r="C311" i="3" a="1"/>
  <c r="C311" i="3" s="1"/>
  <c r="C312" i="3" a="1"/>
  <c r="C312" i="3" s="1"/>
  <c r="C313" i="3" a="1"/>
  <c r="C313" i="3" s="1"/>
  <c r="C314" i="3" a="1"/>
  <c r="C314" i="3" s="1"/>
  <c r="C315" i="3" a="1"/>
  <c r="C315" i="3" s="1"/>
  <c r="C316" i="3" a="1"/>
  <c r="C316" i="3" s="1"/>
  <c r="C317" i="3" a="1"/>
  <c r="C317" i="3" s="1"/>
  <c r="C318" i="3" a="1"/>
  <c r="C318" i="3" s="1"/>
  <c r="C319" i="3" a="1"/>
  <c r="C319" i="3" s="1"/>
  <c r="C320" i="3" a="1"/>
  <c r="C320" i="3" s="1"/>
  <c r="C321" i="3" a="1"/>
  <c r="C321" i="3" s="1"/>
  <c r="C322" i="3" a="1"/>
  <c r="C322" i="3" s="1"/>
  <c r="C323" i="3" a="1"/>
  <c r="C323" i="3" s="1"/>
  <c r="C324" i="3" a="1"/>
  <c r="C324" i="3" s="1"/>
  <c r="C325" i="3" a="1"/>
  <c r="C325" i="3" s="1"/>
  <c r="C326" i="3" a="1"/>
  <c r="C326" i="3" s="1"/>
  <c r="C327" i="3" a="1"/>
  <c r="C327" i="3" s="1"/>
  <c r="C328" i="3" a="1"/>
  <c r="C328" i="3" s="1"/>
  <c r="C329" i="3" a="1"/>
  <c r="C329" i="3" s="1"/>
  <c r="C330" i="3" a="1"/>
  <c r="C330" i="3" s="1"/>
  <c r="C331" i="3" a="1"/>
  <c r="C331" i="3" s="1"/>
  <c r="C332" i="3" a="1"/>
  <c r="C332" i="3" s="1"/>
  <c r="C333" i="3" a="1"/>
  <c r="C333" i="3" s="1"/>
  <c r="C334" i="3" a="1"/>
  <c r="C334" i="3" s="1"/>
  <c r="C335" i="3" a="1"/>
  <c r="C335" i="3" s="1"/>
  <c r="C336" i="3" a="1"/>
  <c r="C336" i="3" s="1"/>
  <c r="C337" i="3" a="1"/>
  <c r="C337" i="3" s="1"/>
  <c r="C338" i="3" a="1"/>
  <c r="C338" i="3" s="1"/>
  <c r="C339" i="3" a="1"/>
  <c r="C339" i="3" s="1"/>
  <c r="C340" i="3" a="1"/>
  <c r="C340" i="3" s="1"/>
  <c r="C341" i="3" a="1"/>
  <c r="C341" i="3" s="1"/>
  <c r="C342" i="3" a="1"/>
  <c r="C342" i="3" s="1"/>
  <c r="C343" i="3" a="1"/>
  <c r="C343" i="3" s="1"/>
  <c r="C344" i="3" a="1"/>
  <c r="C344" i="3" s="1"/>
  <c r="C345" i="3" a="1"/>
  <c r="C345" i="3" s="1"/>
  <c r="C346" i="3" a="1"/>
  <c r="C346" i="3" s="1"/>
  <c r="C347" i="3" a="1"/>
  <c r="C347" i="3" s="1"/>
  <c r="C348" i="3" a="1"/>
  <c r="C348" i="3" s="1"/>
  <c r="C349" i="3" a="1"/>
  <c r="C349" i="3" s="1"/>
  <c r="C350" i="3" a="1"/>
  <c r="C350" i="3" s="1"/>
  <c r="C351" i="3" a="1"/>
  <c r="C351" i="3" s="1"/>
  <c r="C352" i="3" a="1"/>
  <c r="C352" i="3" s="1"/>
  <c r="C353" i="3" a="1"/>
  <c r="C353" i="3" s="1"/>
  <c r="C354" i="3" a="1"/>
  <c r="C354" i="3" s="1"/>
  <c r="C355" i="3" a="1"/>
  <c r="C355" i="3" s="1"/>
  <c r="C356" i="3" a="1"/>
  <c r="C356" i="3" s="1"/>
  <c r="C357" i="3" a="1"/>
  <c r="C357" i="3" s="1"/>
  <c r="C358" i="3" a="1"/>
  <c r="C358" i="3" s="1"/>
  <c r="C359" i="3" a="1"/>
  <c r="C359" i="3" s="1"/>
  <c r="C360" i="3" a="1"/>
  <c r="C360" i="3" s="1"/>
  <c r="C361" i="3" a="1"/>
  <c r="C361" i="3" s="1"/>
  <c r="C362" i="3" a="1"/>
  <c r="C362" i="3" s="1"/>
  <c r="C363" i="3" a="1"/>
  <c r="C363" i="3" s="1"/>
  <c r="C364" i="3" a="1"/>
  <c r="C364" i="3" s="1"/>
  <c r="C365" i="3" a="1"/>
  <c r="C365" i="3" s="1"/>
  <c r="C366" i="3" a="1"/>
  <c r="C366" i="3" s="1"/>
  <c r="C367" i="3" a="1"/>
  <c r="C367" i="3" s="1"/>
  <c r="C368" i="3" a="1"/>
  <c r="C368" i="3" s="1"/>
  <c r="C369" i="3" a="1"/>
  <c r="C369" i="3" s="1"/>
  <c r="C370" i="3" a="1"/>
  <c r="C370" i="3" s="1"/>
  <c r="C371" i="3" a="1"/>
  <c r="C371" i="3" s="1"/>
  <c r="C372" i="3" a="1"/>
  <c r="C372" i="3" s="1"/>
  <c r="C373" i="3" a="1"/>
  <c r="C373" i="3" s="1"/>
  <c r="C374" i="3" a="1"/>
  <c r="C374" i="3" s="1"/>
  <c r="C375" i="3" a="1"/>
  <c r="C375" i="3" s="1"/>
  <c r="C376" i="3" a="1"/>
  <c r="C376" i="3" s="1"/>
  <c r="C377" i="3" a="1"/>
  <c r="C377" i="3" s="1"/>
  <c r="C378" i="3" a="1"/>
  <c r="C378" i="3" s="1"/>
  <c r="C379" i="3" a="1"/>
  <c r="C379" i="3" s="1"/>
  <c r="C380" i="3" a="1"/>
  <c r="C380" i="3" s="1"/>
  <c r="C381" i="3" a="1"/>
  <c r="C381" i="3" s="1"/>
  <c r="C382" i="3" a="1"/>
  <c r="C382" i="3" s="1"/>
  <c r="C383" i="3" a="1"/>
  <c r="C383" i="3" s="1"/>
  <c r="C384" i="3" a="1"/>
  <c r="C384" i="3" s="1"/>
  <c r="C385" i="3" a="1"/>
  <c r="C385" i="3" s="1"/>
  <c r="C386" i="3" a="1"/>
  <c r="C386" i="3" s="1"/>
  <c r="C387" i="3" a="1"/>
  <c r="C387" i="3" s="1"/>
  <c r="C388" i="3" a="1"/>
  <c r="C388" i="3" s="1"/>
  <c r="C389" i="3" a="1"/>
  <c r="C389" i="3" s="1"/>
  <c r="C390" i="3" a="1"/>
  <c r="C390" i="3" s="1"/>
  <c r="C391" i="3" a="1"/>
  <c r="C391" i="3" s="1"/>
  <c r="C392" i="3" a="1"/>
  <c r="C392" i="3" s="1"/>
  <c r="C393" i="3" a="1"/>
  <c r="C393" i="3" s="1"/>
  <c r="C394" i="3" a="1"/>
  <c r="C394" i="3" s="1"/>
  <c r="C395" i="3" a="1"/>
  <c r="C395" i="3" s="1"/>
  <c r="C396" i="3" a="1"/>
  <c r="C396" i="3" s="1"/>
  <c r="C397" i="3" a="1"/>
  <c r="C397" i="3" s="1"/>
  <c r="C398" i="3" a="1"/>
  <c r="C398" i="3" s="1"/>
  <c r="C399" i="3" a="1"/>
  <c r="C399" i="3" s="1"/>
  <c r="C400" i="3" a="1"/>
  <c r="C400" i="3" s="1"/>
  <c r="C401" i="3" a="1"/>
  <c r="C401" i="3" s="1"/>
  <c r="C402" i="3" a="1"/>
  <c r="C402" i="3" s="1"/>
  <c r="C403" i="3" a="1"/>
  <c r="C403" i="3" s="1"/>
  <c r="C404" i="3" a="1"/>
  <c r="C404" i="3" s="1"/>
  <c r="C405" i="3" a="1"/>
  <c r="C405" i="3" s="1"/>
  <c r="C406" i="3" a="1"/>
  <c r="C406" i="3" s="1"/>
  <c r="C407" i="3" a="1"/>
  <c r="C407" i="3" s="1"/>
  <c r="C408" i="3" a="1"/>
  <c r="C408" i="3" s="1"/>
  <c r="C409" i="3" a="1"/>
  <c r="C409" i="3" s="1"/>
  <c r="C410" i="3" a="1"/>
  <c r="C410" i="3" s="1"/>
  <c r="C411" i="3" a="1"/>
  <c r="C411" i="3" s="1"/>
  <c r="C412" i="3" a="1"/>
  <c r="C412" i="3" s="1"/>
  <c r="C413" i="3" a="1"/>
  <c r="C413" i="3" s="1"/>
  <c r="C414" i="3" a="1"/>
  <c r="C414" i="3" s="1"/>
  <c r="C415" i="3" a="1"/>
  <c r="C415" i="3" s="1"/>
  <c r="C416" i="3" a="1"/>
  <c r="C416" i="3" s="1"/>
  <c r="C417" i="3" a="1"/>
  <c r="C417" i="3" s="1"/>
  <c r="C418" i="3" a="1"/>
  <c r="C418" i="3" s="1"/>
  <c r="C419" i="3" a="1"/>
  <c r="C419" i="3" s="1"/>
  <c r="C420" i="3" a="1"/>
  <c r="C420" i="3" s="1"/>
  <c r="C421" i="3" a="1"/>
  <c r="C421" i="3" s="1"/>
  <c r="C422" i="3" a="1"/>
  <c r="C422" i="3" s="1"/>
  <c r="C423" i="3" a="1"/>
  <c r="C423" i="3" s="1"/>
  <c r="C424" i="3" a="1"/>
  <c r="C424" i="3" s="1"/>
  <c r="C425" i="3" a="1"/>
  <c r="C425" i="3" s="1"/>
  <c r="C426" i="3" a="1"/>
  <c r="C426" i="3" s="1"/>
  <c r="C427" i="3" a="1"/>
  <c r="C427" i="3" s="1"/>
  <c r="C428" i="3" a="1"/>
  <c r="C428" i="3" s="1"/>
  <c r="C429" i="3" a="1"/>
  <c r="C429" i="3" s="1"/>
  <c r="C430" i="3" a="1"/>
  <c r="C430" i="3" s="1"/>
  <c r="C431" i="3" a="1"/>
  <c r="C431" i="3" s="1"/>
  <c r="C432" i="3" a="1"/>
  <c r="C432" i="3" s="1"/>
  <c r="C433" i="3" a="1"/>
  <c r="C433" i="3" s="1"/>
  <c r="C434" i="3" a="1"/>
  <c r="C434" i="3" s="1"/>
  <c r="C435" i="3" a="1"/>
  <c r="C435" i="3" s="1"/>
  <c r="C436" i="3" a="1"/>
  <c r="C436" i="3" s="1"/>
  <c r="C437" i="3" a="1"/>
  <c r="C437" i="3" s="1"/>
  <c r="C438" i="3" a="1"/>
  <c r="C438" i="3" s="1"/>
  <c r="C439" i="3" a="1"/>
  <c r="C439" i="3" s="1"/>
  <c r="C440" i="3" a="1"/>
  <c r="C440" i="3" s="1"/>
  <c r="C441" i="3" a="1"/>
  <c r="C441" i="3" s="1"/>
  <c r="C442" i="3" a="1"/>
  <c r="C442" i="3" s="1"/>
  <c r="C443" i="3" a="1"/>
  <c r="C443" i="3" s="1"/>
  <c r="C444" i="3" a="1"/>
  <c r="C444" i="3" s="1"/>
  <c r="C445" i="3" a="1"/>
  <c r="C445" i="3" s="1"/>
  <c r="C446" i="3" a="1"/>
  <c r="C446" i="3" s="1"/>
  <c r="C447" i="3" a="1"/>
  <c r="C447" i="3" s="1"/>
  <c r="C448" i="3" a="1"/>
  <c r="C448" i="3" s="1"/>
  <c r="C449" i="3" a="1"/>
  <c r="C449" i="3" s="1"/>
  <c r="C450" i="3" a="1"/>
  <c r="C450" i="3" s="1"/>
  <c r="C451" i="3" a="1"/>
  <c r="C451" i="3" s="1"/>
  <c r="C452" i="3" a="1"/>
  <c r="C452" i="3" s="1"/>
  <c r="C453" i="3" a="1"/>
  <c r="C453" i="3" s="1"/>
  <c r="C454" i="3" a="1"/>
  <c r="C454" i="3" s="1"/>
  <c r="C455" i="3" a="1"/>
  <c r="C455" i="3" s="1"/>
  <c r="C456" i="3" a="1"/>
  <c r="C456" i="3" s="1"/>
  <c r="C457" i="3" a="1"/>
  <c r="C457" i="3" s="1"/>
  <c r="C458" i="3" a="1"/>
  <c r="C458" i="3" s="1"/>
  <c r="C459" i="3" a="1"/>
  <c r="C459" i="3" s="1"/>
  <c r="C460" i="3" a="1"/>
  <c r="C460" i="3" s="1"/>
  <c r="C461" i="3" a="1"/>
  <c r="C461" i="3" s="1"/>
  <c r="C462" i="3" a="1"/>
  <c r="C462" i="3" s="1"/>
  <c r="C463" i="3" a="1"/>
  <c r="C463" i="3" s="1"/>
  <c r="C464" i="3" a="1"/>
  <c r="C464" i="3" s="1"/>
  <c r="C465" i="3" a="1"/>
  <c r="C465" i="3" s="1"/>
  <c r="C466" i="3" a="1"/>
  <c r="C466" i="3" s="1"/>
  <c r="C467" i="3" a="1"/>
  <c r="C467" i="3" s="1"/>
  <c r="C468" i="3" a="1"/>
  <c r="C468" i="3" s="1"/>
  <c r="C469" i="3" a="1"/>
  <c r="C469" i="3" s="1"/>
  <c r="C470" i="3" a="1"/>
  <c r="C470" i="3" s="1"/>
  <c r="C471" i="3" a="1"/>
  <c r="C471" i="3" s="1"/>
  <c r="C472" i="3" a="1"/>
  <c r="C472" i="3" s="1"/>
  <c r="C473" i="3" a="1"/>
  <c r="C473" i="3" s="1"/>
  <c r="C474" i="3" a="1"/>
  <c r="C474" i="3" s="1"/>
  <c r="C475" i="3" a="1"/>
  <c r="C475" i="3" s="1"/>
  <c r="C476" i="3" a="1"/>
  <c r="C476" i="3" s="1"/>
  <c r="C477" i="3" a="1"/>
  <c r="C477" i="3" s="1"/>
  <c r="C478" i="3" a="1"/>
  <c r="C478" i="3" s="1"/>
  <c r="C479" i="3" a="1"/>
  <c r="C479" i="3" s="1"/>
  <c r="C480" i="3" a="1"/>
  <c r="C480" i="3" s="1"/>
  <c r="C481" i="3" a="1"/>
  <c r="C481" i="3" s="1"/>
  <c r="C482" i="3" a="1"/>
  <c r="C482" i="3" s="1"/>
  <c r="C483" i="3" a="1"/>
  <c r="C483" i="3" s="1"/>
  <c r="C484" i="3" a="1"/>
  <c r="C484" i="3" s="1"/>
  <c r="C485" i="3" a="1"/>
  <c r="C485" i="3" s="1"/>
  <c r="C486" i="3" a="1"/>
  <c r="C486" i="3" s="1"/>
  <c r="C487" i="3" a="1"/>
  <c r="C487" i="3" s="1"/>
  <c r="C488" i="3" a="1"/>
  <c r="C488" i="3" s="1"/>
  <c r="C489" i="3" a="1"/>
  <c r="C489" i="3" s="1"/>
  <c r="C490" i="3" a="1"/>
  <c r="C490" i="3" s="1"/>
  <c r="C491" i="3" a="1"/>
  <c r="C491" i="3" s="1"/>
  <c r="C492" i="3" a="1"/>
  <c r="C492" i="3" s="1"/>
  <c r="C493" i="3" a="1"/>
  <c r="C493" i="3" s="1"/>
  <c r="C494" i="3" a="1"/>
  <c r="C494" i="3" s="1"/>
  <c r="C495" i="3" a="1"/>
  <c r="C495" i="3" s="1"/>
  <c r="C496" i="3" a="1"/>
  <c r="C496" i="3" s="1"/>
  <c r="C497" i="3" a="1"/>
  <c r="C497" i="3" s="1"/>
  <c r="C498" i="3" a="1"/>
  <c r="C498" i="3" s="1"/>
  <c r="C499" i="3" a="1"/>
  <c r="C499" i="3" s="1"/>
  <c r="C500" i="3" a="1"/>
  <c r="C500" i="3" s="1"/>
  <c r="C2" i="3" a="1"/>
  <c r="C2" i="3" s="1"/>
  <c r="B84" i="7" l="1" a="1"/>
  <c r="B84" i="7" s="1"/>
  <c r="B28" i="7" a="1"/>
  <c r="B28" i="7" s="1"/>
  <c r="C28" i="7" s="1"/>
  <c r="B35" i="7" a="1"/>
  <c r="B35" i="7" s="1"/>
  <c r="C35" i="7" s="1"/>
  <c r="B27" i="7" a="1"/>
  <c r="B27" i="7" s="1"/>
  <c r="C27" i="7" s="1"/>
  <c r="B99" i="7" a="1"/>
  <c r="B99" i="7" s="1"/>
  <c r="B91" i="7" a="1"/>
  <c r="B91" i="7" s="1"/>
  <c r="B83" i="7" a="1"/>
  <c r="B83" i="7" s="1"/>
  <c r="B34" i="7" a="1"/>
  <c r="B34" i="7" s="1"/>
  <c r="C34" i="7" s="1"/>
  <c r="B26" i="7" a="1"/>
  <c r="B26" i="7" s="1"/>
  <c r="C26" i="7" s="1"/>
  <c r="B98" i="7" a="1"/>
  <c r="B98" i="7" s="1"/>
  <c r="B90" i="7" a="1"/>
  <c r="B90" i="7" s="1"/>
  <c r="B82" i="7" a="1"/>
  <c r="B82" i="7" s="1"/>
  <c r="B33" i="7" a="1"/>
  <c r="B33" i="7" s="1"/>
  <c r="C33" i="7" s="1"/>
  <c r="B25" i="7" a="1"/>
  <c r="B25" i="7" s="1"/>
  <c r="C25" i="7" s="1"/>
  <c r="B97" i="7" a="1"/>
  <c r="B97" i="7" s="1"/>
  <c r="B89" i="7" a="1"/>
  <c r="B89" i="7" s="1"/>
  <c r="B81" i="7" a="1"/>
  <c r="B81" i="7" s="1"/>
  <c r="B20" i="7" a="1"/>
  <c r="B20" i="7" s="1"/>
  <c r="C20" i="7" s="1"/>
  <c r="B32" i="7" a="1"/>
  <c r="B32" i="7" s="1"/>
  <c r="C32" i="7" s="1"/>
  <c r="B24" i="7" a="1"/>
  <c r="B24" i="7" s="1"/>
  <c r="C24" i="7" s="1"/>
  <c r="B96" i="7" a="1"/>
  <c r="B96" i="7" s="1"/>
  <c r="B88" i="7" a="1"/>
  <c r="B88" i="7" s="1"/>
  <c r="B39" i="7" a="1"/>
  <c r="B39" i="7" s="1"/>
  <c r="C39" i="7" s="1"/>
  <c r="B31" i="7" a="1"/>
  <c r="B31" i="7" s="1"/>
  <c r="C31" i="7" s="1"/>
  <c r="B23" i="7" a="1"/>
  <c r="B23" i="7" s="1"/>
  <c r="C23" i="7" s="1"/>
  <c r="B95" i="7" a="1"/>
  <c r="B95" i="7" s="1"/>
  <c r="B87" i="7" a="1"/>
  <c r="B87" i="7" s="1"/>
  <c r="B38" i="7" a="1"/>
  <c r="B38" i="7" s="1"/>
  <c r="C38" i="7" s="1"/>
  <c r="B30" i="7" a="1"/>
  <c r="B30" i="7" s="1"/>
  <c r="C30" i="7" s="1"/>
  <c r="B22" i="7" a="1"/>
  <c r="B22" i="7" s="1"/>
  <c r="C22" i="7" s="1"/>
  <c r="B94" i="7" a="1"/>
  <c r="B94" i="7" s="1"/>
  <c r="B86" i="7" a="1"/>
  <c r="B86" i="7" s="1"/>
  <c r="B37" i="7" a="1"/>
  <c r="B37" i="7" s="1"/>
  <c r="C37" i="7" s="1"/>
  <c r="B29" i="7" a="1"/>
  <c r="B29" i="7" s="1"/>
  <c r="C29" i="7" s="1"/>
  <c r="B21" i="7" a="1"/>
  <c r="B21" i="7" s="1"/>
  <c r="C21" i="7" s="1"/>
  <c r="B93" i="7" a="1"/>
  <c r="B93" i="7" s="1"/>
  <c r="B85" i="7" a="1"/>
  <c r="B85" i="7" s="1"/>
  <c r="B36" i="7" a="1"/>
  <c r="B36" i="7" s="1"/>
  <c r="C36" i="7" s="1"/>
  <c r="B80" i="7" a="1"/>
  <c r="B80" i="7" s="1"/>
  <c r="B92" i="7" a="1"/>
  <c r="B92" i="7" s="1"/>
  <c r="B4" i="7" a="1"/>
  <c r="B4" i="7" s="1"/>
  <c r="C4" i="7" s="1"/>
  <c r="B15" i="7" a="1"/>
  <c r="B15" i="7" s="1"/>
  <c r="C15" i="7" s="1"/>
  <c r="B7" i="7" a="1"/>
  <c r="B7" i="7" s="1"/>
  <c r="C7" i="7" s="1"/>
  <c r="B14" i="7" a="1"/>
  <c r="B14" i="7" s="1"/>
  <c r="C14" i="7" s="1"/>
  <c r="B10" i="7" a="1"/>
  <c r="B10" i="7" s="1"/>
  <c r="C10" i="7" s="1"/>
  <c r="B18" i="7" a="1"/>
  <c r="B18" i="7" s="1"/>
  <c r="C18" i="7" s="1"/>
  <c r="B6" i="7" a="1"/>
  <c r="B6" i="7" s="1"/>
  <c r="C6" i="7" s="1"/>
  <c r="B19" i="7" a="1"/>
  <c r="B19" i="7" s="1"/>
  <c r="C19" i="7" s="1"/>
  <c r="B13" i="7" a="1"/>
  <c r="B13" i="7" s="1"/>
  <c r="C13" i="7" s="1"/>
  <c r="B5" i="7" a="1"/>
  <c r="B5" i="7" s="1"/>
  <c r="C5" i="7" s="1"/>
  <c r="B17" i="7" a="1"/>
  <c r="B17" i="7" s="1"/>
  <c r="C17" i="7" s="1"/>
  <c r="B9" i="7" a="1"/>
  <c r="B9" i="7" s="1"/>
  <c r="C9" i="7" s="1"/>
  <c r="B16" i="7" a="1"/>
  <c r="B16" i="7" s="1"/>
  <c r="C16" i="7" s="1"/>
  <c r="B2" i="7" a="1"/>
  <c r="B2" i="7" s="1"/>
  <c r="C2" i="7" s="1"/>
  <c r="B12" i="7" a="1"/>
  <c r="B12" i="7" s="1"/>
  <c r="C12" i="7" s="1"/>
  <c r="B8" i="7" a="1"/>
  <c r="B8" i="7" s="1"/>
  <c r="C8" i="7" s="1"/>
  <c r="B11" i="7" a="1"/>
  <c r="B11" i="7" s="1"/>
  <c r="C11" i="7" s="1"/>
  <c r="B3" i="7" a="1"/>
  <c r="B3" i="7" s="1"/>
  <c r="C3" i="7" s="1"/>
</calcChain>
</file>

<file path=xl/sharedStrings.xml><?xml version="1.0" encoding="utf-8"?>
<sst xmlns="http://schemas.openxmlformats.org/spreadsheetml/2006/main" count="9090" uniqueCount="1165">
  <si>
    <t>個体ID</t>
  </si>
  <si>
    <t>種類</t>
  </si>
  <si>
    <t>状態</t>
  </si>
  <si>
    <t>保管場所</t>
  </si>
  <si>
    <t>写真（ファイル名/パス）</t>
  </si>
  <si>
    <t>備考</t>
  </si>
  <si>
    <t/>
  </si>
  <si>
    <t>セットID</t>
  </si>
  <si>
    <t>セット写真（ファイル名/パス）</t>
  </si>
  <si>
    <t>貸出ID</t>
  </si>
  <si>
    <t>貸出先</t>
  </si>
  <si>
    <t>貸出日</t>
  </si>
  <si>
    <t>返却日</t>
  </si>
  <si>
    <t>状態メモ</t>
  </si>
  <si>
    <t>ITM-0001</t>
    <phoneticPr fontId="3"/>
  </si>
  <si>
    <t>ITM-0002</t>
  </si>
  <si>
    <t>ITM-0003</t>
  </si>
  <si>
    <t>ITM-0004</t>
  </si>
  <si>
    <t>ITM-0005</t>
  </si>
  <si>
    <t>ITM-0006</t>
  </si>
  <si>
    <t>ITM-0007</t>
  </si>
  <si>
    <t>ITM-0008</t>
  </si>
  <si>
    <t>ITM-0009</t>
  </si>
  <si>
    <t>ITM-0010</t>
  </si>
  <si>
    <t>ITM-0011</t>
  </si>
  <si>
    <t>ITM-0012</t>
  </si>
  <si>
    <t>ITM-0013</t>
  </si>
  <si>
    <t>ITM-0014</t>
  </si>
  <si>
    <t>ITM-0015</t>
  </si>
  <si>
    <t>ITM-0016</t>
  </si>
  <si>
    <t>ITM-0017</t>
  </si>
  <si>
    <t>ITM-0018</t>
  </si>
  <si>
    <t>ITM-0019</t>
  </si>
  <si>
    <t>ITM-0020</t>
  </si>
  <si>
    <t>ITM-0021</t>
  </si>
  <si>
    <t>ITM-0022</t>
  </si>
  <si>
    <t>ITM-0023</t>
  </si>
  <si>
    <t>ITM-0024</t>
  </si>
  <si>
    <t>ITM-0025</t>
  </si>
  <si>
    <t>ITM-0026</t>
  </si>
  <si>
    <t>ITM-0027</t>
  </si>
  <si>
    <t>ITM-0028</t>
  </si>
  <si>
    <t>ITM-0029</t>
  </si>
  <si>
    <t>ITM-0030</t>
  </si>
  <si>
    <t>ITM-0031</t>
  </si>
  <si>
    <t>ITM-0032</t>
  </si>
  <si>
    <t>ITM-0033</t>
  </si>
  <si>
    <t>ITM-0034</t>
  </si>
  <si>
    <t>ITM-0035</t>
  </si>
  <si>
    <t>ITM-0036</t>
  </si>
  <si>
    <t>ITM-0037</t>
  </si>
  <si>
    <t>ITM-0038</t>
  </si>
  <si>
    <t>ITM-0039</t>
  </si>
  <si>
    <t>ITM-0040</t>
  </si>
  <si>
    <t>ITM-0041</t>
  </si>
  <si>
    <t>ITM-0042</t>
  </si>
  <si>
    <t>ITM-0043</t>
  </si>
  <si>
    <t>ITM-0044</t>
  </si>
  <si>
    <t>ITM-0045</t>
  </si>
  <si>
    <t>ITM-0046</t>
  </si>
  <si>
    <t>ITM-0047</t>
  </si>
  <si>
    <t>ITM-0048</t>
  </si>
  <si>
    <t>ITM-0049</t>
  </si>
  <si>
    <t>ITM-0050</t>
  </si>
  <si>
    <t>ITM-0051</t>
  </si>
  <si>
    <t>ITM-0052</t>
  </si>
  <si>
    <t>ITM-0053</t>
  </si>
  <si>
    <t>ITM-0054</t>
  </si>
  <si>
    <t>ITM-0055</t>
  </si>
  <si>
    <t>ITM-0056</t>
  </si>
  <si>
    <t>ITM-0057</t>
  </si>
  <si>
    <t>ITM-0058</t>
  </si>
  <si>
    <t>ITM-0059</t>
  </si>
  <si>
    <t>ITM-0060</t>
  </si>
  <si>
    <t>ITM-0061</t>
  </si>
  <si>
    <t>ITM-0062</t>
  </si>
  <si>
    <t>ITM-0063</t>
  </si>
  <si>
    <t>ITM-0064</t>
  </si>
  <si>
    <t>ITM-0065</t>
  </si>
  <si>
    <t>ITM-0066</t>
  </si>
  <si>
    <t>ITM-0067</t>
  </si>
  <si>
    <t>ITM-0068</t>
  </si>
  <si>
    <t>ITM-0069</t>
  </si>
  <si>
    <t>ITM-0070</t>
  </si>
  <si>
    <t>ITM-0071</t>
  </si>
  <si>
    <t>ITM-0072</t>
  </si>
  <si>
    <t>ITM-0073</t>
  </si>
  <si>
    <t>ITM-0074</t>
  </si>
  <si>
    <t>ITM-0075</t>
  </si>
  <si>
    <t>ITM-0076</t>
  </si>
  <si>
    <t>ITM-0077</t>
  </si>
  <si>
    <t>ITM-0078</t>
  </si>
  <si>
    <t>ITM-0079</t>
  </si>
  <si>
    <t>ITM-0080</t>
  </si>
  <si>
    <t>ITM-0081</t>
  </si>
  <si>
    <t>ITM-0082</t>
  </si>
  <si>
    <t>ITM-0083</t>
  </si>
  <si>
    <t>ITM-0084</t>
  </si>
  <si>
    <t>ITM-0085</t>
  </si>
  <si>
    <t>ITM-0086</t>
  </si>
  <si>
    <t>ITM-0087</t>
  </si>
  <si>
    <t>ITM-0088</t>
  </si>
  <si>
    <t>ITM-0089</t>
  </si>
  <si>
    <t>ITM-0090</t>
  </si>
  <si>
    <t>ITM-0091</t>
  </si>
  <si>
    <t>ITM-0092</t>
  </si>
  <si>
    <t>ITM-0093</t>
  </si>
  <si>
    <t>ITM-0094</t>
  </si>
  <si>
    <t>ITM-0095</t>
  </si>
  <si>
    <t>ITM-0096</t>
  </si>
  <si>
    <t>ITM-0097</t>
  </si>
  <si>
    <t>ITM-0098</t>
  </si>
  <si>
    <t>ITM-0099</t>
  </si>
  <si>
    <t>ITM-0100</t>
  </si>
  <si>
    <t>ITM-0101</t>
  </si>
  <si>
    <t>ITM-0102</t>
  </si>
  <si>
    <t>ITM-0103</t>
  </si>
  <si>
    <t>ITM-0104</t>
  </si>
  <si>
    <t>ITM-0105</t>
  </si>
  <si>
    <t>ITM-0106</t>
  </si>
  <si>
    <t>ITM-0107</t>
  </si>
  <si>
    <t>ITM-0108</t>
  </si>
  <si>
    <t>ITM-0109</t>
  </si>
  <si>
    <t>ITM-0110</t>
  </si>
  <si>
    <t>ITM-0111</t>
  </si>
  <si>
    <t>ITM-0112</t>
  </si>
  <si>
    <t>ITM-0113</t>
  </si>
  <si>
    <t>ITM-0114</t>
  </si>
  <si>
    <t>ITM-0115</t>
  </si>
  <si>
    <t>ITM-0116</t>
  </si>
  <si>
    <t>ITM-0117</t>
  </si>
  <si>
    <t>ITM-0118</t>
  </si>
  <si>
    <t>ITM-0119</t>
  </si>
  <si>
    <t>ITM-0120</t>
  </si>
  <si>
    <t>ITM-0121</t>
  </si>
  <si>
    <t>ITM-0122</t>
  </si>
  <si>
    <t>ITM-0123</t>
  </si>
  <si>
    <t>ITM-0124</t>
  </si>
  <si>
    <t>ITM-0125</t>
  </si>
  <si>
    <t>ITM-0126</t>
  </si>
  <si>
    <t>ITM-0127</t>
  </si>
  <si>
    <t>ITM-0128</t>
  </si>
  <si>
    <t>ITM-0129</t>
  </si>
  <si>
    <t>ITM-0130</t>
  </si>
  <si>
    <t>ITM-0131</t>
  </si>
  <si>
    <t>ITM-0132</t>
  </si>
  <si>
    <t>ITM-0133</t>
  </si>
  <si>
    <t>ITM-0134</t>
  </si>
  <si>
    <t>ITM-0135</t>
  </si>
  <si>
    <t>ITM-0136</t>
  </si>
  <si>
    <t>ITM-0137</t>
  </si>
  <si>
    <t>ITM-0138</t>
  </si>
  <si>
    <t>ITM-0139</t>
  </si>
  <si>
    <t>ITM-0140</t>
  </si>
  <si>
    <t>ITM-0141</t>
  </si>
  <si>
    <t>ITM-0142</t>
  </si>
  <si>
    <t>ITM-0143</t>
  </si>
  <si>
    <t>ITM-0144</t>
  </si>
  <si>
    <t>ITM-0145</t>
  </si>
  <si>
    <t>ITM-0146</t>
  </si>
  <si>
    <t>ITM-0147</t>
  </si>
  <si>
    <t>ITM-0148</t>
  </si>
  <si>
    <t>ITM-0149</t>
  </si>
  <si>
    <t>ITM-0150</t>
  </si>
  <si>
    <t>ITM-0151</t>
  </si>
  <si>
    <t>ITM-0152</t>
  </si>
  <si>
    <t>ITM-0153</t>
  </si>
  <si>
    <t>ITM-0154</t>
  </si>
  <si>
    <t>ITM-0155</t>
  </si>
  <si>
    <t>ITM-0156</t>
  </si>
  <si>
    <t>ITM-0157</t>
  </si>
  <si>
    <t>ITM-0158</t>
  </si>
  <si>
    <t>ITM-0159</t>
  </si>
  <si>
    <t>ITM-0160</t>
  </si>
  <si>
    <t>ITM-0161</t>
  </si>
  <si>
    <t>ITM-0162</t>
  </si>
  <si>
    <t>ITM-0163</t>
  </si>
  <si>
    <t>ITM-0164</t>
  </si>
  <si>
    <t>ITM-0165</t>
  </si>
  <si>
    <t>ITM-0166</t>
  </si>
  <si>
    <t>ITM-0167</t>
  </si>
  <si>
    <t>ITM-0168</t>
  </si>
  <si>
    <t>ITM-0169</t>
  </si>
  <si>
    <t>ITM-0170</t>
  </si>
  <si>
    <t>ITM-0171</t>
  </si>
  <si>
    <t>ITM-0172</t>
  </si>
  <si>
    <t>ITM-0173</t>
  </si>
  <si>
    <t>ITM-0174</t>
  </si>
  <si>
    <t>ITM-0175</t>
  </si>
  <si>
    <t>ITM-0176</t>
  </si>
  <si>
    <t>ITM-0177</t>
  </si>
  <si>
    <t>ITM-0178</t>
  </si>
  <si>
    <t>ITM-0179</t>
  </si>
  <si>
    <t>ITM-0180</t>
  </si>
  <si>
    <t>ITM-0181</t>
  </si>
  <si>
    <t>ITM-0182</t>
  </si>
  <si>
    <t>ITM-0183</t>
  </si>
  <si>
    <t>ITM-0184</t>
  </si>
  <si>
    <t>ITM-0185</t>
  </si>
  <si>
    <t>ITM-0186</t>
  </si>
  <si>
    <t>ITM-0187</t>
  </si>
  <si>
    <t>ITM-0188</t>
  </si>
  <si>
    <t>ITM-0189</t>
  </si>
  <si>
    <t>ITM-0190</t>
  </si>
  <si>
    <t>ITM-0191</t>
  </si>
  <si>
    <t>ITM-0192</t>
  </si>
  <si>
    <t>ITM-0193</t>
  </si>
  <si>
    <t>ITM-0194</t>
  </si>
  <si>
    <t>ITM-0195</t>
  </si>
  <si>
    <t>ITM-0196</t>
  </si>
  <si>
    <t>ITM-0197</t>
  </si>
  <si>
    <t>ITM-0198</t>
  </si>
  <si>
    <t>ITM-0199</t>
  </si>
  <si>
    <t>ITM-0200</t>
  </si>
  <si>
    <t>ITM-0201</t>
  </si>
  <si>
    <t>ITM-0202</t>
  </si>
  <si>
    <t>ITM-0203</t>
  </si>
  <si>
    <t>ITM-0204</t>
  </si>
  <si>
    <t>ITM-0205</t>
  </si>
  <si>
    <t>ITM-0206</t>
  </si>
  <si>
    <t>ITM-0207</t>
  </si>
  <si>
    <t>ITM-0208</t>
  </si>
  <si>
    <t>ITM-0209</t>
  </si>
  <si>
    <t>ITM-0210</t>
  </si>
  <si>
    <t>ITM-0211</t>
  </si>
  <si>
    <t>ITM-0212</t>
  </si>
  <si>
    <t>ITM-0213</t>
  </si>
  <si>
    <t>ITM-0214</t>
  </si>
  <si>
    <t>ITM-0215</t>
  </si>
  <si>
    <t>ITM-0216</t>
  </si>
  <si>
    <t>ITM-0217</t>
  </si>
  <si>
    <t>ITM-0218</t>
  </si>
  <si>
    <t>ITM-0219</t>
  </si>
  <si>
    <t>ITM-0220</t>
  </si>
  <si>
    <t>ITM-0221</t>
  </si>
  <si>
    <t>ITM-0222</t>
  </si>
  <si>
    <t>ITM-0223</t>
  </si>
  <si>
    <t>ITM-0224</t>
  </si>
  <si>
    <t>ITM-0225</t>
  </si>
  <si>
    <t>ITM-0226</t>
  </si>
  <si>
    <t>ITM-0227</t>
  </si>
  <si>
    <t>ITM-0228</t>
  </si>
  <si>
    <t>ITM-0229</t>
  </si>
  <si>
    <t>ITM-0230</t>
  </si>
  <si>
    <t>ITM-0231</t>
  </si>
  <si>
    <t>ITM-0232</t>
  </si>
  <si>
    <t>ITM-0233</t>
  </si>
  <si>
    <t>ITM-0234</t>
  </si>
  <si>
    <t>ITM-0235</t>
  </si>
  <si>
    <t>ITM-0236</t>
  </si>
  <si>
    <t>ITM-0237</t>
  </si>
  <si>
    <t>ITM-0238</t>
  </si>
  <si>
    <t>ITM-0239</t>
  </si>
  <si>
    <t>ITM-0240</t>
  </si>
  <si>
    <t>ITM-0241</t>
  </si>
  <si>
    <t>ITM-0242</t>
  </si>
  <si>
    <t>ITM-0243</t>
  </si>
  <si>
    <t>ITM-0244</t>
  </si>
  <si>
    <t>ITM-0245</t>
  </si>
  <si>
    <t>ITM-0246</t>
  </si>
  <si>
    <t>ITM-0247</t>
  </si>
  <si>
    <t>ITM-0248</t>
  </si>
  <si>
    <t>ITM-0249</t>
  </si>
  <si>
    <t>ITM-0250</t>
  </si>
  <si>
    <t>ITM-0251</t>
  </si>
  <si>
    <t>ITM-0252</t>
  </si>
  <si>
    <t>ITM-0253</t>
  </si>
  <si>
    <t>ITM-0254</t>
  </si>
  <si>
    <t>ITM-0255</t>
  </si>
  <si>
    <t>ITM-0256</t>
  </si>
  <si>
    <t>ITM-0257</t>
  </si>
  <si>
    <t>ITM-0258</t>
  </si>
  <si>
    <t>ITM-0259</t>
  </si>
  <si>
    <t>ITM-0260</t>
  </si>
  <si>
    <t>ITM-0261</t>
  </si>
  <si>
    <t>ITM-0262</t>
  </si>
  <si>
    <t>ITM-0263</t>
  </si>
  <si>
    <t>ITM-0264</t>
  </si>
  <si>
    <t>ITM-0265</t>
  </si>
  <si>
    <t>ITM-0266</t>
  </si>
  <si>
    <t>ITM-0267</t>
  </si>
  <si>
    <t>ITM-0268</t>
  </si>
  <si>
    <t>ITM-0269</t>
  </si>
  <si>
    <t>ITM-0270</t>
  </si>
  <si>
    <t>ITM-0271</t>
  </si>
  <si>
    <t>ITM-0272</t>
  </si>
  <si>
    <t>ITM-0273</t>
  </si>
  <si>
    <t>ITM-0274</t>
  </si>
  <si>
    <t>ITM-0275</t>
  </si>
  <si>
    <t>ITM-0276</t>
  </si>
  <si>
    <t>ITM-0277</t>
  </si>
  <si>
    <t>ITM-0278</t>
  </si>
  <si>
    <t>ITM-0279</t>
  </si>
  <si>
    <t>ITM-0280</t>
  </si>
  <si>
    <t>ITM-0281</t>
  </si>
  <si>
    <t>ITM-0282</t>
  </si>
  <si>
    <t>ITM-0283</t>
  </si>
  <si>
    <t>ITM-0284</t>
  </si>
  <si>
    <t>ITM-0285</t>
  </si>
  <si>
    <t>ITM-0286</t>
  </si>
  <si>
    <t>ITM-0287</t>
  </si>
  <si>
    <t>ITM-0288</t>
  </si>
  <si>
    <t>ITM-0289</t>
  </si>
  <si>
    <t>ITM-0290</t>
  </si>
  <si>
    <t>ITM-0291</t>
  </si>
  <si>
    <t>ITM-0292</t>
  </si>
  <si>
    <t>ITM-0293</t>
  </si>
  <si>
    <t>ITM-0294</t>
  </si>
  <si>
    <t>ITM-0295</t>
  </si>
  <si>
    <t>ITM-0296</t>
  </si>
  <si>
    <t>ITM-0297</t>
  </si>
  <si>
    <t>ITM-0298</t>
  </si>
  <si>
    <t>ITM-0299</t>
  </si>
  <si>
    <t>ITM-0300</t>
  </si>
  <si>
    <t>ITM-0301</t>
  </si>
  <si>
    <t>ITM-0302</t>
  </si>
  <si>
    <t>ITM-0303</t>
  </si>
  <si>
    <t>ITM-0304</t>
  </si>
  <si>
    <t>ITM-0305</t>
  </si>
  <si>
    <t>ITM-0306</t>
  </si>
  <si>
    <t>ITM-0307</t>
  </si>
  <si>
    <t>ITM-0308</t>
  </si>
  <si>
    <t>ITM-0309</t>
  </si>
  <si>
    <t>ITM-0310</t>
  </si>
  <si>
    <t>ITM-0311</t>
  </si>
  <si>
    <t>ITM-0312</t>
  </si>
  <si>
    <t>ITM-0313</t>
  </si>
  <si>
    <t>ITM-0314</t>
  </si>
  <si>
    <t>ITM-0315</t>
  </si>
  <si>
    <t>ITM-0316</t>
  </si>
  <si>
    <t>ITM-0317</t>
  </si>
  <si>
    <t>ITM-0318</t>
  </si>
  <si>
    <t>ITM-0319</t>
  </si>
  <si>
    <t>ITM-0320</t>
  </si>
  <si>
    <t>ITM-0321</t>
  </si>
  <si>
    <t>ITM-0322</t>
  </si>
  <si>
    <t>ITM-0323</t>
  </si>
  <si>
    <t>ITM-0324</t>
  </si>
  <si>
    <t>ITM-0325</t>
  </si>
  <si>
    <t>ITM-0326</t>
  </si>
  <si>
    <t>ITM-0327</t>
  </si>
  <si>
    <t>ITM-0328</t>
  </si>
  <si>
    <t>ITM-0329</t>
  </si>
  <si>
    <t>ITM-0330</t>
  </si>
  <si>
    <t>ITM-0331</t>
  </si>
  <si>
    <t>ITM-0332</t>
  </si>
  <si>
    <t>ITM-0333</t>
  </si>
  <si>
    <t>ITM-0334</t>
  </si>
  <si>
    <t>ITM-0335</t>
  </si>
  <si>
    <t>ITM-0336</t>
  </si>
  <si>
    <t>ITM-0337</t>
  </si>
  <si>
    <t>ITM-0338</t>
  </si>
  <si>
    <t>ITM-0339</t>
  </si>
  <si>
    <t>ITM-0340</t>
  </si>
  <si>
    <t>ITM-0341</t>
  </si>
  <si>
    <t>ITM-0342</t>
  </si>
  <si>
    <t>ITM-0343</t>
  </si>
  <si>
    <t>ITM-0344</t>
  </si>
  <si>
    <t>ITM-0345</t>
  </si>
  <si>
    <t>ITM-0346</t>
  </si>
  <si>
    <t>ITM-0347</t>
  </si>
  <si>
    <t>ITM-0348</t>
  </si>
  <si>
    <t>ITM-0349</t>
  </si>
  <si>
    <t>ITM-0350</t>
  </si>
  <si>
    <t>ITM-0351</t>
  </si>
  <si>
    <t>ITM-0352</t>
  </si>
  <si>
    <t>ITM-0353</t>
  </si>
  <si>
    <t>ITM-0354</t>
  </si>
  <si>
    <t>ITM-0355</t>
  </si>
  <si>
    <t>ITM-0356</t>
  </si>
  <si>
    <t>ITM-0357</t>
  </si>
  <si>
    <t>ITM-0358</t>
  </si>
  <si>
    <t>ITM-0359</t>
  </si>
  <si>
    <t>ITM-0360</t>
  </si>
  <si>
    <t>ITM-0361</t>
  </si>
  <si>
    <t>ITM-0362</t>
  </si>
  <si>
    <t>ITM-0363</t>
  </si>
  <si>
    <t>ITM-0364</t>
  </si>
  <si>
    <t>ITM-0365</t>
  </si>
  <si>
    <t>ITM-0366</t>
  </si>
  <si>
    <t>ITM-0367</t>
  </si>
  <si>
    <t>ITM-0368</t>
  </si>
  <si>
    <t>ITM-0369</t>
  </si>
  <si>
    <t>ITM-0370</t>
  </si>
  <si>
    <t>ITM-0371</t>
  </si>
  <si>
    <t>ITM-0372</t>
  </si>
  <si>
    <t>ITM-0373</t>
  </si>
  <si>
    <t>ITM-0374</t>
  </si>
  <si>
    <t>ITM-0375</t>
  </si>
  <si>
    <t>ITM-0376</t>
  </si>
  <si>
    <t>ITM-0377</t>
  </si>
  <si>
    <t>ITM-0378</t>
  </si>
  <si>
    <t>ITM-0379</t>
  </si>
  <si>
    <t>ITM-0380</t>
  </si>
  <si>
    <t>ITM-0381</t>
  </si>
  <si>
    <t>ITM-0382</t>
  </si>
  <si>
    <t>ITM-0383</t>
  </si>
  <si>
    <t>ITM-0384</t>
  </si>
  <si>
    <t>ITM-0385</t>
  </si>
  <si>
    <t>ITM-0386</t>
  </si>
  <si>
    <t>ITM-0387</t>
  </si>
  <si>
    <t>ITM-0388</t>
  </si>
  <si>
    <t>ITM-0389</t>
  </si>
  <si>
    <t>ITM-0390</t>
  </si>
  <si>
    <t>ITM-0391</t>
  </si>
  <si>
    <t>ITM-0392</t>
  </si>
  <si>
    <t>ITM-0393</t>
  </si>
  <si>
    <t>ITM-0394</t>
  </si>
  <si>
    <t>ITM-0395</t>
  </si>
  <si>
    <t>ITM-0396</t>
  </si>
  <si>
    <t>ITM-0397</t>
  </si>
  <si>
    <t>ITM-0398</t>
  </si>
  <si>
    <t>ITM-0399</t>
  </si>
  <si>
    <t>ITM-0400</t>
  </si>
  <si>
    <t>ITM-0401</t>
  </si>
  <si>
    <t>ITM-0402</t>
  </si>
  <si>
    <t>ITM-0403</t>
  </si>
  <si>
    <t>ITM-0404</t>
  </si>
  <si>
    <t>ITM-0405</t>
  </si>
  <si>
    <t>ITM-0406</t>
  </si>
  <si>
    <t>ITM-0407</t>
  </si>
  <si>
    <t>ITM-0408</t>
  </si>
  <si>
    <t>ITM-0409</t>
  </si>
  <si>
    <t>ITM-0410</t>
  </si>
  <si>
    <t>ITM-0411</t>
  </si>
  <si>
    <t>ITM-0412</t>
  </si>
  <si>
    <t>ITM-0413</t>
  </si>
  <si>
    <t>ITM-0414</t>
  </si>
  <si>
    <t>ITM-0415</t>
  </si>
  <si>
    <t>ITM-0416</t>
  </si>
  <si>
    <t>ITM-0417</t>
  </si>
  <si>
    <t>ITM-0418</t>
  </si>
  <si>
    <t>ITM-0419</t>
  </si>
  <si>
    <t>ITM-0420</t>
  </si>
  <si>
    <t>ITM-0421</t>
  </si>
  <si>
    <t>ITM-0422</t>
  </si>
  <si>
    <t>ITM-0423</t>
  </si>
  <si>
    <t>ITM-0424</t>
  </si>
  <si>
    <t>ITM-0425</t>
  </si>
  <si>
    <t>ITM-0426</t>
  </si>
  <si>
    <t>ITM-0427</t>
  </si>
  <si>
    <t>ITM-0428</t>
  </si>
  <si>
    <t>ITM-0429</t>
  </si>
  <si>
    <t>ITM-0430</t>
  </si>
  <si>
    <t>ITM-0431</t>
  </si>
  <si>
    <t>ITM-0432</t>
  </si>
  <si>
    <t>ITM-0433</t>
  </si>
  <si>
    <t>ITM-0434</t>
  </si>
  <si>
    <t>ITM-0435</t>
  </si>
  <si>
    <t>ITM-0436</t>
  </si>
  <si>
    <t>ITM-0437</t>
  </si>
  <si>
    <t>ITM-0438</t>
  </si>
  <si>
    <t>ITM-0439</t>
  </si>
  <si>
    <t>ITM-0440</t>
  </si>
  <si>
    <t>ITM-0441</t>
  </si>
  <si>
    <t>ITM-0442</t>
  </si>
  <si>
    <t>ITM-0443</t>
  </si>
  <si>
    <t>ITM-0444</t>
  </si>
  <si>
    <t>ITM-0445</t>
  </si>
  <si>
    <t>ITM-0446</t>
  </si>
  <si>
    <t>ITM-0447</t>
  </si>
  <si>
    <t>ITM-0448</t>
  </si>
  <si>
    <t>ITM-0449</t>
  </si>
  <si>
    <t>ITM-0450</t>
  </si>
  <si>
    <t>ITM-0451</t>
  </si>
  <si>
    <t>ITM-0452</t>
  </si>
  <si>
    <t>ITM-0453</t>
  </si>
  <si>
    <t>ITM-0454</t>
  </si>
  <si>
    <t>ITM-0455</t>
  </si>
  <si>
    <t>ITM-0456</t>
  </si>
  <si>
    <t>ITM-0457</t>
  </si>
  <si>
    <t>ITM-0458</t>
  </si>
  <si>
    <t>ITM-0459</t>
  </si>
  <si>
    <t>ITM-0460</t>
  </si>
  <si>
    <t>ITM-0461</t>
  </si>
  <si>
    <t>ITM-0462</t>
  </si>
  <si>
    <t>ITM-0463</t>
  </si>
  <si>
    <t>ITM-0464</t>
  </si>
  <si>
    <t>ITM-0465</t>
  </si>
  <si>
    <t>ITM-0466</t>
  </si>
  <si>
    <t>ITM-0467</t>
  </si>
  <si>
    <t>ITM-0468</t>
  </si>
  <si>
    <t>ITM-0469</t>
  </si>
  <si>
    <t>ITM-0470</t>
  </si>
  <si>
    <t>ITM-0471</t>
  </si>
  <si>
    <t>ITM-0472</t>
  </si>
  <si>
    <t>ITM-0473</t>
  </si>
  <si>
    <t>ITM-0474</t>
  </si>
  <si>
    <t>ITM-0475</t>
  </si>
  <si>
    <t>ITM-0476</t>
  </si>
  <si>
    <t>ITM-0477</t>
  </si>
  <si>
    <t>ITM-0478</t>
  </si>
  <si>
    <t>ITM-0479</t>
  </si>
  <si>
    <t>ITM-0480</t>
  </si>
  <si>
    <t>ITM-0481</t>
  </si>
  <si>
    <t>ITM-0482</t>
  </si>
  <si>
    <t>ITM-0483</t>
  </si>
  <si>
    <t>ITM-0484</t>
  </si>
  <si>
    <t>ITM-0485</t>
  </si>
  <si>
    <t>ITM-0486</t>
  </si>
  <si>
    <t>ITM-0487</t>
  </si>
  <si>
    <t>ITM-0488</t>
  </si>
  <si>
    <t>ITM-0489</t>
  </si>
  <si>
    <t>ITM-0490</t>
  </si>
  <si>
    <t>ITM-0491</t>
  </si>
  <si>
    <t>ITM-0492</t>
  </si>
  <si>
    <t>ITM-0493</t>
  </si>
  <si>
    <t>ITM-0494</t>
  </si>
  <si>
    <t>ITM-0495</t>
  </si>
  <si>
    <t>ITM-0496</t>
  </si>
  <si>
    <t>ITM-0497</t>
  </si>
  <si>
    <t>ITM-0498</t>
  </si>
  <si>
    <t>ITM-0499</t>
  </si>
  <si>
    <t>服</t>
  </si>
  <si>
    <t>メイド</t>
  </si>
  <si>
    <t>在庫</t>
  </si>
  <si>
    <t>BT-0001</t>
    <phoneticPr fontId="3"/>
  </si>
  <si>
    <r>
      <rPr>
        <b/>
        <sz val="11"/>
        <color rgb="FFFFFFFF"/>
        <rFont val="ＭＳ ゴシック"/>
        <family val="3"/>
        <charset val="128"/>
      </rPr>
      <t>セット</t>
    </r>
    <r>
      <rPr>
        <b/>
        <sz val="11"/>
        <color rgb="FFFFFFFF"/>
        <rFont val="Calibri"/>
        <family val="2"/>
      </rPr>
      <t>ID</t>
    </r>
    <phoneticPr fontId="3"/>
  </si>
  <si>
    <r>
      <rPr>
        <b/>
        <sz val="11"/>
        <color rgb="FFFFFFFF"/>
        <rFont val="ＭＳ ゴシック"/>
        <family val="3"/>
        <charset val="128"/>
      </rPr>
      <t>服</t>
    </r>
    <r>
      <rPr>
        <b/>
        <sz val="11"/>
        <color rgb="FFFFFFFF"/>
        <rFont val="Calibri"/>
        <family val="2"/>
      </rPr>
      <t>ID(</t>
    </r>
    <r>
      <rPr>
        <b/>
        <sz val="11"/>
        <color rgb="FFFFFFFF"/>
        <rFont val="Yu Gothic"/>
        <family val="2"/>
        <charset val="128"/>
      </rPr>
      <t>関数表示</t>
    </r>
    <r>
      <rPr>
        <b/>
        <sz val="11"/>
        <color rgb="FFFFFFFF"/>
        <rFont val="Calibri"/>
        <family val="2"/>
      </rPr>
      <t>)</t>
    </r>
    <rPh sb="4" eb="6">
      <t>カンスウ</t>
    </rPh>
    <rPh sb="6" eb="8">
      <t>ヒョウジ</t>
    </rPh>
    <phoneticPr fontId="3"/>
  </si>
  <si>
    <r>
      <rPr>
        <b/>
        <sz val="11"/>
        <color rgb="FFFFFFFF"/>
        <rFont val="ＭＳ ゴシック"/>
        <family val="3"/>
        <charset val="128"/>
      </rPr>
      <t>小物2</t>
    </r>
    <r>
      <rPr>
        <b/>
        <sz val="11"/>
        <color rgb="FFFFFFFF"/>
        <rFont val="Calibri"/>
        <family val="2"/>
      </rPr>
      <t>ID</t>
    </r>
    <r>
      <rPr>
        <b/>
        <sz val="11"/>
        <color rgb="FFFFFFFF"/>
        <rFont val="Calibri"/>
        <family val="3"/>
      </rPr>
      <t>(</t>
    </r>
    <r>
      <rPr>
        <b/>
        <sz val="11"/>
        <color rgb="FFFFFFFF"/>
        <rFont val="Yu Gothic"/>
        <family val="3"/>
        <charset val="128"/>
      </rPr>
      <t>関数表示</t>
    </r>
    <r>
      <rPr>
        <b/>
        <sz val="11"/>
        <color rgb="FFFFFFFF"/>
        <rFont val="Calibri"/>
        <family val="3"/>
      </rPr>
      <t>)</t>
    </r>
    <phoneticPr fontId="3"/>
  </si>
  <si>
    <r>
      <rPr>
        <b/>
        <sz val="11"/>
        <color rgb="FFFFFFFF"/>
        <rFont val="ＭＳ ゴシック"/>
        <family val="3"/>
        <charset val="128"/>
      </rPr>
      <t>小物1</t>
    </r>
    <r>
      <rPr>
        <b/>
        <sz val="11"/>
        <color rgb="FFFFFFFF"/>
        <rFont val="Calibri"/>
        <family val="2"/>
      </rPr>
      <t>ID</t>
    </r>
    <r>
      <rPr>
        <b/>
        <sz val="11"/>
        <color rgb="FFFFFFFF"/>
        <rFont val="Calibri"/>
        <family val="3"/>
      </rPr>
      <t>(</t>
    </r>
    <r>
      <rPr>
        <b/>
        <sz val="11"/>
        <color rgb="FFFFFFFF"/>
        <rFont val="Yu Gothic"/>
        <family val="3"/>
        <charset val="128"/>
      </rPr>
      <t>関数表示</t>
    </r>
    <r>
      <rPr>
        <b/>
        <sz val="11"/>
        <color rgb="FFFFFFFF"/>
        <rFont val="ＭＳ ゴシック"/>
        <family val="3"/>
        <charset val="128"/>
      </rPr>
      <t>）</t>
    </r>
    <phoneticPr fontId="3"/>
  </si>
  <si>
    <t>承認者</t>
    <rPh sb="0" eb="3">
      <t>ショウニンシャ</t>
    </rPh>
    <phoneticPr fontId="3"/>
  </si>
  <si>
    <r>
      <rPr>
        <b/>
        <sz val="11"/>
        <color rgb="FFFFFFFF"/>
        <rFont val="ＭＳ ゴシック"/>
        <family val="3"/>
        <charset val="128"/>
      </rPr>
      <t>状態</t>
    </r>
    <r>
      <rPr>
        <b/>
        <sz val="11"/>
        <color rgb="FFFFFFFF"/>
        <rFont val="Calibri"/>
        <family val="2"/>
      </rPr>
      <t>(</t>
    </r>
    <r>
      <rPr>
        <b/>
        <sz val="11"/>
        <color rgb="FFFFFFFF"/>
        <rFont val="Yu Gothic"/>
        <family val="2"/>
        <charset val="128"/>
      </rPr>
      <t>関数</t>
    </r>
    <r>
      <rPr>
        <b/>
        <sz val="11"/>
        <color rgb="FFFFFFFF"/>
        <rFont val="Calibri"/>
        <family val="2"/>
      </rPr>
      <t>)</t>
    </r>
    <rPh sb="3" eb="5">
      <t>カンスウ</t>
    </rPh>
    <phoneticPr fontId="3"/>
  </si>
  <si>
    <r>
      <rPr>
        <b/>
        <sz val="11"/>
        <color rgb="FFFFFFFF"/>
        <rFont val="ＭＳ ゴシック"/>
        <family val="3"/>
        <charset val="128"/>
      </rPr>
      <t>ジャンル</t>
    </r>
    <r>
      <rPr>
        <b/>
        <sz val="11"/>
        <color rgb="FFFFFFFF"/>
        <rFont val="Calibri"/>
        <family val="2"/>
      </rPr>
      <t>(</t>
    </r>
    <r>
      <rPr>
        <b/>
        <sz val="11"/>
        <color rgb="FFFFFFFF"/>
        <rFont val="Yu Gothic"/>
        <family val="2"/>
        <charset val="128"/>
      </rPr>
      <t>関数</t>
    </r>
    <r>
      <rPr>
        <b/>
        <sz val="11"/>
        <color rgb="FFFFFFFF"/>
        <rFont val="Calibri"/>
        <family val="2"/>
      </rPr>
      <t>)</t>
    </r>
    <phoneticPr fontId="3"/>
  </si>
  <si>
    <t>貸出ID</t>
    <rPh sb="0" eb="2">
      <t>カシダシ</t>
    </rPh>
    <phoneticPr fontId="3"/>
  </si>
  <si>
    <t>セットID</t>
    <phoneticPr fontId="3"/>
  </si>
  <si>
    <t>貸出先</t>
    <rPh sb="0" eb="3">
      <t>カシダシサキ</t>
    </rPh>
    <phoneticPr fontId="3"/>
  </si>
  <si>
    <t>貸出日</t>
    <rPh sb="0" eb="3">
      <t>カシダシビ</t>
    </rPh>
    <phoneticPr fontId="3"/>
  </si>
  <si>
    <t>経過日数</t>
    <rPh sb="0" eb="4">
      <t>ケイカニッスウ</t>
    </rPh>
    <phoneticPr fontId="3"/>
  </si>
  <si>
    <t>承認者</t>
    <rPh sb="0" eb="3">
      <t>ショウニンシャ</t>
    </rPh>
    <phoneticPr fontId="3"/>
  </si>
  <si>
    <t>カテゴリ</t>
    <phoneticPr fontId="3"/>
  </si>
  <si>
    <t>写真ファイル名</t>
    <rPh sb="0" eb="2">
      <t>シャシン</t>
    </rPh>
    <rPh sb="6" eb="7">
      <t>メイ</t>
    </rPh>
    <phoneticPr fontId="3"/>
  </si>
  <si>
    <t>ITM-0001.jpg</t>
    <phoneticPr fontId="3"/>
  </si>
  <si>
    <t>ITM-0002.jpg</t>
  </si>
  <si>
    <t>ITM-0003.jpg</t>
  </si>
  <si>
    <t>ITM-0004.jpg</t>
  </si>
  <si>
    <t>ITM-0005.jpg</t>
  </si>
  <si>
    <t>ITM-0006.jpg</t>
  </si>
  <si>
    <t>ITM-0007.jpg</t>
  </si>
  <si>
    <t>ITM-0008.jpg</t>
  </si>
  <si>
    <t>ITM-0009.jpg</t>
  </si>
  <si>
    <t>ITM-0010.jpg</t>
  </si>
  <si>
    <t>ITM-0011.jpg</t>
  </si>
  <si>
    <t>ITM-0012.jpg</t>
  </si>
  <si>
    <t>長期貸出</t>
    <rPh sb="0" eb="2">
      <t>チョウキ</t>
    </rPh>
    <rPh sb="2" eb="4">
      <t>カシダシ</t>
    </rPh>
    <phoneticPr fontId="3"/>
  </si>
  <si>
    <t>状態矛盾</t>
    <rPh sb="0" eb="4">
      <t>ジョウタイムジュン</t>
    </rPh>
    <phoneticPr fontId="3"/>
  </si>
  <si>
    <t>補助列</t>
    <rPh sb="0" eb="3">
      <t>ホジョレツ</t>
    </rPh>
    <phoneticPr fontId="3"/>
  </si>
  <si>
    <t>補助列2</t>
    <rPh sb="0" eb="3">
      <t>ホジョレツ</t>
    </rPh>
    <phoneticPr fontId="3"/>
  </si>
  <si>
    <t>補助列3</t>
    <phoneticPr fontId="3"/>
  </si>
  <si>
    <t>補助列4</t>
    <phoneticPr fontId="3"/>
  </si>
  <si>
    <t>補助列5</t>
    <phoneticPr fontId="3"/>
  </si>
  <si>
    <r>
      <rPr>
        <b/>
        <sz val="18"/>
        <color theme="1"/>
        <rFont val="Calibri"/>
        <family val="3"/>
        <charset val="128"/>
        <scheme val="minor"/>
      </rPr>
      <t>存在しないセット</t>
    </r>
  </si>
  <si>
    <r>
      <rPr>
        <b/>
        <sz val="18"/>
        <color theme="1"/>
        <rFont val="Calibri"/>
        <family val="3"/>
        <charset val="128"/>
        <scheme val="minor"/>
      </rPr>
      <t>セット重複</t>
    </r>
  </si>
  <si>
    <r>
      <rPr>
        <b/>
        <sz val="18"/>
        <color theme="1"/>
        <rFont val="Calibri"/>
        <family val="3"/>
        <charset val="128"/>
        <scheme val="minor"/>
      </rPr>
      <t>廃棄貸出</t>
    </r>
  </si>
  <si>
    <t>BT-0002</t>
  </si>
  <si>
    <t>BT-0003</t>
  </si>
  <si>
    <t>BT-0004</t>
  </si>
  <si>
    <t>BT-0005</t>
  </si>
  <si>
    <t>BT-0006</t>
  </si>
  <si>
    <t>BT-0007</t>
  </si>
  <si>
    <t>BT-0008</t>
  </si>
  <si>
    <t>BT-0009</t>
  </si>
  <si>
    <t>BT-0010</t>
  </si>
  <si>
    <t>BT-0011</t>
  </si>
  <si>
    <t>BT-0012</t>
  </si>
  <si>
    <t>BT-0013</t>
  </si>
  <si>
    <t>BT-0014</t>
  </si>
  <si>
    <t>BT-0015</t>
  </si>
  <si>
    <t>BT-0016</t>
  </si>
  <si>
    <t>BT-0017</t>
  </si>
  <si>
    <t>BT-0018</t>
  </si>
  <si>
    <t>BT-0019</t>
  </si>
  <si>
    <t>BT-0020</t>
  </si>
  <si>
    <t>BT-0021</t>
  </si>
  <si>
    <t>BT-0022</t>
  </si>
  <si>
    <t>BT-0023</t>
  </si>
  <si>
    <t>BT-0024</t>
  </si>
  <si>
    <t>BT-0025</t>
  </si>
  <si>
    <t>BT-0026</t>
  </si>
  <si>
    <t>BT-0027</t>
  </si>
  <si>
    <t>BT-0028</t>
  </si>
  <si>
    <t>BT-0029</t>
  </si>
  <si>
    <t>BT-0030</t>
  </si>
  <si>
    <t>BT-0031</t>
  </si>
  <si>
    <t>BT-0032</t>
  </si>
  <si>
    <t>BT-0033</t>
  </si>
  <si>
    <t>BT-0034</t>
  </si>
  <si>
    <t>BT-0035</t>
  </si>
  <si>
    <t>BT-0036</t>
  </si>
  <si>
    <t>BT-0037</t>
  </si>
  <si>
    <t>BT-0038</t>
  </si>
  <si>
    <t>BT-0039</t>
  </si>
  <si>
    <t>BT-0040</t>
  </si>
  <si>
    <t>BT-0041</t>
  </si>
  <si>
    <t>BT-0042</t>
  </si>
  <si>
    <t>BT-0043</t>
  </si>
  <si>
    <t>BT-0044</t>
  </si>
  <si>
    <t>BT-0045</t>
  </si>
  <si>
    <t>BT-0046</t>
  </si>
  <si>
    <t>BT-0047</t>
  </si>
  <si>
    <t>BT-0048</t>
  </si>
  <si>
    <t>BT-0049</t>
  </si>
  <si>
    <t>BT-0050</t>
  </si>
  <si>
    <t>BT-0051</t>
  </si>
  <si>
    <t>BT-0052</t>
  </si>
  <si>
    <t>BT-0053</t>
  </si>
  <si>
    <t>BT-0054</t>
  </si>
  <si>
    <t>BT-0055</t>
  </si>
  <si>
    <t>BT-0056</t>
  </si>
  <si>
    <t>BT-0057</t>
  </si>
  <si>
    <t>BT-0058</t>
  </si>
  <si>
    <t>BT-0059</t>
  </si>
  <si>
    <t>BT-0060</t>
  </si>
  <si>
    <t>BT-0061</t>
  </si>
  <si>
    <t>BT-0062</t>
  </si>
  <si>
    <t>BT-0063</t>
  </si>
  <si>
    <t>BT-0064</t>
  </si>
  <si>
    <t>BT-0065</t>
  </si>
  <si>
    <t>BT-0066</t>
  </si>
  <si>
    <t>BT-0067</t>
  </si>
  <si>
    <t>BT-0068</t>
  </si>
  <si>
    <t>BT-0069</t>
  </si>
  <si>
    <t>BT-0070</t>
  </si>
  <si>
    <t>BT-0071</t>
  </si>
  <si>
    <t>BT-0072</t>
  </si>
  <si>
    <t>BT-0073</t>
  </si>
  <si>
    <t>BT-0074</t>
  </si>
  <si>
    <t>BT-0075</t>
  </si>
  <si>
    <t>BT-0076</t>
  </si>
  <si>
    <t>BT-0077</t>
  </si>
  <si>
    <t>BT-0078</t>
  </si>
  <si>
    <t>BT-0079</t>
  </si>
  <si>
    <t>BT-0080</t>
  </si>
  <si>
    <t>BT-0081</t>
  </si>
  <si>
    <t>BT-0082</t>
  </si>
  <si>
    <t>BT-0083</t>
  </si>
  <si>
    <t>BT-0084</t>
  </si>
  <si>
    <t>BT-0085</t>
  </si>
  <si>
    <t>BT-0086</t>
  </si>
  <si>
    <t>BT-0087</t>
  </si>
  <si>
    <t>BT-0088</t>
  </si>
  <si>
    <t>BT-0089</t>
  </si>
  <si>
    <t>BT-0090</t>
  </si>
  <si>
    <t>BT-0091</t>
  </si>
  <si>
    <t>BT-0092</t>
  </si>
  <si>
    <t>BT-0093</t>
  </si>
  <si>
    <t>BT-0094</t>
  </si>
  <si>
    <t>BT-0095</t>
  </si>
  <si>
    <t>BT-0096</t>
  </si>
  <si>
    <t>BT-0097</t>
  </si>
  <si>
    <t>BT-0098</t>
  </si>
  <si>
    <t>BT-0099</t>
  </si>
  <si>
    <t>BT-0100</t>
  </si>
  <si>
    <t>BT-0101</t>
  </si>
  <si>
    <t>BT-0102</t>
  </si>
  <si>
    <t>BT-0103</t>
  </si>
  <si>
    <t>BT-0104</t>
  </si>
  <si>
    <t>BT-0105</t>
  </si>
  <si>
    <t>BT-0106</t>
  </si>
  <si>
    <t>BT-0107</t>
  </si>
  <si>
    <t>BT-0108</t>
  </si>
  <si>
    <t>BT-0109</t>
  </si>
  <si>
    <t>BT-0110</t>
  </si>
  <si>
    <t>BT-0111</t>
  </si>
  <si>
    <t>BT-0112</t>
  </si>
  <si>
    <t>BT-0113</t>
  </si>
  <si>
    <t>BT-0114</t>
  </si>
  <si>
    <t>BT-0115</t>
  </si>
  <si>
    <t>BT-0116</t>
  </si>
  <si>
    <t>BT-0117</t>
  </si>
  <si>
    <t>BT-0118</t>
  </si>
  <si>
    <t>BT-0119</t>
  </si>
  <si>
    <t>BT-0120</t>
  </si>
  <si>
    <t>BT-0121</t>
  </si>
  <si>
    <t>BT-0122</t>
  </si>
  <si>
    <t>BT-0123</t>
  </si>
  <si>
    <t>BT-0124</t>
  </si>
  <si>
    <t>BT-0125</t>
  </si>
  <si>
    <t>BT-0126</t>
  </si>
  <si>
    <t>BT-0127</t>
  </si>
  <si>
    <t>BT-0128</t>
  </si>
  <si>
    <t>BT-0129</t>
  </si>
  <si>
    <t>BT-0130</t>
  </si>
  <si>
    <t>BT-0131</t>
  </si>
  <si>
    <t>BT-0132</t>
  </si>
  <si>
    <t>BT-0133</t>
  </si>
  <si>
    <t>BT-0134</t>
  </si>
  <si>
    <t>BT-0135</t>
  </si>
  <si>
    <t>BT-0136</t>
  </si>
  <si>
    <t>BT-0137</t>
  </si>
  <si>
    <t>BT-0138</t>
  </si>
  <si>
    <t>BT-0139</t>
  </si>
  <si>
    <t>BT-0140</t>
  </si>
  <si>
    <t>BT-0141</t>
  </si>
  <si>
    <t>BT-0142</t>
  </si>
  <si>
    <t>BT-0143</t>
  </si>
  <si>
    <t>BT-0144</t>
  </si>
  <si>
    <t>BT-0145</t>
  </si>
  <si>
    <t>BT-0146</t>
  </si>
  <si>
    <t>BT-0147</t>
  </si>
  <si>
    <t>BT-0148</t>
  </si>
  <si>
    <t>BT-0149</t>
  </si>
  <si>
    <t>BT-0150</t>
  </si>
  <si>
    <t>BT-0151</t>
  </si>
  <si>
    <t>BT-0152</t>
  </si>
  <si>
    <t>BT-0153</t>
  </si>
  <si>
    <t>BT-0154</t>
  </si>
  <si>
    <t>BT-0155</t>
  </si>
  <si>
    <t>BT-0156</t>
  </si>
  <si>
    <t>BT-0157</t>
  </si>
  <si>
    <t>BT-0158</t>
  </si>
  <si>
    <t>BT-0159</t>
  </si>
  <si>
    <t>BT-0160</t>
  </si>
  <si>
    <t>BT-0161</t>
  </si>
  <si>
    <t>BT-0162</t>
  </si>
  <si>
    <t>BT-0163</t>
  </si>
  <si>
    <t>BT-0164</t>
  </si>
  <si>
    <t>BT-0165</t>
  </si>
  <si>
    <t>BT-0166</t>
  </si>
  <si>
    <t>BT-0167</t>
  </si>
  <si>
    <t>BT-0168</t>
  </si>
  <si>
    <t>BT-0169</t>
  </si>
  <si>
    <t>BT-0170</t>
  </si>
  <si>
    <t>BT-0171</t>
  </si>
  <si>
    <t>BT-0172</t>
  </si>
  <si>
    <t>BT-0173</t>
  </si>
  <si>
    <t>BT-0174</t>
  </si>
  <si>
    <t>BT-0175</t>
  </si>
  <si>
    <t>BT-0176</t>
  </si>
  <si>
    <t>BT-0177</t>
  </si>
  <si>
    <t>BT-0178</t>
  </si>
  <si>
    <t>BT-0179</t>
  </si>
  <si>
    <t>BT-0180</t>
  </si>
  <si>
    <t>BT-0181</t>
  </si>
  <si>
    <t>BT-0182</t>
  </si>
  <si>
    <t>BT-0183</t>
  </si>
  <si>
    <t>BT-0184</t>
  </si>
  <si>
    <t>BT-0185</t>
  </si>
  <si>
    <t>BT-0186</t>
  </si>
  <si>
    <t>BT-0187</t>
  </si>
  <si>
    <t>BT-0188</t>
  </si>
  <si>
    <t>BT-0189</t>
  </si>
  <si>
    <t>BT-0190</t>
  </si>
  <si>
    <t>BT-0191</t>
  </si>
  <si>
    <t>BT-0192</t>
  </si>
  <si>
    <t>BT-0193</t>
  </si>
  <si>
    <t>BT-0194</t>
  </si>
  <si>
    <t>BT-0195</t>
  </si>
  <si>
    <t>BT-0196</t>
  </si>
  <si>
    <t>BT-0197</t>
  </si>
  <si>
    <t>BT-0198</t>
  </si>
  <si>
    <t>BT-0199</t>
  </si>
  <si>
    <t>BT-0200</t>
  </si>
  <si>
    <t>BT-0201</t>
  </si>
  <si>
    <t>BT-0202</t>
  </si>
  <si>
    <t>BT-0203</t>
  </si>
  <si>
    <t>BT-0204</t>
  </si>
  <si>
    <t>BT-0205</t>
  </si>
  <si>
    <t>BT-0206</t>
  </si>
  <si>
    <t>BT-0207</t>
  </si>
  <si>
    <t>BT-0208</t>
  </si>
  <si>
    <t>BT-0209</t>
  </si>
  <si>
    <t>BT-0210</t>
  </si>
  <si>
    <t>BT-0211</t>
  </si>
  <si>
    <t>BT-0212</t>
  </si>
  <si>
    <t>BT-0213</t>
  </si>
  <si>
    <t>BT-0214</t>
  </si>
  <si>
    <t>BT-0215</t>
  </si>
  <si>
    <t>BT-0216</t>
  </si>
  <si>
    <t>BT-0217</t>
  </si>
  <si>
    <t>BT-0218</t>
  </si>
  <si>
    <t>BT-0219</t>
  </si>
  <si>
    <t>BT-0220</t>
  </si>
  <si>
    <t>BT-0221</t>
  </si>
  <si>
    <t>BT-0222</t>
  </si>
  <si>
    <t>BT-0223</t>
  </si>
  <si>
    <t>BT-0224</t>
  </si>
  <si>
    <t>BT-0225</t>
  </si>
  <si>
    <t>BT-0226</t>
  </si>
  <si>
    <t>BT-0227</t>
  </si>
  <si>
    <t>BT-0228</t>
  </si>
  <si>
    <t>BT-0229</t>
  </si>
  <si>
    <t>BT-0230</t>
  </si>
  <si>
    <t>BT-0231</t>
  </si>
  <si>
    <t>BT-0232</t>
  </si>
  <si>
    <t>BT-0233</t>
  </si>
  <si>
    <t>BT-0234</t>
  </si>
  <si>
    <t>BT-0235</t>
  </si>
  <si>
    <t>BT-0236</t>
  </si>
  <si>
    <t>BT-0237</t>
  </si>
  <si>
    <t>BT-0238</t>
  </si>
  <si>
    <t>BT-0239</t>
  </si>
  <si>
    <t>BT-0240</t>
  </si>
  <si>
    <t>BT-0241</t>
  </si>
  <si>
    <t>BT-0242</t>
  </si>
  <si>
    <t>BT-0243</t>
  </si>
  <si>
    <t>BT-0244</t>
  </si>
  <si>
    <t>BT-0245</t>
  </si>
  <si>
    <t>BT-0246</t>
  </si>
  <si>
    <t>BT-0247</t>
  </si>
  <si>
    <t>BT-0248</t>
  </si>
  <si>
    <t>BT-0249</t>
  </si>
  <si>
    <t>BT-0250</t>
  </si>
  <si>
    <t>BT-0251</t>
  </si>
  <si>
    <t>BT-0252</t>
  </si>
  <si>
    <t>BT-0253</t>
  </si>
  <si>
    <t>BT-0254</t>
  </si>
  <si>
    <t>BT-0255</t>
  </si>
  <si>
    <t>BT-0256</t>
  </si>
  <si>
    <t>BT-0257</t>
  </si>
  <si>
    <t>BT-0258</t>
  </si>
  <si>
    <t>BT-0259</t>
  </si>
  <si>
    <t>BT-0260</t>
  </si>
  <si>
    <t>BT-0261</t>
  </si>
  <si>
    <t>BT-0262</t>
  </si>
  <si>
    <t>BT-0263</t>
  </si>
  <si>
    <t>BT-0264</t>
  </si>
  <si>
    <t>BT-0265</t>
  </si>
  <si>
    <t>BT-0266</t>
  </si>
  <si>
    <t>BT-0267</t>
  </si>
  <si>
    <t>BT-0268</t>
  </si>
  <si>
    <t>BT-0269</t>
  </si>
  <si>
    <t>BT-0270</t>
  </si>
  <si>
    <t>BT-0271</t>
  </si>
  <si>
    <t>BT-0272</t>
  </si>
  <si>
    <t>BT-0273</t>
  </si>
  <si>
    <t>BT-0274</t>
  </si>
  <si>
    <t>BT-0275</t>
  </si>
  <si>
    <t>BT-0276</t>
  </si>
  <si>
    <t>BT-0277</t>
  </si>
  <si>
    <t>BT-0278</t>
  </si>
  <si>
    <t>BT-0279</t>
  </si>
  <si>
    <t>BT-0280</t>
  </si>
  <si>
    <t>BT-0281</t>
  </si>
  <si>
    <t>BT-0282</t>
  </si>
  <si>
    <t>BT-0283</t>
  </si>
  <si>
    <t>BT-0284</t>
  </si>
  <si>
    <t>BT-0285</t>
  </si>
  <si>
    <t>BT-0286</t>
  </si>
  <si>
    <t>BT-0287</t>
  </si>
  <si>
    <t>BT-0288</t>
  </si>
  <si>
    <t>BT-0289</t>
  </si>
  <si>
    <t>BT-0290</t>
  </si>
  <si>
    <t>BT-0291</t>
  </si>
  <si>
    <t>BT-0292</t>
  </si>
  <si>
    <t>BT-0293</t>
  </si>
  <si>
    <t>BT-0294</t>
  </si>
  <si>
    <t>BT-0295</t>
  </si>
  <si>
    <t>BT-0296</t>
  </si>
  <si>
    <t>BT-0297</t>
  </si>
  <si>
    <t>BT-0298</t>
  </si>
  <si>
    <t>BT-0299</t>
  </si>
  <si>
    <t>BT-0300</t>
  </si>
  <si>
    <t>BT-0301</t>
  </si>
  <si>
    <t>BT-0302</t>
  </si>
  <si>
    <t>BT-0303</t>
  </si>
  <si>
    <t>BT-0304</t>
  </si>
  <si>
    <t>BT-0305</t>
  </si>
  <si>
    <t>BT-0306</t>
  </si>
  <si>
    <t>BT-0307</t>
  </si>
  <si>
    <t>BT-0308</t>
  </si>
  <si>
    <t>BT-0309</t>
  </si>
  <si>
    <t>BT-0310</t>
  </si>
  <si>
    <t>BT-0311</t>
  </si>
  <si>
    <t>BT-0312</t>
  </si>
  <si>
    <t>BT-0313</t>
  </si>
  <si>
    <t>BT-0314</t>
  </si>
  <si>
    <t>BT-0315</t>
  </si>
  <si>
    <t>BT-0316</t>
  </si>
  <si>
    <t>BT-0317</t>
  </si>
  <si>
    <t>BT-0318</t>
  </si>
  <si>
    <t>BT-0319</t>
  </si>
  <si>
    <t>BT-0320</t>
  </si>
  <si>
    <t>BT-0321</t>
  </si>
  <si>
    <t>BT-0322</t>
  </si>
  <si>
    <t>BT-0323</t>
  </si>
  <si>
    <t>BT-0324</t>
  </si>
  <si>
    <t>BT-0325</t>
  </si>
  <si>
    <t>BT-0326</t>
  </si>
  <si>
    <t>BT-0327</t>
  </si>
  <si>
    <t>BT-0328</t>
  </si>
  <si>
    <t>BT-0329</t>
  </si>
  <si>
    <t>BT-0330</t>
  </si>
  <si>
    <t>BT-0331</t>
  </si>
  <si>
    <t>BT-0332</t>
  </si>
  <si>
    <t>BT-0333</t>
  </si>
  <si>
    <t>BT-0334</t>
  </si>
  <si>
    <t>BT-0335</t>
  </si>
  <si>
    <t>BT-0336</t>
  </si>
  <si>
    <t>BT-0337</t>
  </si>
  <si>
    <t>BT-0338</t>
  </si>
  <si>
    <t>BT-0339</t>
  </si>
  <si>
    <t>BT-0340</t>
  </si>
  <si>
    <t>BT-0341</t>
  </si>
  <si>
    <t>BT-0342</t>
  </si>
  <si>
    <t>BT-0343</t>
  </si>
  <si>
    <t>BT-0344</t>
  </si>
  <si>
    <t>BT-0345</t>
  </si>
  <si>
    <t>BT-0346</t>
  </si>
  <si>
    <t>BT-0347</t>
  </si>
  <si>
    <t>BT-0348</t>
  </si>
  <si>
    <t>BT-0349</t>
  </si>
  <si>
    <t>BT-0350</t>
  </si>
  <si>
    <t>BT-0351</t>
  </si>
  <si>
    <t>BT-0352</t>
  </si>
  <si>
    <t>BT-0353</t>
  </si>
  <si>
    <t>BT-0354</t>
  </si>
  <si>
    <t>BT-0355</t>
  </si>
  <si>
    <t>BT-0356</t>
  </si>
  <si>
    <t>BT-0357</t>
  </si>
  <si>
    <t>BT-0358</t>
  </si>
  <si>
    <t>BT-0359</t>
  </si>
  <si>
    <t>BT-0360</t>
  </si>
  <si>
    <t>BT-0361</t>
  </si>
  <si>
    <t>BT-0362</t>
  </si>
  <si>
    <t>BT-0363</t>
  </si>
  <si>
    <t>BT-0364</t>
  </si>
  <si>
    <t>BT-0365</t>
  </si>
  <si>
    <t>BT-0366</t>
  </si>
  <si>
    <t>BT-0367</t>
  </si>
  <si>
    <t>BT-0368</t>
  </si>
  <si>
    <t>BT-0369</t>
  </si>
  <si>
    <t>BT-0370</t>
  </si>
  <si>
    <t>BT-0371</t>
  </si>
  <si>
    <t>BT-0372</t>
  </si>
  <si>
    <t>BT-0373</t>
  </si>
  <si>
    <t>BT-0374</t>
  </si>
  <si>
    <t>BT-0375</t>
  </si>
  <si>
    <t>BT-0376</t>
  </si>
  <si>
    <t>BT-0377</t>
  </si>
  <si>
    <t>BT-0378</t>
  </si>
  <si>
    <t>BT-0379</t>
  </si>
  <si>
    <t>BT-0380</t>
  </si>
  <si>
    <t>BT-0381</t>
  </si>
  <si>
    <t>BT-0382</t>
  </si>
  <si>
    <t>BT-0383</t>
  </si>
  <si>
    <t>BT-0384</t>
  </si>
  <si>
    <t>BT-0385</t>
  </si>
  <si>
    <t>BT-0386</t>
  </si>
  <si>
    <t>BT-0387</t>
  </si>
  <si>
    <t>BT-0388</t>
  </si>
  <si>
    <t>BT-0389</t>
  </si>
  <si>
    <t>BT-0390</t>
  </si>
  <si>
    <t>BT-0391</t>
  </si>
  <si>
    <t>BT-0392</t>
  </si>
  <si>
    <t>BT-0393</t>
  </si>
  <si>
    <t>BT-0394</t>
  </si>
  <si>
    <t>BT-0395</t>
  </si>
  <si>
    <t>BT-0396</t>
  </si>
  <si>
    <t>BT-0397</t>
  </si>
  <si>
    <t>BT-0398</t>
  </si>
  <si>
    <t>BT-0399</t>
  </si>
  <si>
    <t>BT-0400</t>
  </si>
  <si>
    <t>BT-0401</t>
  </si>
  <si>
    <t>BT-0402</t>
  </si>
  <si>
    <t>BT-0403</t>
  </si>
  <si>
    <t>BT-0404</t>
  </si>
  <si>
    <t>BT-0405</t>
  </si>
  <si>
    <t>BT-0406</t>
  </si>
  <si>
    <t>BT-0407</t>
  </si>
  <si>
    <t>BT-0408</t>
  </si>
  <si>
    <t>BT-0409</t>
  </si>
  <si>
    <t>BT-0410</t>
  </si>
  <si>
    <t>BT-0411</t>
  </si>
  <si>
    <t>BT-0412</t>
  </si>
  <si>
    <t>BT-0413</t>
  </si>
  <si>
    <t>BT-0414</t>
  </si>
  <si>
    <t>BT-0415</t>
  </si>
  <si>
    <t>BT-0416</t>
  </si>
  <si>
    <t>BT-0417</t>
  </si>
  <si>
    <t>BT-0418</t>
  </si>
  <si>
    <t>BT-0419</t>
  </si>
  <si>
    <t>BT-0420</t>
  </si>
  <si>
    <t>BT-0421</t>
  </si>
  <si>
    <t>BT-0422</t>
  </si>
  <si>
    <t>BT-0423</t>
  </si>
  <si>
    <t>BT-0424</t>
  </si>
  <si>
    <t>BT-0425</t>
  </si>
  <si>
    <t>BT-0426</t>
  </si>
  <si>
    <t>BT-0427</t>
  </si>
  <si>
    <t>BT-0428</t>
  </si>
  <si>
    <t>BT-0429</t>
  </si>
  <si>
    <t>BT-0430</t>
  </si>
  <si>
    <t>BT-0431</t>
  </si>
  <si>
    <t>BT-0432</t>
  </si>
  <si>
    <t>BT-0433</t>
  </si>
  <si>
    <t>BT-0434</t>
  </si>
  <si>
    <t>BT-0435</t>
  </si>
  <si>
    <t>BT-0436</t>
  </si>
  <si>
    <t>BT-0437</t>
  </si>
  <si>
    <t>BT-0438</t>
  </si>
  <si>
    <t>BT-0439</t>
  </si>
  <si>
    <t>BT-0440</t>
  </si>
  <si>
    <t>BT-0441</t>
  </si>
  <si>
    <t>BT-0442</t>
  </si>
  <si>
    <t>BT-0443</t>
  </si>
  <si>
    <t>BT-0444</t>
  </si>
  <si>
    <t>BT-0445</t>
  </si>
  <si>
    <t>BT-0446</t>
  </si>
  <si>
    <t>BT-0447</t>
  </si>
  <si>
    <t>BT-0448</t>
  </si>
  <si>
    <t>BT-0449</t>
  </si>
  <si>
    <t>BT-0450</t>
  </si>
  <si>
    <t>BT-0451</t>
  </si>
  <si>
    <t>BT-0452</t>
  </si>
  <si>
    <t>BT-0453</t>
  </si>
  <si>
    <t>BT-0454</t>
  </si>
  <si>
    <t>BT-0455</t>
  </si>
  <si>
    <t>BT-0456</t>
  </si>
  <si>
    <t>BT-0457</t>
  </si>
  <si>
    <t>BT-0458</t>
  </si>
  <si>
    <t>BT-0459</t>
  </si>
  <si>
    <t>BT-0460</t>
  </si>
  <si>
    <t>BT-0461</t>
  </si>
  <si>
    <t>BT-0462</t>
  </si>
  <si>
    <t>BT-0463</t>
  </si>
  <si>
    <t>BT-0464</t>
  </si>
  <si>
    <t>BT-0465</t>
  </si>
  <si>
    <t>BT-0466</t>
  </si>
  <si>
    <t>BT-0467</t>
  </si>
  <si>
    <t>BT-0468</t>
  </si>
  <si>
    <t>BT-0469</t>
  </si>
  <si>
    <t>BT-0470</t>
  </si>
  <si>
    <t>BT-0471</t>
  </si>
  <si>
    <t>BT-0472</t>
  </si>
  <si>
    <t>BT-0473</t>
  </si>
  <si>
    <t>BT-0474</t>
  </si>
  <si>
    <t>BT-0475</t>
  </si>
  <si>
    <t>BT-0476</t>
  </si>
  <si>
    <t>BT-0477</t>
  </si>
  <si>
    <t>BT-0478</t>
  </si>
  <si>
    <t>BT-0479</t>
  </si>
  <si>
    <t>BT-0480</t>
  </si>
  <si>
    <t>BT-0481</t>
  </si>
  <si>
    <t>BT-0482</t>
  </si>
  <si>
    <t>BT-0483</t>
  </si>
  <si>
    <t>BT-0484</t>
  </si>
  <si>
    <t>BT-0485</t>
  </si>
  <si>
    <t>BT-0486</t>
  </si>
  <si>
    <t>BT-0487</t>
  </si>
  <si>
    <t>BT-0488</t>
  </si>
  <si>
    <t>BT-0489</t>
  </si>
  <si>
    <t>BT-0490</t>
  </si>
  <si>
    <t>BT-0491</t>
  </si>
  <si>
    <t>BT-0492</t>
  </si>
  <si>
    <t>BT-0493</t>
  </si>
  <si>
    <t>BT-0494</t>
  </si>
  <si>
    <t>BT-0495</t>
  </si>
  <si>
    <t>BT-0496</t>
  </si>
  <si>
    <t>BT-0497</t>
  </si>
  <si>
    <t>BT-0498</t>
  </si>
  <si>
    <t>BT-0499</t>
  </si>
  <si>
    <t>■ 概要</t>
  </si>
  <si>
    <t>個体単位の衣装管理から、セット構成、貸出状況、履歴確認までを一つのファイルで管理できます。</t>
  </si>
  <si>
    <t>衣装が数百点ある場合でも、IDによる管理と自動参照によって整理された状態を保てる構造になっています。</t>
  </si>
  <si>
    <t>主な目的</t>
  </si>
  <si>
    <t>・衣装の個体管理</t>
  </si>
  <si>
    <t>・衣装セットの管理</t>
  </si>
  <si>
    <t>・貸出履歴の記録</t>
  </si>
  <si>
    <t>・現在貸出中の衣装確認</t>
  </si>
  <si>
    <t>・管理ミスのチェック</t>
  </si>
  <si>
    <t>■ シート構成</t>
  </si>
  <si>
    <t>① 個体台帳</t>
  </si>
  <si>
    <t>衣装や小物を個体単位で登録する台帳です。</t>
  </si>
  <si>
    <t>登録内容例</t>
  </si>
  <si>
    <t>・個体ID</t>
  </si>
  <si>
    <t>・種類（服 / 小物など）</t>
  </si>
  <si>
    <t>・カテゴリ</t>
  </si>
  <si>
    <t>・特徴</t>
  </si>
  <si>
    <t>・状態</t>
  </si>
  <si>
    <t>・保管場所</t>
  </si>
  <si>
    <t>・写真リンク</t>
  </si>
  <si>
    <t>このシートが衣装データの基礎になります。</t>
  </si>
  <si>
    <t>② セット台帳</t>
  </si>
  <si>
    <t>衣装セットを管理するシートです。</t>
  </si>
  <si>
    <t>登録内容</t>
  </si>
  <si>
    <t>・セットID</t>
  </si>
  <si>
    <t>・服</t>
  </si>
  <si>
    <t>・小物1</t>
  </si>
  <si>
    <t>・小物2</t>
  </si>
  <si>
    <t>ここで複数の個体を1つのセットとしてまとめます。</t>
  </si>
  <si>
    <t>③ 貸出履歴</t>
  </si>
  <si>
    <t>衣装の貸出記録を管理します。</t>
  </si>
  <si>
    <t>・貸出ID</t>
  </si>
  <si>
    <t>・貸出先</t>
  </si>
  <si>
    <t>・貸出日</t>
  </si>
  <si>
    <t>・返却日</t>
  </si>
  <si>
    <t>・承認者</t>
  </si>
  <si>
    <t>返却日が空欄の場合、その衣装は貸出中として扱われます。</t>
  </si>
  <si>
    <t>④ 現在貸出</t>
  </si>
  <si>
    <t>返却されていない貸出を自動抽出する一覧です。</t>
  </si>
  <si>
    <t>現在どの衣装が貸出中かを確認できます。</t>
  </si>
  <si>
    <t>⑤ エラーチェック</t>
  </si>
  <si>
    <t>管理ミスや入力ミスを検出するための確認シートです。</t>
  </si>
  <si>
    <t>例</t>
  </si>
  <si>
    <t>・返却日未入力</t>
  </si>
  <si>
    <t>・存在しないセット</t>
  </si>
  <si>
    <t>・長期貸出</t>
  </si>
  <si>
    <t>・状態矛盾</t>
  </si>
  <si>
    <t>■ 基本的な使い方</t>
  </si>
  <si>
    <t>1. 衣装を登録する</t>
  </si>
  <si>
    <t>個体台帳に衣装や小物を登録します。</t>
  </si>
  <si>
    <t>ITM-0001</t>
  </si>
  <si>
    <t>フリル付き</t>
  </si>
  <si>
    <t>2. セットを作成する</t>
  </si>
  <si>
    <t>セット台帳で衣装をセットとしてまとめます。</t>
  </si>
  <si>
    <t>服：ITM-0001</t>
  </si>
  <si>
    <t>小物1：ITM-0101</t>
  </si>
  <si>
    <t>小物2：ITM-0201</t>
  </si>
  <si>
    <t>3. 貸出を記録する</t>
  </si>
  <si>
    <t>貸出履歴に貸出情報を入力します。</t>
  </si>
  <si>
    <t>BT-0001</t>
  </si>
  <si>
    <r>
      <t xml:space="preserve">4. </t>
    </r>
    <r>
      <rPr>
        <sz val="11"/>
        <color theme="1"/>
        <rFont val="Calibri"/>
        <family val="3"/>
        <charset val="128"/>
        <scheme val="minor"/>
      </rPr>
      <t>返却処理</t>
    </r>
  </si>
  <si>
    <t>返却された場合は返却日に日付を入力します。</t>
  </si>
  <si>
    <t>5. 貸出状況確認</t>
  </si>
  <si>
    <t>現在貸出シートを確認すると、貸出中の衣装が一覧で確認できます。</t>
  </si>
  <si>
    <t>■ IDルール（推奨）</t>
  </si>
  <si>
    <r>
      <t>ID</t>
    </r>
    <r>
      <rPr>
        <sz val="11"/>
        <color theme="1"/>
        <rFont val="Calibri"/>
        <family val="3"/>
        <charset val="128"/>
        <scheme val="minor"/>
      </rPr>
      <t>は重複しないように管理してください。</t>
    </r>
  </si>
  <si>
    <t>■ 写真管理</t>
  </si>
  <si>
    <t>衣装写真はフォルダで管理します。</t>
  </si>
  <si>
    <t>衣装写真</t>
  </si>
  <si>
    <r>
      <t xml:space="preserve"> </t>
    </r>
    <r>
      <rPr>
        <sz val="11"/>
        <color theme="1"/>
        <rFont val="Calibri"/>
        <family val="3"/>
        <charset val="128"/>
        <scheme val="minor"/>
      </rPr>
      <t>└</t>
    </r>
    <r>
      <rPr>
        <sz val="11"/>
        <color theme="1"/>
        <rFont val="Calibri"/>
        <family val="2"/>
        <scheme val="minor"/>
      </rPr>
      <t xml:space="preserve"> </t>
    </r>
    <r>
      <rPr>
        <sz val="11"/>
        <color theme="1"/>
        <rFont val="Calibri"/>
        <family val="3"/>
        <charset val="128"/>
        <scheme val="minor"/>
      </rPr>
      <t>メイド</t>
    </r>
  </si>
  <si>
    <r>
      <t xml:space="preserve">     </t>
    </r>
    <r>
      <rPr>
        <sz val="11"/>
        <color theme="1"/>
        <rFont val="Calibri"/>
        <family val="3"/>
        <charset val="128"/>
        <scheme val="minor"/>
      </rPr>
      <t>└</t>
    </r>
    <r>
      <rPr>
        <sz val="11"/>
        <color theme="1"/>
        <rFont val="Calibri"/>
        <family val="2"/>
        <scheme val="minor"/>
      </rPr>
      <t xml:space="preserve"> ITM-0001.jpg</t>
    </r>
  </si>
  <si>
    <t>個体台帳のリンクから写真を確認できます。</t>
  </si>
  <si>
    <t>■ 運用ルール</t>
  </si>
  <si>
    <t>・個体台帳は削除せず状態変更で管理する</t>
  </si>
  <si>
    <t>・セットIDは変更しない</t>
  </si>
  <si>
    <t>・貸出履歴は削除しない</t>
  </si>
  <si>
    <t>・返却された場合は必ず返却日を入力する</t>
  </si>
  <si>
    <t>■ 注意事項</t>
  </si>
  <si>
    <t>このExcelは</t>
  </si>
  <si>
    <t>以下の操作は避けてください</t>
  </si>
  <si>
    <t>・IDの変更</t>
  </si>
  <si>
    <t>・列の削除</t>
  </si>
  <si>
    <t>・関数の削除</t>
  </si>
  <si>
    <t>・シート名の変更</t>
  </si>
  <si>
    <t>■ 想定規模</t>
  </si>
  <si>
    <t>衣装数</t>
  </si>
  <si>
    <r>
      <t>100</t>
    </r>
    <r>
      <rPr>
        <sz val="11"/>
        <color theme="1"/>
        <rFont val="Calibri"/>
        <family val="3"/>
        <charset val="128"/>
        <scheme val="minor"/>
      </rPr>
      <t>〜</t>
    </r>
    <r>
      <rPr>
        <sz val="11"/>
        <color theme="1"/>
        <rFont val="Calibri"/>
        <family val="2"/>
        <scheme val="minor"/>
      </rPr>
      <t>500</t>
    </r>
    <r>
      <rPr>
        <sz val="11"/>
        <color theme="1"/>
        <rFont val="Calibri"/>
        <family val="3"/>
        <charset val="128"/>
        <scheme val="minor"/>
      </rPr>
      <t>点程度</t>
    </r>
  </si>
  <si>
    <t>貸出履歴</t>
  </si>
  <si>
    <t>数千件まで運用可能</t>
  </si>
  <si>
    <t>■ このシステムの特徴</t>
  </si>
  <si>
    <t>・衣装個体管理</t>
  </si>
  <si>
    <t>・セット管理</t>
  </si>
  <si>
    <t>・貸出履歴管理</t>
  </si>
  <si>
    <t>・現在貸出の自動表示</t>
  </si>
  <si>
    <t>・エラーチェック機能</t>
  </si>
  <si>
    <r>
      <t>Excel</t>
    </r>
    <r>
      <rPr>
        <sz val="11"/>
        <color theme="1"/>
        <rFont val="Calibri"/>
        <family val="3"/>
        <charset val="128"/>
        <scheme val="minor"/>
      </rPr>
      <t>のみで衣装管理システムとして運用できる構造になっています。</t>
    </r>
  </si>
  <si>
    <t>■ 更新履歴</t>
  </si>
  <si>
    <t>初版作成</t>
  </si>
  <si>
    <t>M-001</t>
    <phoneticPr fontId="3"/>
  </si>
  <si>
    <r>
      <rPr>
        <sz val="11"/>
        <color theme="1"/>
        <rFont val="ＭＳ ゴシック"/>
        <family val="3"/>
        <charset val="128"/>
      </rPr>
      <t>このファイルは、衣装・小物・セット・貸出履歴を一括管理するための</t>
    </r>
    <r>
      <rPr>
        <sz val="11"/>
        <color theme="1"/>
        <rFont val="Calibri"/>
        <family val="2"/>
        <scheme val="minor"/>
      </rPr>
      <t>Excel</t>
    </r>
    <r>
      <rPr>
        <sz val="11"/>
        <color theme="1"/>
        <rFont val="ＭＳ ゴシック"/>
        <family val="3"/>
        <charset val="128"/>
      </rPr>
      <t>管理です。</t>
    </r>
    <phoneticPr fontId="3"/>
  </si>
  <si>
    <t>「入力ルールを守ることで正しく動作します」</t>
    <phoneticPr fontId="3"/>
  </si>
  <si>
    <r>
      <rPr>
        <sz val="11"/>
        <color theme="1"/>
        <rFont val="Calibri"/>
        <family val="2"/>
        <scheme val="minor"/>
      </rPr>
      <t>・セルの結合</t>
    </r>
    <rPh sb="4" eb="6">
      <t>ケツゴウ</t>
    </rPh>
    <phoneticPr fontId="3"/>
  </si>
  <si>
    <r>
      <rPr>
        <sz val="11"/>
        <color theme="1"/>
        <rFont val="ＭＳ ゴシック"/>
        <family val="3"/>
        <charset val="128"/>
      </rPr>
      <t>衣装管理</t>
    </r>
    <r>
      <rPr>
        <sz val="11"/>
        <color theme="1"/>
        <rFont val="Calibri"/>
        <family val="2"/>
        <scheme val="minor"/>
      </rPr>
      <t>Excel</t>
    </r>
    <phoneticPr fontId="3"/>
  </si>
  <si>
    <t>衣装管理システム（Excel）README</t>
    <phoneticPr fontId="3"/>
  </si>
  <si>
    <r>
      <t>Project-R</t>
    </r>
    <r>
      <rPr>
        <sz val="11"/>
        <color theme="1"/>
        <rFont val="Yu Gothic"/>
        <family val="3"/>
        <charset val="128"/>
      </rPr>
      <t>広島</t>
    </r>
    <rPh sb="9" eb="11">
      <t>ヒロシマ</t>
    </rPh>
    <phoneticPr fontId="3"/>
  </si>
  <si>
    <t>公開名</t>
    <rPh sb="0" eb="3">
      <t>コウカイメイ</t>
    </rPh>
    <phoneticPr fontId="3"/>
  </si>
  <si>
    <t>ミントブルーのメイド服</t>
    <rPh sb="10" eb="11">
      <t>フク</t>
    </rPh>
    <phoneticPr fontId="3"/>
  </si>
  <si>
    <t>ミントブルーのメイド服(装飾なし)</t>
    <rPh sb="10" eb="11">
      <t>フク</t>
    </rPh>
    <rPh sb="12" eb="14">
      <t>ソウショク</t>
    </rPh>
    <phoneticPr fontId="3"/>
  </si>
  <si>
    <t>ミントブルーのメイド服(エプロン付き)</t>
    <rPh sb="10" eb="11">
      <t>フク</t>
    </rPh>
    <rPh sb="16" eb="17">
      <t>ツ</t>
    </rPh>
    <phoneticPr fontId="3"/>
  </si>
  <si>
    <t>ラベンダー色のメイド服</t>
    <rPh sb="5" eb="6">
      <t>イロ</t>
    </rPh>
    <rPh sb="10" eb="11">
      <t>フク</t>
    </rPh>
    <phoneticPr fontId="3"/>
  </si>
  <si>
    <t>公開/非公開</t>
    <rPh sb="0" eb="2">
      <t>コウカイ</t>
    </rPh>
    <rPh sb="3" eb="6">
      <t>ヒコウカイ</t>
    </rPh>
    <phoneticPr fontId="3"/>
  </si>
  <si>
    <t>公開</t>
    <rPh sb="0" eb="2">
      <t>コウカイ</t>
    </rPh>
    <phoneticPr fontId="3"/>
  </si>
  <si>
    <t>SET-0001</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</si>
</sst>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23">
    <font>
      <sz val="11"/>
      <color theme="1"/>
      <name val="Calibri"/>
      <family val="2"/>
      <scheme val="minor"/>
    </font>
    <font>
      <b/>
      <sz val="11"/>
      <color rgb="FFFFFFFF"/>
      <name val="Calibri"/>
    </font>
    <font>
      <sz val="11"/>
      <color theme="1"/>
      <name val="Calibri"/>
      <family val="2"/>
      <scheme val="minor"/>
    </font>
    <font>
      <sz val="6"/>
      <name val="Calibri"/>
      <family val="3"/>
      <charset val="128"/>
      <scheme val="minor"/>
    </font>
    <font>
      <sz val="11"/>
      <color theme="1"/>
      <name val="Calibri"/>
      <family val="3"/>
      <charset val="128"/>
      <scheme val="minor"/>
    </font>
    <font>
      <sz val="11"/>
      <color theme="1"/>
      <name val="ＭＳ ゴシック"/>
      <family val="3"/>
      <charset val="128"/>
    </font>
    <font>
      <b/>
      <sz val="16"/>
      <name val="ＭＳ Ｐゴシック"/>
      <family val="3"/>
      <charset val="128"/>
    </font>
    <font>
      <b/>
      <sz val="11"/>
      <name val="ＭＳ Ｐゴシック"/>
      <family val="3"/>
      <charset val="128"/>
    </font>
    <font>
      <sz val="11"/>
      <color theme="1"/>
      <name val="ＭＳ Ｐゴシック"/>
      <family val="2"/>
      <charset val="128"/>
    </font>
    <font>
      <sz val="11"/>
      <color theme="1"/>
      <name val="Yu Gothic"/>
      <family val="2"/>
      <charset val="128"/>
    </font>
    <font>
      <sz val="11"/>
      <color theme="1"/>
      <name val="Yu Gothic"/>
      <family val="3"/>
      <charset val="128"/>
    </font>
    <font>
      <b/>
      <sz val="11"/>
      <color rgb="FFFFFFFF"/>
      <name val="Calibri"/>
      <family val="3"/>
      <charset val="128"/>
    </font>
    <font>
      <b/>
      <sz val="11"/>
      <color rgb="FFFFFFFF"/>
      <name val="Calibri"/>
      <family val="2"/>
    </font>
    <font>
      <b/>
      <sz val="11"/>
      <color rgb="FFFFFFFF"/>
      <name val="ＭＳ ゴシック"/>
      <family val="3"/>
      <charset val="128"/>
    </font>
    <font>
      <b/>
      <sz val="11"/>
      <color rgb="FFFFFFFF"/>
      <name val="Calibri"/>
      <family val="3"/>
    </font>
    <font>
      <b/>
      <sz val="11"/>
      <color rgb="FFFFFFFF"/>
      <name val="Yu Gothic"/>
      <family val="2"/>
      <charset val="128"/>
    </font>
    <font>
      <b/>
      <sz val="11"/>
      <color rgb="FFFFFFFF"/>
      <name val="Yu Gothic"/>
      <family val="3"/>
      <charset val="128"/>
    </font>
    <font>
      <b/>
      <sz val="12"/>
      <name val="ＭＳ ゴシック"/>
      <family val="3"/>
      <charset val="128"/>
    </font>
    <font>
      <sz val="12"/>
      <color theme="1"/>
      <name val="Calibri"/>
      <family val="2"/>
      <scheme val="minor"/>
    </font>
    <font>
      <sz val="12"/>
      <color theme="1"/>
      <name val="ＭＳ Ｐゴシック"/>
      <family val="2"/>
      <charset val="128"/>
    </font>
    <font>
      <b/>
      <sz val="18"/>
      <color theme="1"/>
      <name val="Calibri"/>
      <family val="2"/>
      <scheme val="minor"/>
    </font>
    <font>
      <b/>
      <sz val="18"/>
      <color theme="1"/>
      <name val="Calibri"/>
      <family val="3"/>
      <charset val="128"/>
      <scheme val="minor"/>
    </font>
    <font>
      <u/>
      <sz val="14"/>
      <color rgb="FF00B0F0"/>
      <name val="Calibri"/>
      <family val="2"/>
      <scheme val="minor"/>
    </font>
  </fonts>
  <fills count="3">
    <fill>
      <patternFill patternType="none"/>
    </fill>
    <fill>
      <patternFill patternType="gray125"/>
    </fill>
    <fill>
      <patternFill patternType="solid">
        <fgColor rgb="FF1F4E79"/>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37">
    <xf numFmtId="0" fontId="0" fillId="0" borderId="0" xfId="0"/>
    <xf numFmtId="0" fontId="1" fillId="2" borderId="1" xfId="1" applyFont="1" applyFill="1" applyBorder="1" applyAlignment="1">
      <alignment horizontal="center" vertical="center" wrapText="1"/>
    </xf>
    <xf numFmtId="0" fontId="0" fillId="0" borderId="0" xfId="0" applyAlignment="1">
      <alignment horizontal="center" vertical="center"/>
    </xf>
    <xf numFmtId="0" fontId="6" fillId="0" borderId="0" xfId="1" applyFont="1"/>
    <xf numFmtId="0" fontId="7" fillId="0" borderId="0" xfId="1" applyFont="1"/>
    <xf numFmtId="0" fontId="4" fillId="0" borderId="0" xfId="0" applyFont="1"/>
    <xf numFmtId="0" fontId="4" fillId="0" borderId="0" xfId="1" applyFont="1" applyAlignment="1">
      <alignment horizontal="left" vertical="top" wrapText="1"/>
    </xf>
    <xf numFmtId="0" fontId="5" fillId="0" borderId="0" xfId="0" applyFont="1"/>
    <xf numFmtId="0" fontId="8" fillId="0" borderId="0" xfId="0" applyFont="1"/>
    <xf numFmtId="0" fontId="11" fillId="2" borderId="1" xfId="1" applyFont="1" applyFill="1" applyBorder="1" applyAlignment="1">
      <alignment horizontal="center" vertical="center" wrapText="1"/>
    </xf>
    <xf numFmtId="0" fontId="4" fillId="0" borderId="0" xfId="0" applyFont="1" applyAlignment="1">
      <alignment horizontal="center" vertical="center" wrapText="1"/>
    </xf>
    <xf numFmtId="176" fontId="0" fillId="0" borderId="0" xfId="1" applyNumberFormat="1" applyFont="1"/>
    <xf numFmtId="176" fontId="0" fillId="0" borderId="0" xfId="0" applyNumberFormat="1"/>
    <xf numFmtId="176" fontId="1" fillId="2" borderId="1" xfId="1" applyNumberFormat="1" applyFont="1" applyFill="1" applyBorder="1" applyAlignment="1">
      <alignment horizontal="center" vertical="center" wrapText="1"/>
    </xf>
    <xf numFmtId="176" fontId="15" fillId="2" borderId="1" xfId="1" applyNumberFormat="1" applyFont="1" applyFill="1" applyBorder="1" applyAlignment="1">
      <alignment horizontal="center" vertical="center" wrapText="1"/>
    </xf>
    <xf numFmtId="0" fontId="8" fillId="0" borderId="0" xfId="1" applyFont="1"/>
    <xf numFmtId="0" fontId="0" fillId="0" borderId="0" xfId="1" applyFont="1"/>
    <xf numFmtId="0" fontId="15" fillId="2" borderId="1" xfId="1" applyFont="1" applyFill="1" applyBorder="1" applyAlignment="1">
      <alignment horizontal="center" vertical="center" wrapText="1"/>
    </xf>
    <xf numFmtId="0" fontId="18" fillId="0" borderId="2" xfId="0" applyFont="1" applyBorder="1"/>
    <xf numFmtId="0" fontId="0" fillId="0" borderId="0" xfId="0" applyAlignment="1">
      <alignment horizontal="center" vertical="center" wrapText="1"/>
    </xf>
    <xf numFmtId="0" fontId="9" fillId="0" borderId="0" xfId="0" applyFont="1"/>
    <xf numFmtId="0" fontId="18" fillId="0" borderId="0" xfId="0" applyFont="1"/>
    <xf numFmtId="0" fontId="20" fillId="0" borderId="0" xfId="0" applyFont="1"/>
    <xf numFmtId="14" fontId="0" fillId="0" borderId="0" xfId="0" applyNumberFormat="1" applyAlignment="1">
      <alignment horizontal="left"/>
    </xf>
    <xf numFmtId="0" fontId="22" fillId="0" borderId="0" xfId="0" applyFont="1" applyAlignment="1">
      <alignment horizontal="center" vertical="center"/>
    </xf>
    <xf numFmtId="0" fontId="22" fillId="0" borderId="0" xfId="0" applyFont="1"/>
    <xf numFmtId="0" fontId="8" fillId="0" borderId="0" xfId="0" applyFont="1" applyAlignment="1">
      <alignment horizontal="center" vertical="center"/>
    </xf>
    <xf numFmtId="0" fontId="8" fillId="0" borderId="0" xfId="0" applyFont="1" applyAlignment="1">
      <alignment horizontal="center" vertical="center" wrapText="1"/>
    </xf>
    <xf numFmtId="0" fontId="18" fillId="0" borderId="0" xfId="0" applyFont="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17" fillId="0" borderId="2" xfId="1" applyNumberFormat="1" applyFont="1" applyBorder="1"/>
    <xf numFmtId="0" fontId="18" fillId="0" borderId="2" xfId="0" applyNumberFormat="1" applyFont="1" applyBorder="1"/>
    <xf numFmtId="0" fontId="19" fillId="0" borderId="2" xfId="0" applyNumberFormat="1" applyFont="1" applyBorder="1"/>
    <xf numFmtId="0" fontId="0" fillId="0" borderId="0" xfId="0" applyNumberFormat="1"/>
  </cellXfs>
  <cellStyles count="2">
    <cellStyle name="Normal" xfId="1" xr:uid="{00000000-0005-0000-0000-000000000000}"/>
    <cellStyle name="標準" xfId="0" builtinId="0"/>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6" formatCode="[$-F800]dddd\,\ mmmm\ dd\,\ yyyy"/>
    </dxf>
    <dxf>
      <numFmt numFmtId="176" formatCode="[$-F800]dddd\,\ mmmm\ dd\,\ yyyy"/>
    </dxf>
    <dxf>
      <numFmt numFmtId="0" formatCode="General"/>
    </dxf>
    <dxf>
      <numFmt numFmtId="0" formatCode="General"/>
    </dxf>
    <dxf>
      <font>
        <strike val="0"/>
        <outline val="0"/>
        <shadow val="0"/>
        <u val="none"/>
        <vertAlign val="baseline"/>
        <sz val="12"/>
        <color theme="1"/>
        <name val="Calibri"/>
        <family val="2"/>
        <scheme val="minor"/>
      </font>
    </dxf>
    <dxf>
      <alignment horizontal="center" textRotation="0" indent="0" justifyLastLine="0" shrinkToFit="0" readingOrder="0"/>
    </dxf>
    <dxf>
      <alignment horizontal="center" vertical="center" textRotation="0" wrapText="0" indent="0" justifyLastLine="0" shrinkToFit="0" readingOrder="0"/>
    </dxf>
    <dxf>
      <alignment horizontal="center" textRotation="0" indent="0" justifyLastLine="0" shrinkToFit="0" readingOrder="0"/>
    </dxf>
    <dxf>
      <alignment horizontal="center" vertical="center" textRotation="0" wrapText="0" indent="0" justifyLastLine="0" shrinkToFit="0" readingOrder="0"/>
    </dxf>
    <dxf>
      <alignment horizontal="center" textRotation="0" indent="0" justifyLastLine="0" shrinkToFit="0" readingOrder="0"/>
    </dxf>
    <dxf>
      <alignment horizontal="center" vertical="center" textRotation="0" wrapText="0" indent="0" justifyLastLine="0" shrinkToFit="0" readingOrder="0"/>
    </dxf>
    <dxf>
      <alignment horizontal="center" textRotation="0" indent="0" justifyLastLine="0" shrinkToFit="0" readingOrder="0"/>
    </dxf>
    <dxf>
      <alignment horizontal="center" vertical="center" textRotation="0" wrapText="0" indent="0" justifyLastLine="0" shrinkToFit="0" readingOrder="0"/>
    </dxf>
    <dxf>
      <font>
        <b val="0"/>
        <i val="0"/>
        <strike val="0"/>
        <outline val="0"/>
        <shadow val="0"/>
        <u/>
        <vertAlign val="baseline"/>
        <sz val="14"/>
        <color rgb="FF00B0F0"/>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textRotation="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Items" displayName="T_Items" ref="A1:K500" headerRowDxfId="28" dataDxfId="27" totalsRowDxfId="26">
  <autoFilter ref="A1:K500" xr:uid="{00000000-0009-0000-0100-000001000000}"/>
  <tableColumns count="11">
    <tableColumn id="1" xr3:uid="{00000000-0010-0000-0000-000001000000}" name="セットID" dataDxfId="25"/>
    <tableColumn id="2" xr3:uid="{00000000-0010-0000-0000-000002000000}" name="個体ID" dataDxfId="24"/>
    <tableColumn id="3" xr3:uid="{00000000-0010-0000-0000-000003000000}" name="種類" dataDxfId="23"/>
    <tableColumn id="4" xr3:uid="{00000000-0010-0000-0000-000004000000}" name="カテゴリ" dataDxfId="22"/>
    <tableColumn id="7" xr3:uid="{00000000-0010-0000-0000-000007000000}" name="状態" dataDxfId="21"/>
    <tableColumn id="8" xr3:uid="{00000000-0010-0000-0000-000008000000}" name="保管場所" dataDxfId="20"/>
    <tableColumn id="9" xr3:uid="{00000000-0010-0000-0000-000009000000}" name="写真（ファイル名/パス）" dataDxfId="19"/>
    <tableColumn id="10" xr3:uid="{6461174F-BD1B-47ED-998D-1C30FD1C0349}" name="備考" dataDxfId="18" totalsRowDxfId="17"/>
    <tableColumn id="5" xr3:uid="{AD6DD6E9-A100-425B-B544-6FC1453DC1AA}" name="写真ファイル名" dataDxfId="16" totalsRowDxfId="15"/>
    <tableColumn id="11" xr3:uid="{D1AC622F-D5FD-4509-9AC7-FD78EC20E9F4}" name="公開名" dataDxfId="14" totalsRowDxfId="13"/>
    <tableColumn id="12" xr3:uid="{9A4794D2-29F0-4AEC-947E-E8FAA9AAD94C}" name="公開/非公開" dataDxfId="12" totalsRowDxfId="1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Sets" displayName="T_Sets" ref="A1:I500">
  <autoFilter ref="A1:I500" xr:uid="{00000000-0009-0000-0100-000002000000}"/>
  <tableColumns count="9">
    <tableColumn id="1" xr3:uid="{00000000-0010-0000-0100-000001000000}" name="セットID" dataDxfId="10"/>
    <tableColumn id="2" xr3:uid="{00000000-0010-0000-0100-000002000000}" name="服ID(関数表示)" dataDxfId="9">
      <calculatedColumnFormula array="1">IF(TRIM(A2)="","",
_xlfn.TEXTJOIN(" , ",TRUE,
IF((個体台帳!$A$2:$A$1000=TRIM(A2))*(個体台帳!$C$2:$C$1000="服"),
個体台帳!$B$2:$B$1000,
"")))</calculatedColumnFormula>
    </tableColumn>
    <tableColumn id="3" xr3:uid="{00000000-0010-0000-0100-000003000000}" name="小物1ID(関数表示）">
      <calculatedColumnFormula array="1">IF(TRIM(A2)="","",
_xlfn.TEXTJOIN(" , ",TRUE,
IF((個体台帳!$A$2:$A$1000=TRIM(A2))*(個体台帳!$C$2:$C$1000="小物1"),
個体台帳!$B$2:$B$1000,
"")))</calculatedColumnFormula>
    </tableColumn>
    <tableColumn id="4" xr3:uid="{00000000-0010-0000-0100-000004000000}" name="小物2ID(関数表示)">
      <calculatedColumnFormula array="1">IF(TRIM(A2)="","",
_xlfn.TEXTJOIN(" , ",TRUE,
IF((個体台帳!$A$2:$A$1000=TRIM(A2))*(個体台帳!$C$2:$C$1000="小物2"),
個体台帳!$B$2:$B$1000,
"")))</calculatedColumnFormula>
    </tableColumn>
    <tableColumn id="5" xr3:uid="{00000000-0010-0000-0100-000005000000}" name="ジャンル(関数)" dataDxfId="8">
      <calculatedColumnFormula array="1">IF($A2="","",
INDEX(個体台帳!$D$2:$D$1000,
MATCH(1,
(個体台帳!$A$2:$A$1000=$A2)*
(個体台帳!$C$2:$C$1000="服"),
0)))</calculatedColumnFormula>
    </tableColumn>
    <tableColumn id="7" xr3:uid="{00000000-0010-0000-0100-000007000000}" name="状態(関数)">
      <calculatedColumnFormula array="1">IF($A2="","",
IF(COUNTIFS(貸出記録!$B:$B,$A2,貸出記録!$E:$E,"")&gt;0,
"貸出中","在庫"))</calculatedColumnFormula>
    </tableColumn>
    <tableColumn id="8" xr3:uid="{00000000-0010-0000-0100-000008000000}" name="保管場所"/>
    <tableColumn id="9" xr3:uid="{00000000-0010-0000-0100-000009000000}" name="セット写真（ファイル名/パス）"/>
    <tableColumn id="10" xr3:uid="{00000000-0010-0000-0100-00000A000000}" name="備考"/>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_Loans" displayName="T_Loans" ref="A1:M500">
  <autoFilter ref="A1:M500" xr:uid="{00000000-0009-0000-0100-000003000000}"/>
  <tableColumns count="13">
    <tableColumn id="1" xr3:uid="{00000000-0010-0000-0200-000001000000}" name="貸出ID"/>
    <tableColumn id="2" xr3:uid="{00000000-0010-0000-0200-000002000000}" name="セットID"/>
    <tableColumn id="3" xr3:uid="{00000000-0010-0000-0200-000003000000}" name="貸出先"/>
    <tableColumn id="4" xr3:uid="{00000000-0010-0000-0200-000004000000}" name="貸出日" dataDxfId="7"/>
    <tableColumn id="5" xr3:uid="{00000000-0010-0000-0200-000005000000}" name="返却日" dataDxfId="6"/>
    <tableColumn id="6" xr3:uid="{00000000-0010-0000-0200-000006000000}" name="承認者" dataDxfId="5"/>
    <tableColumn id="7" xr3:uid="{00000000-0010-0000-0200-000007000000}" name="状態メモ"/>
    <tableColumn id="8" xr3:uid="{00000000-0010-0000-0200-000008000000}" name="備考"/>
    <tableColumn id="9" xr3:uid="{95F99CFD-37EB-4253-8CB0-C42418967FC4}" name="補助列" dataDxfId="4">
      <calculatedColumnFormula>IF($A2="","",--($E2=""))</calculatedColumnFormula>
    </tableColumn>
    <tableColumn id="10" xr3:uid="{596D7752-4869-47C3-A86F-E3A8EAF8A27D}" name="補助列2" dataDxfId="3">
      <calculatedColumnFormula>IF($D2="","",TODAY()-$D2)</calculatedColumnFormula>
    </tableColumn>
    <tableColumn id="11" xr3:uid="{E8BE8051-CD46-452B-95D2-54D7CB2A05A9}" name="補助列3" dataDxfId="2">
      <calculatedColumnFormula>IF($A2="","",IF(AND($E2="", $D2&lt;&gt;"", TODAY()-$D2&gt;=31),1,0))</calculatedColumnFormula>
    </tableColumn>
    <tableColumn id="12" xr3:uid="{D003396B-ADA8-40D5-ACD9-3AE3EFCD79BC}" name="補助列4" dataDxfId="1">
      <calculatedColumnFormula>IF($A2="","",IF($E2&lt;&gt;"",0,IF(COUNTIFS(個体台帳!$A:$A,$B2,個体台帳!$E:$E,"&lt;&gt;貸出中")&gt;0,1,0)))</calculatedColumnFormula>
    </tableColumn>
    <tableColumn id="13" xr3:uid="{D3695BAD-2260-4AEF-B3B1-7840475271CB}" name="補助列5" dataDxfId="0">
      <calculatedColumnFormula>IF($A2="","",IF($E2&lt;&gt;"",0,IF(COUNTIFS(個体台帳!$A:$A,$B2,個体台帳!$E:$E,"廃棄")&gt;0,1,0)))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6"/>
  <sheetViews>
    <sheetView showGridLines="0" workbookViewId="0">
      <selection activeCell="A106" sqref="A106"/>
    </sheetView>
  </sheetViews>
  <sheetFormatPr defaultRowHeight="14.4"/>
  <cols>
    <col min="1" max="1" width="90.6640625" bestFit="1" customWidth="1"/>
  </cols>
  <sheetData>
    <row r="1" spans="1:1" ht="18" customHeight="1">
      <c r="A1" s="3" t="s">
        <v>1155</v>
      </c>
    </row>
    <row r="2" spans="1:1" ht="18" customHeight="1"/>
    <row r="3" spans="1:1" ht="18" customHeight="1">
      <c r="A3" s="4" t="s">
        <v>1052</v>
      </c>
    </row>
    <row r="4" spans="1:1" ht="18" customHeight="1">
      <c r="A4" s="6" t="s">
        <v>1151</v>
      </c>
    </row>
    <row r="5" spans="1:1" ht="18" customHeight="1">
      <c r="A5" s="5" t="s">
        <v>1053</v>
      </c>
    </row>
    <row r="6" spans="1:1" ht="18" customHeight="1">
      <c r="A6" s="4"/>
    </row>
    <row r="7" spans="1:1" ht="18" customHeight="1">
      <c r="A7" s="7" t="s">
        <v>1054</v>
      </c>
    </row>
    <row r="8" spans="1:1" ht="18" customHeight="1"/>
    <row r="9" spans="1:1" ht="18" customHeight="1">
      <c r="A9" s="5" t="s">
        <v>1055</v>
      </c>
    </row>
    <row r="10" spans="1:1" ht="18" customHeight="1">
      <c r="A10" s="4" t="s">
        <v>1056</v>
      </c>
    </row>
    <row r="11" spans="1:1" ht="18" customHeight="1">
      <c r="A11" s="5" t="s">
        <v>1057</v>
      </c>
    </row>
    <row r="12" spans="1:1" ht="18" customHeight="1">
      <c r="A12" s="5" t="s">
        <v>1058</v>
      </c>
    </row>
    <row r="13" spans="1:1" ht="18" customHeight="1">
      <c r="A13" s="5" t="s">
        <v>1059</v>
      </c>
    </row>
    <row r="14" spans="1:1" ht="18" customHeight="1">
      <c r="A14" s="5" t="s">
        <v>1060</v>
      </c>
    </row>
    <row r="15" spans="1:1" ht="18" customHeight="1">
      <c r="A15" s="5"/>
    </row>
    <row r="16" spans="1:1" ht="18" customHeight="1">
      <c r="A16" s="5"/>
    </row>
    <row r="17" spans="1:1" ht="18" customHeight="1">
      <c r="A17" s="4" t="s">
        <v>1061</v>
      </c>
    </row>
    <row r="18" spans="1:1" ht="18" customHeight="1"/>
    <row r="19" spans="1:1" ht="18" customHeight="1">
      <c r="A19" s="5" t="s">
        <v>1062</v>
      </c>
    </row>
    <row r="20" spans="1:1" ht="18" customHeight="1">
      <c r="A20" s="5" t="s">
        <v>1063</v>
      </c>
    </row>
    <row r="21" spans="1:1" ht="18" customHeight="1">
      <c r="A21" s="4"/>
    </row>
    <row r="22" spans="1:1" ht="18" customHeight="1">
      <c r="A22" s="6" t="s">
        <v>1064</v>
      </c>
    </row>
    <row r="23" spans="1:1" ht="18" customHeight="1">
      <c r="A23" s="5" t="s">
        <v>1065</v>
      </c>
    </row>
    <row r="24" spans="1:1" ht="18" customHeight="1">
      <c r="A24" s="5" t="s">
        <v>1066</v>
      </c>
    </row>
    <row r="25" spans="1:1" ht="18" customHeight="1">
      <c r="A25" s="5" t="s">
        <v>1067</v>
      </c>
    </row>
    <row r="26" spans="1:1" ht="18" customHeight="1">
      <c r="A26" s="5" t="s">
        <v>1068</v>
      </c>
    </row>
    <row r="27" spans="1:1" ht="18" customHeight="1">
      <c r="A27" s="5" t="s">
        <v>1069</v>
      </c>
    </row>
    <row r="28" spans="1:1" ht="18" customHeight="1">
      <c r="A28" s="5" t="s">
        <v>1070</v>
      </c>
    </row>
    <row r="29" spans="1:1" ht="18" customHeight="1">
      <c r="A29" s="5" t="s">
        <v>1071</v>
      </c>
    </row>
    <row r="30" spans="1:1" ht="18" customHeight="1">
      <c r="A30" s="5"/>
    </row>
    <row r="31" spans="1:1" ht="18" customHeight="1">
      <c r="A31" s="5" t="s">
        <v>1072</v>
      </c>
    </row>
    <row r="32" spans="1:1" ht="18" customHeight="1">
      <c r="A32" s="5"/>
    </row>
    <row r="34" spans="1:1">
      <c r="A34" s="5" t="s">
        <v>1073</v>
      </c>
    </row>
    <row r="35" spans="1:1">
      <c r="A35" s="5" t="s">
        <v>1074</v>
      </c>
    </row>
    <row r="37" spans="1:1">
      <c r="A37" s="5" t="s">
        <v>1075</v>
      </c>
    </row>
    <row r="38" spans="1:1">
      <c r="A38" s="5" t="s">
        <v>1076</v>
      </c>
    </row>
    <row r="39" spans="1:1">
      <c r="A39" s="5" t="s">
        <v>1077</v>
      </c>
    </row>
    <row r="40" spans="1:1">
      <c r="A40" s="5" t="s">
        <v>1078</v>
      </c>
    </row>
    <row r="41" spans="1:1">
      <c r="A41" s="5" t="s">
        <v>1079</v>
      </c>
    </row>
    <row r="42" spans="1:1">
      <c r="A42" s="5"/>
    </row>
    <row r="43" spans="1:1">
      <c r="A43" s="5" t="s">
        <v>1080</v>
      </c>
    </row>
    <row r="44" spans="1:1">
      <c r="A44" s="5"/>
    </row>
    <row r="45" spans="1:1">
      <c r="A45" s="5"/>
    </row>
    <row r="46" spans="1:1">
      <c r="A46" s="5" t="s">
        <v>1081</v>
      </c>
    </row>
    <row r="47" spans="1:1">
      <c r="A47" s="5" t="s">
        <v>1082</v>
      </c>
    </row>
    <row r="49" spans="1:1">
      <c r="A49" s="5" t="s">
        <v>1075</v>
      </c>
    </row>
    <row r="50" spans="1:1">
      <c r="A50" s="5" t="s">
        <v>1083</v>
      </c>
    </row>
    <row r="51" spans="1:1">
      <c r="A51" s="5" t="s">
        <v>1076</v>
      </c>
    </row>
    <row r="52" spans="1:1">
      <c r="A52" s="5" t="s">
        <v>1084</v>
      </c>
    </row>
    <row r="53" spans="1:1">
      <c r="A53" s="5" t="s">
        <v>1085</v>
      </c>
    </row>
    <row r="54" spans="1:1">
      <c r="A54" s="5" t="s">
        <v>1086</v>
      </c>
    </row>
    <row r="55" spans="1:1">
      <c r="A55" s="5" t="s">
        <v>1087</v>
      </c>
    </row>
    <row r="57" spans="1:1">
      <c r="A57" s="5" t="s">
        <v>1088</v>
      </c>
    </row>
    <row r="59" spans="1:1">
      <c r="A59" s="5"/>
    </row>
    <row r="60" spans="1:1">
      <c r="A60" s="5" t="s">
        <v>1089</v>
      </c>
    </row>
    <row r="61" spans="1:1">
      <c r="A61" s="5" t="s">
        <v>1090</v>
      </c>
    </row>
    <row r="63" spans="1:1">
      <c r="A63" s="5" t="s">
        <v>1091</v>
      </c>
    </row>
    <row r="66" spans="1:1">
      <c r="A66" s="5" t="s">
        <v>1092</v>
      </c>
    </row>
    <row r="67" spans="1:1">
      <c r="A67" s="5" t="s">
        <v>1093</v>
      </c>
    </row>
    <row r="68" spans="1:1">
      <c r="A68" s="5"/>
    </row>
    <row r="69" spans="1:1">
      <c r="A69" s="5" t="s">
        <v>1094</v>
      </c>
    </row>
    <row r="70" spans="1:1">
      <c r="A70" s="5" t="s">
        <v>1095</v>
      </c>
    </row>
    <row r="71" spans="1:1">
      <c r="A71" s="5" t="s">
        <v>1096</v>
      </c>
    </row>
    <row r="72" spans="1:1">
      <c r="A72" s="5" t="s">
        <v>1097</v>
      </c>
    </row>
    <row r="73" spans="1:1">
      <c r="A73" s="5" t="s">
        <v>1098</v>
      </c>
    </row>
    <row r="75" spans="1:1">
      <c r="A75" s="5"/>
    </row>
    <row r="76" spans="1:1">
      <c r="A76" s="5" t="s">
        <v>1099</v>
      </c>
    </row>
    <row r="77" spans="1:1">
      <c r="A77" s="5"/>
    </row>
    <row r="78" spans="1:1">
      <c r="A78" s="5" t="s">
        <v>1100</v>
      </c>
    </row>
    <row r="79" spans="1:1">
      <c r="A79" s="5" t="s">
        <v>1101</v>
      </c>
    </row>
    <row r="80" spans="1:1">
      <c r="A80" s="5"/>
    </row>
    <row r="81" spans="1:1">
      <c r="A81" s="5" t="s">
        <v>1094</v>
      </c>
    </row>
    <row r="82" spans="1:1">
      <c r="A82" s="5" t="s">
        <v>1102</v>
      </c>
    </row>
    <row r="83" spans="1:1">
      <c r="A83" s="5" t="s">
        <v>513</v>
      </c>
    </row>
    <row r="84" spans="1:1">
      <c r="A84" s="5" t="s">
        <v>514</v>
      </c>
    </row>
    <row r="85" spans="1:1">
      <c r="A85" s="5" t="s">
        <v>1103</v>
      </c>
    </row>
    <row r="86" spans="1:1">
      <c r="A86" s="5" t="s">
        <v>515</v>
      </c>
    </row>
    <row r="87" spans="1:1">
      <c r="A87" s="5"/>
    </row>
    <row r="89" spans="1:1">
      <c r="A89" s="5" t="s">
        <v>1104</v>
      </c>
    </row>
    <row r="90" spans="1:1">
      <c r="A90" s="5" t="s">
        <v>1105</v>
      </c>
    </row>
    <row r="91" spans="1:1">
      <c r="A91" s="5"/>
    </row>
    <row r="92" spans="1:1">
      <c r="A92" s="5" t="s">
        <v>1094</v>
      </c>
    </row>
    <row r="93" spans="1:1">
      <c r="A93" s="5" t="s">
        <v>1150</v>
      </c>
    </row>
    <row r="94" spans="1:1">
      <c r="A94" s="5" t="s">
        <v>1106</v>
      </c>
    </row>
    <row r="95" spans="1:1">
      <c r="A95" s="5" t="s">
        <v>1107</v>
      </c>
    </row>
    <row r="96" spans="1:1">
      <c r="A96" s="5" t="s">
        <v>1108</v>
      </c>
    </row>
    <row r="97" spans="1:1">
      <c r="A97" s="5"/>
    </row>
    <row r="99" spans="1:1">
      <c r="A99" s="5" t="s">
        <v>1109</v>
      </c>
    </row>
    <row r="100" spans="1:1">
      <c r="A100" s="5" t="s">
        <v>1110</v>
      </c>
    </row>
    <row r="101" spans="1:1">
      <c r="A101" s="5"/>
    </row>
    <row r="102" spans="1:1">
      <c r="A102" s="5" t="s">
        <v>1094</v>
      </c>
    </row>
    <row r="103" spans="1:1">
      <c r="A103" s="5" t="s">
        <v>1111</v>
      </c>
    </row>
    <row r="104" spans="1:1">
      <c r="A104" t="s">
        <v>1150</v>
      </c>
    </row>
    <row r="105" spans="1:1" ht="18">
      <c r="A105" s="5" t="s">
        <v>1156</v>
      </c>
    </row>
    <row r="106" spans="1:1">
      <c r="A106" s="23">
        <v>46113</v>
      </c>
    </row>
    <row r="107" spans="1:1">
      <c r="A107" s="5"/>
    </row>
    <row r="108" spans="1:1">
      <c r="A108" s="5"/>
    </row>
    <row r="109" spans="1:1">
      <c r="A109" t="s">
        <v>1112</v>
      </c>
    </row>
    <row r="110" spans="1:1">
      <c r="A110" s="5" t="s">
        <v>1113</v>
      </c>
    </row>
    <row r="112" spans="1:1">
      <c r="A112" s="5"/>
    </row>
    <row r="113" spans="1:1">
      <c r="A113" s="5" t="s">
        <v>1114</v>
      </c>
    </row>
    <row r="114" spans="1:1">
      <c r="A114" s="5" t="s">
        <v>1115</v>
      </c>
    </row>
    <row r="116" spans="1:1">
      <c r="A116" s="5"/>
    </row>
    <row r="117" spans="1:1">
      <c r="A117" s="5" t="s">
        <v>1116</v>
      </c>
    </row>
    <row r="118" spans="1:1">
      <c r="A118" s="5"/>
    </row>
    <row r="119" spans="1:1">
      <c r="A119" s="5" t="s">
        <v>0</v>
      </c>
    </row>
    <row r="120" spans="1:1">
      <c r="A120" s="5" t="s">
        <v>1102</v>
      </c>
    </row>
    <row r="121" spans="1:1">
      <c r="A121" s="5"/>
    </row>
    <row r="122" spans="1:1">
      <c r="A122" s="5" t="s">
        <v>7</v>
      </c>
    </row>
    <row r="123" spans="1:1">
      <c r="A123" s="5" t="s">
        <v>1150</v>
      </c>
    </row>
    <row r="125" spans="1:1">
      <c r="A125" s="5" t="s">
        <v>9</v>
      </c>
    </row>
    <row r="126" spans="1:1">
      <c r="A126" t="s">
        <v>1111</v>
      </c>
    </row>
    <row r="128" spans="1:1">
      <c r="A128" t="s">
        <v>1117</v>
      </c>
    </row>
    <row r="131" spans="1:1">
      <c r="A131" s="5" t="s">
        <v>1118</v>
      </c>
    </row>
    <row r="133" spans="1:1">
      <c r="A133" s="5" t="s">
        <v>1119</v>
      </c>
    </row>
    <row r="135" spans="1:1">
      <c r="A135" s="5" t="s">
        <v>1094</v>
      </c>
    </row>
    <row r="136" spans="1:1">
      <c r="A136" s="5" t="s">
        <v>1120</v>
      </c>
    </row>
    <row r="137" spans="1:1">
      <c r="A137" t="s">
        <v>1121</v>
      </c>
    </row>
    <row r="138" spans="1:1">
      <c r="A138" t="s">
        <v>1122</v>
      </c>
    </row>
    <row r="140" spans="1:1">
      <c r="A140" s="5" t="s">
        <v>1123</v>
      </c>
    </row>
    <row r="143" spans="1:1">
      <c r="A143" s="5" t="s">
        <v>1124</v>
      </c>
    </row>
    <row r="145" spans="1:1">
      <c r="A145" s="5" t="s">
        <v>1125</v>
      </c>
    </row>
    <row r="146" spans="1:1">
      <c r="A146" s="5" t="s">
        <v>1126</v>
      </c>
    </row>
    <row r="147" spans="1:1">
      <c r="A147" s="5" t="s">
        <v>1127</v>
      </c>
    </row>
    <row r="148" spans="1:1">
      <c r="A148" s="5" t="s">
        <v>1128</v>
      </c>
    </row>
    <row r="151" spans="1:1">
      <c r="A151" s="5" t="s">
        <v>1129</v>
      </c>
    </row>
    <row r="153" spans="1:1">
      <c r="A153" s="5" t="s">
        <v>1130</v>
      </c>
    </row>
    <row r="154" spans="1:1">
      <c r="A154" s="7" t="s">
        <v>1152</v>
      </c>
    </row>
    <row r="156" spans="1:1">
      <c r="A156" s="5" t="s">
        <v>1131</v>
      </c>
    </row>
    <row r="158" spans="1:1">
      <c r="A158" s="5" t="s">
        <v>1132</v>
      </c>
    </row>
    <row r="159" spans="1:1">
      <c r="A159" s="5" t="s">
        <v>1133</v>
      </c>
    </row>
    <row r="160" spans="1:1">
      <c r="A160" s="5" t="s">
        <v>1134</v>
      </c>
    </row>
    <row r="161" spans="1:1">
      <c r="A161" s="5" t="s">
        <v>1135</v>
      </c>
    </row>
    <row r="162" spans="1:1">
      <c r="A162" s="5" t="s">
        <v>1153</v>
      </c>
    </row>
    <row r="164" spans="1:1">
      <c r="A164" s="5" t="s">
        <v>1136</v>
      </c>
    </row>
    <row r="166" spans="1:1">
      <c r="A166" s="5" t="s">
        <v>1137</v>
      </c>
    </row>
    <row r="167" spans="1:1">
      <c r="A167" t="s">
        <v>1138</v>
      </c>
    </row>
    <row r="169" spans="1:1">
      <c r="A169" s="5" t="s">
        <v>1139</v>
      </c>
    </row>
    <row r="170" spans="1:1">
      <c r="A170" s="5" t="s">
        <v>1140</v>
      </c>
    </row>
    <row r="173" spans="1:1">
      <c r="A173" s="5" t="s">
        <v>1141</v>
      </c>
    </row>
    <row r="175" spans="1:1">
      <c r="A175" s="5" t="s">
        <v>1142</v>
      </c>
    </row>
    <row r="176" spans="1:1">
      <c r="A176" s="5" t="s">
        <v>1143</v>
      </c>
    </row>
    <row r="177" spans="1:1">
      <c r="A177" s="5" t="s">
        <v>1144</v>
      </c>
    </row>
    <row r="178" spans="1:1">
      <c r="A178" s="5" t="s">
        <v>1145</v>
      </c>
    </row>
    <row r="179" spans="1:1">
      <c r="A179" s="5" t="s">
        <v>1146</v>
      </c>
    </row>
    <row r="181" spans="1:1">
      <c r="A181" t="s">
        <v>1147</v>
      </c>
    </row>
    <row r="184" spans="1:1">
      <c r="A184" s="5" t="s">
        <v>1148</v>
      </c>
    </row>
    <row r="185" spans="1:1">
      <c r="A185" s="5" t="s">
        <v>1149</v>
      </c>
    </row>
    <row r="186" spans="1:1">
      <c r="A186" s="5" t="s">
        <v>1154</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959FC-D2E2-4984-A0DD-612A2CACCEB0}">
  <sheetPr>
    <tabColor rgb="FFFFC000"/>
  </sheetPr>
  <dimension ref="A2:C99"/>
  <sheetViews>
    <sheetView workbookViewId="0">
      <selection activeCell="E12" sqref="E12"/>
    </sheetView>
  </sheetViews>
  <sheetFormatPr defaultRowHeight="23.4"/>
  <cols>
    <col min="1" max="1" width="18.77734375" style="22" customWidth="1"/>
    <col min="2" max="2" width="40.77734375" style="21" customWidth="1"/>
    <col min="3" max="3" width="18.77734375" style="21" customWidth="1"/>
  </cols>
  <sheetData>
    <row r="2" spans="1:3" ht="15.6">
      <c r="A2" s="29" t="s">
        <v>544</v>
      </c>
      <c r="B2" s="18" t="str">
        <f t="array" aca="1" ref="B2" ca="1">IFERROR(INDEX(貸出記録!$A:$A,
SMALL(IF(貸出記録!$K:$K=1,ROW(貸出記録!$A:$A)),ROW(A1))
),"")</f>
        <v/>
      </c>
      <c r="C2" s="21" t="str">
        <f ca="1">IF(B2="","", "31日以上返却されていない")</f>
        <v/>
      </c>
    </row>
    <row r="3" spans="1:3" ht="15.6">
      <c r="A3" s="29"/>
      <c r="B3" s="18" t="str">
        <f t="array" aca="1" ref="B3" ca="1">IFERROR(INDEX(貸出記録!$A:$A,
SMALL(IF(貸出記録!$K:$K=1,ROW(貸出記録!$A:$A)),ROW(A2))
),"")</f>
        <v/>
      </c>
      <c r="C3" s="21" t="str">
        <f t="shared" ref="C3:C19" ca="1" si="0">IF(B3="","", "31日以上返却されていない")</f>
        <v/>
      </c>
    </row>
    <row r="4" spans="1:3" ht="15.6">
      <c r="A4" s="29"/>
      <c r="B4" s="18" t="str">
        <f t="array" aca="1" ref="B4" ca="1">IFERROR(INDEX(貸出記録!$A:$A,
SMALL(IF(貸出記録!$K:$K=1,ROW(貸出記録!$A:$A)),ROW(A3))
),"")</f>
        <v/>
      </c>
      <c r="C4" s="21" t="str">
        <f t="shared" ca="1" si="0"/>
        <v/>
      </c>
    </row>
    <row r="5" spans="1:3" ht="15.6">
      <c r="A5" s="29"/>
      <c r="B5" s="18" t="str">
        <f t="array" aca="1" ref="B5" ca="1">IFERROR(INDEX(貸出記録!$A:$A,
SMALL(IF(貸出記録!$K:$K=1,ROW(貸出記録!$A:$A)),ROW(A4))
),"")</f>
        <v/>
      </c>
      <c r="C5" s="21" t="str">
        <f t="shared" ca="1" si="0"/>
        <v/>
      </c>
    </row>
    <row r="6" spans="1:3" ht="15.6">
      <c r="A6" s="29"/>
      <c r="B6" s="18" t="str">
        <f t="array" aca="1" ref="B6" ca="1">IFERROR(INDEX(貸出記録!$A:$A,
SMALL(IF(貸出記録!$K:$K=1,ROW(貸出記録!$A:$A)),ROW(A5))
),"")</f>
        <v/>
      </c>
      <c r="C6" s="21" t="str">
        <f t="shared" ca="1" si="0"/>
        <v/>
      </c>
    </row>
    <row r="7" spans="1:3" ht="15.6">
      <c r="A7" s="29"/>
      <c r="B7" s="18" t="str">
        <f t="array" aca="1" ref="B7" ca="1">IFERROR(INDEX(貸出記録!$A:$A,
SMALL(IF(貸出記録!$K:$K=1,ROW(貸出記録!$A:$A)),ROW(A6))
),"")</f>
        <v/>
      </c>
      <c r="C7" s="21" t="str">
        <f t="shared" ca="1" si="0"/>
        <v/>
      </c>
    </row>
    <row r="8" spans="1:3" ht="15.6">
      <c r="A8" s="29"/>
      <c r="B8" s="18" t="str">
        <f t="array" aca="1" ref="B8" ca="1">IFERROR(INDEX(貸出記録!$A:$A,
SMALL(IF(貸出記録!$K:$K=1,ROW(貸出記録!$A:$A)),ROW(A7))
),"")</f>
        <v/>
      </c>
      <c r="C8" s="21" t="str">
        <f t="shared" ca="1" si="0"/>
        <v/>
      </c>
    </row>
    <row r="9" spans="1:3" ht="15.6">
      <c r="A9" s="29"/>
      <c r="B9" s="18" t="str">
        <f t="array" aca="1" ref="B9" ca="1">IFERROR(INDEX(貸出記録!$A:$A,
SMALL(IF(貸出記録!$K:$K=1,ROW(貸出記録!$A:$A)),ROW(A8))
),"")</f>
        <v/>
      </c>
      <c r="C9" s="21" t="str">
        <f t="shared" ca="1" si="0"/>
        <v/>
      </c>
    </row>
    <row r="10" spans="1:3" ht="15.6">
      <c r="A10" s="29"/>
      <c r="B10" s="18" t="str">
        <f t="array" aca="1" ref="B10" ca="1">IFERROR(INDEX(貸出記録!$A:$A,
SMALL(IF(貸出記録!$K:$K=1,ROW(貸出記録!$A:$A)),ROW(A9))
),"")</f>
        <v/>
      </c>
      <c r="C10" s="21" t="str">
        <f t="shared" ca="1" si="0"/>
        <v/>
      </c>
    </row>
    <row r="11" spans="1:3" ht="15.6">
      <c r="A11" s="29"/>
      <c r="B11" s="18" t="str">
        <f t="array" aca="1" ref="B11" ca="1">IFERROR(INDEX(貸出記録!$A:$A,
SMALL(IF(貸出記録!$K:$K=1,ROW(貸出記録!$A:$A)),ROW(A10))
),"")</f>
        <v/>
      </c>
      <c r="C11" s="21" t="str">
        <f t="shared" ca="1" si="0"/>
        <v/>
      </c>
    </row>
    <row r="12" spans="1:3" ht="15.6">
      <c r="A12" s="29"/>
      <c r="B12" s="18" t="str">
        <f t="array" aca="1" ref="B12" ca="1">IFERROR(INDEX(貸出記録!$A:$A,
SMALL(IF(貸出記録!$K:$K=1,ROW(貸出記録!$A:$A)),ROW(A11))
),"")</f>
        <v/>
      </c>
      <c r="C12" s="21" t="str">
        <f t="shared" ca="1" si="0"/>
        <v/>
      </c>
    </row>
    <row r="13" spans="1:3" ht="15.6">
      <c r="A13" s="29"/>
      <c r="B13" s="18" t="str">
        <f t="array" aca="1" ref="B13" ca="1">IFERROR(INDEX(貸出記録!$A:$A,
SMALL(IF(貸出記録!$K:$K=1,ROW(貸出記録!$A:$A)),ROW(A12))
),"")</f>
        <v/>
      </c>
      <c r="C13" s="21" t="str">
        <f t="shared" ca="1" si="0"/>
        <v/>
      </c>
    </row>
    <row r="14" spans="1:3" ht="15.6">
      <c r="A14" s="29"/>
      <c r="B14" s="18" t="str">
        <f t="array" aca="1" ref="B14" ca="1">IFERROR(INDEX(貸出記録!$A:$A,
SMALL(IF(貸出記録!$K:$K=1,ROW(貸出記録!$A:$A)),ROW(A13))
),"")</f>
        <v/>
      </c>
      <c r="C14" s="21" t="str">
        <f t="shared" ca="1" si="0"/>
        <v/>
      </c>
    </row>
    <row r="15" spans="1:3" ht="15.6">
      <c r="A15" s="29"/>
      <c r="B15" s="18" t="str">
        <f t="array" aca="1" ref="B15" ca="1">IFERROR(INDEX(貸出記録!$A:$A,
SMALL(IF(貸出記録!$K:$K=1,ROW(貸出記録!$A:$A)),ROW(A14))
),"")</f>
        <v/>
      </c>
      <c r="C15" s="21" t="str">
        <f t="shared" ca="1" si="0"/>
        <v/>
      </c>
    </row>
    <row r="16" spans="1:3" ht="15.6">
      <c r="A16" s="29"/>
      <c r="B16" s="18" t="str">
        <f t="array" aca="1" ref="B16" ca="1">IFERROR(INDEX(貸出記録!$A:$A,
SMALL(IF(貸出記録!$K:$K=1,ROW(貸出記録!$A:$A)),ROW(A15))
),"")</f>
        <v/>
      </c>
      <c r="C16" s="21" t="str">
        <f t="shared" ca="1" si="0"/>
        <v/>
      </c>
    </row>
    <row r="17" spans="1:3" ht="15.6">
      <c r="A17" s="29"/>
      <c r="B17" s="18" t="str">
        <f t="array" aca="1" ref="B17" ca="1">IFERROR(INDEX(貸出記録!$A:$A,
SMALL(IF(貸出記録!$K:$K=1,ROW(貸出記録!$A:$A)),ROW(A16))
),"")</f>
        <v/>
      </c>
      <c r="C17" s="21" t="str">
        <f t="shared" ca="1" si="0"/>
        <v/>
      </c>
    </row>
    <row r="18" spans="1:3" ht="15.6">
      <c r="A18" s="29"/>
      <c r="B18" s="18" t="str">
        <f t="array" aca="1" ref="B18" ca="1">IFERROR(INDEX(貸出記録!$A:$A,
SMALL(IF(貸出記録!$K:$K=1,ROW(貸出記録!$A:$A)),ROW(A17))
),"")</f>
        <v/>
      </c>
      <c r="C18" s="21" t="str">
        <f t="shared" ca="1" si="0"/>
        <v/>
      </c>
    </row>
    <row r="19" spans="1:3" ht="15.6">
      <c r="A19" s="29"/>
      <c r="B19" s="18" t="str">
        <f t="array" aca="1" ref="B19" ca="1">IFERROR(INDEX(貸出記録!$A:$A,
SMALL(IF(貸出記録!$K:$K=1,ROW(貸出記録!$A:$A)),ROW(A18))
),"")</f>
        <v/>
      </c>
      <c r="C19" s="21" t="str">
        <f t="shared" ca="1" si="0"/>
        <v/>
      </c>
    </row>
    <row r="20" spans="1:3" ht="15.6">
      <c r="A20" s="30" t="s">
        <v>545</v>
      </c>
      <c r="B20" s="18" t="str">
        <f t="array" ref="B20">IFERROR(INDEX(貸出記録!$B:$B,
SMALL(IF(貸出記録!$L:$L=1,ROW(貸出記録!$B:$B)),ROW(A1))
),"")</f>
        <v/>
      </c>
      <c r="C20" s="21" t="str">
        <f>IF(B20="","", "貸出中なのに個体台帳の状態が一致しない（在庫/洗濯中/廃棄 等）")</f>
        <v/>
      </c>
    </row>
    <row r="21" spans="1:3" ht="15.6">
      <c r="A21" s="31"/>
      <c r="B21" s="18" t="str">
        <f t="array" ref="B21">IFERROR(INDEX(貸出記録!$B:$B,
SMALL(IF(貸出記録!$L:$L=1,ROW(貸出記録!$B:$B)),ROW(A2))
),"")</f>
        <v/>
      </c>
      <c r="C21" s="21" t="str">
        <f t="shared" ref="C21:C39" si="1">IF(B21="","", "貸出中なのに個体台帳の状態が一致しない（在庫/洗濯中/廃棄 等）")</f>
        <v/>
      </c>
    </row>
    <row r="22" spans="1:3" ht="15.6">
      <c r="A22" s="31"/>
      <c r="B22" s="18" t="str">
        <f t="array" ref="B22">IFERROR(INDEX(貸出記録!$B:$B,
SMALL(IF(貸出記録!$L:$L=1,ROW(貸出記録!$B:$B)),ROW(A3))
),"")</f>
        <v/>
      </c>
      <c r="C22" s="21" t="str">
        <f t="shared" si="1"/>
        <v/>
      </c>
    </row>
    <row r="23" spans="1:3" ht="15.6">
      <c r="A23" s="31"/>
      <c r="B23" s="18" t="str">
        <f t="array" ref="B23">IFERROR(INDEX(貸出記録!$B:$B,
SMALL(IF(貸出記録!$L:$L=1,ROW(貸出記録!$B:$B)),ROW(A4))
),"")</f>
        <v/>
      </c>
      <c r="C23" s="21" t="str">
        <f t="shared" si="1"/>
        <v/>
      </c>
    </row>
    <row r="24" spans="1:3" ht="15.6">
      <c r="A24" s="31"/>
      <c r="B24" s="18" t="str">
        <f t="array" ref="B24">IFERROR(INDEX(貸出記録!$B:$B,
SMALL(IF(貸出記録!$L:$L=1,ROW(貸出記録!$B:$B)),ROW(A5))
),"")</f>
        <v/>
      </c>
      <c r="C24" s="21" t="str">
        <f t="shared" si="1"/>
        <v/>
      </c>
    </row>
    <row r="25" spans="1:3" ht="15.6">
      <c r="A25" s="31"/>
      <c r="B25" s="18" t="str">
        <f t="array" ref="B25">IFERROR(INDEX(貸出記録!$B:$B,
SMALL(IF(貸出記録!$L:$L=1,ROW(貸出記録!$B:$B)),ROW(A6))
),"")</f>
        <v/>
      </c>
      <c r="C25" s="21" t="str">
        <f t="shared" si="1"/>
        <v/>
      </c>
    </row>
    <row r="26" spans="1:3" ht="15.6">
      <c r="A26" s="31"/>
      <c r="B26" s="18" t="str">
        <f t="array" ref="B26">IFERROR(INDEX(貸出記録!$B:$B,
SMALL(IF(貸出記録!$L:$L=1,ROW(貸出記録!$B:$B)),ROW(A7))
),"")</f>
        <v/>
      </c>
      <c r="C26" s="21" t="str">
        <f t="shared" si="1"/>
        <v/>
      </c>
    </row>
    <row r="27" spans="1:3" ht="15.6">
      <c r="A27" s="31"/>
      <c r="B27" s="18" t="str">
        <f t="array" ref="B27">IFERROR(INDEX(貸出記録!$B:$B,
SMALL(IF(貸出記録!$L:$L=1,ROW(貸出記録!$B:$B)),ROW(A8))
),"")</f>
        <v/>
      </c>
      <c r="C27" s="21" t="str">
        <f t="shared" si="1"/>
        <v/>
      </c>
    </row>
    <row r="28" spans="1:3" ht="15.6">
      <c r="A28" s="31"/>
      <c r="B28" s="18" t="str">
        <f t="array" ref="B28">IFERROR(INDEX(貸出記録!$B:$B,
SMALL(IF(貸出記録!$L:$L=1,ROW(貸出記録!$B:$B)),ROW(A9))
),"")</f>
        <v/>
      </c>
      <c r="C28" s="21" t="str">
        <f t="shared" si="1"/>
        <v/>
      </c>
    </row>
    <row r="29" spans="1:3" ht="15.6">
      <c r="A29" s="31"/>
      <c r="B29" s="18" t="str">
        <f t="array" ref="B29">IFERROR(INDEX(貸出記録!$B:$B,
SMALL(IF(貸出記録!$L:$L=1,ROW(貸出記録!$B:$B)),ROW(A10))
),"")</f>
        <v/>
      </c>
      <c r="C29" s="21" t="str">
        <f t="shared" si="1"/>
        <v/>
      </c>
    </row>
    <row r="30" spans="1:3" ht="15.6">
      <c r="A30" s="31"/>
      <c r="B30" s="18" t="str">
        <f t="array" ref="B30">IFERROR(INDEX(貸出記録!$B:$B,
SMALL(IF(貸出記録!$L:$L=1,ROW(貸出記録!$B:$B)),ROW(A11))
),"")</f>
        <v/>
      </c>
      <c r="C30" s="21" t="str">
        <f t="shared" si="1"/>
        <v/>
      </c>
    </row>
    <row r="31" spans="1:3" ht="15.6">
      <c r="A31" s="31"/>
      <c r="B31" s="18" t="str">
        <f t="array" ref="B31">IFERROR(INDEX(貸出記録!$B:$B,
SMALL(IF(貸出記録!$L:$L=1,ROW(貸出記録!$B:$B)),ROW(A12))
),"")</f>
        <v/>
      </c>
      <c r="C31" s="21" t="str">
        <f t="shared" si="1"/>
        <v/>
      </c>
    </row>
    <row r="32" spans="1:3" ht="15.6">
      <c r="A32" s="31"/>
      <c r="B32" s="18" t="str">
        <f t="array" ref="B32">IFERROR(INDEX(貸出記録!$B:$B,
SMALL(IF(貸出記録!$L:$L=1,ROW(貸出記録!$B:$B)),ROW(A13))
),"")</f>
        <v/>
      </c>
      <c r="C32" s="21" t="str">
        <f t="shared" si="1"/>
        <v/>
      </c>
    </row>
    <row r="33" spans="1:3" ht="15.6">
      <c r="A33" s="31"/>
      <c r="B33" s="18" t="str">
        <f t="array" ref="B33">IFERROR(INDEX(貸出記録!$B:$B,
SMALL(IF(貸出記録!$L:$L=1,ROW(貸出記録!$B:$B)),ROW(A14))
),"")</f>
        <v/>
      </c>
      <c r="C33" s="21" t="str">
        <f t="shared" si="1"/>
        <v/>
      </c>
    </row>
    <row r="34" spans="1:3" ht="15.6">
      <c r="A34" s="31"/>
      <c r="B34" s="18" t="str">
        <f t="array" ref="B34">IFERROR(INDEX(貸出記録!$B:$B,
SMALL(IF(貸出記録!$L:$L=1,ROW(貸出記録!$B:$B)),ROW(A15))
),"")</f>
        <v/>
      </c>
      <c r="C34" s="21" t="str">
        <f t="shared" si="1"/>
        <v/>
      </c>
    </row>
    <row r="35" spans="1:3" ht="15.6">
      <c r="A35" s="31"/>
      <c r="B35" s="18" t="str">
        <f t="array" ref="B35">IFERROR(INDEX(貸出記録!$B:$B,
SMALL(IF(貸出記録!$L:$L=1,ROW(貸出記録!$B:$B)),ROW(A16))
),"")</f>
        <v/>
      </c>
      <c r="C35" s="21" t="str">
        <f t="shared" si="1"/>
        <v/>
      </c>
    </row>
    <row r="36" spans="1:3" ht="15.6">
      <c r="A36" s="31"/>
      <c r="B36" s="18" t="str">
        <f t="array" ref="B36">IFERROR(INDEX(貸出記録!$B:$B,
SMALL(IF(貸出記録!$L:$L=1,ROW(貸出記録!$B:$B)),ROW(A17))
),"")</f>
        <v/>
      </c>
      <c r="C36" s="21" t="str">
        <f t="shared" si="1"/>
        <v/>
      </c>
    </row>
    <row r="37" spans="1:3" ht="15.6">
      <c r="A37" s="31"/>
      <c r="B37" s="18" t="str">
        <f t="array" ref="B37">IFERROR(INDEX(貸出記録!$B:$B,
SMALL(IF(貸出記録!$L:$L=1,ROW(貸出記録!$B:$B)),ROW(A18))
),"")</f>
        <v/>
      </c>
      <c r="C37" s="21" t="str">
        <f t="shared" si="1"/>
        <v/>
      </c>
    </row>
    <row r="38" spans="1:3" ht="15.6">
      <c r="A38" s="31"/>
      <c r="B38" s="18" t="str">
        <f t="array" ref="B38">IFERROR(INDEX(貸出記録!$B:$B,
SMALL(IF(貸出記録!$L:$L=1,ROW(貸出記録!$B:$B)),ROW(A19))
),"")</f>
        <v/>
      </c>
      <c r="C38" s="21" t="str">
        <f t="shared" si="1"/>
        <v/>
      </c>
    </row>
    <row r="39" spans="1:3" ht="15.6">
      <c r="A39" s="32"/>
      <c r="B39" s="18" t="str">
        <f t="array" ref="B39">IFERROR(INDEX(貸出記録!$B:$B,
SMALL(IF(貸出記録!$L:$L=1,ROW(貸出記録!$B:$B)),ROW(A20))
),"")</f>
        <v/>
      </c>
      <c r="C39" s="21" t="str">
        <f t="shared" si="1"/>
        <v/>
      </c>
    </row>
    <row r="40" spans="1:3" ht="15.6">
      <c r="A40" s="30" t="s">
        <v>551</v>
      </c>
      <c r="B40" s="18">
        <f t="array" ref="B40">IFERROR(INDEX(貸出記録!B:B,
SMALL(
IF(ISNA(MATCH(貸出記録!B:B,
セット台帳!A:A,0)),
ROW(貸出記録!B:B)),
ROW(A1)
)
),"")</f>
        <v>0</v>
      </c>
    </row>
    <row r="41" spans="1:3" ht="15.6">
      <c r="A41" s="31"/>
      <c r="B41" s="18">
        <f t="array" ref="B41">IFERROR(INDEX(貸出記録!B:B,
SMALL(
IF(ISNA(MATCH(貸出記録!B:B,
セット台帳!A:A,0)),
ROW(貸出記録!B:B)),
ROW(A2)
)
),"")</f>
        <v>0</v>
      </c>
    </row>
    <row r="42" spans="1:3" ht="15.6">
      <c r="A42" s="31"/>
      <c r="B42" s="18">
        <f t="array" ref="B42">IFERROR(INDEX(貸出記録!B:B,
SMALL(
IF(ISNA(MATCH(貸出記録!B:B,
セット台帳!A:A,0)),
ROW(貸出記録!B:B)),
ROW(A3)
)
),"")</f>
        <v>0</v>
      </c>
    </row>
    <row r="43" spans="1:3" ht="15.6">
      <c r="A43" s="31"/>
      <c r="B43" s="18">
        <f t="array" ref="B43">IFERROR(INDEX(貸出記録!B:B,
SMALL(
IF(ISNA(MATCH(貸出記録!B:B,
セット台帳!A:A,0)),
ROW(貸出記録!B:B)),
ROW(A4)
)
),"")</f>
        <v>0</v>
      </c>
    </row>
    <row r="44" spans="1:3" ht="15.6">
      <c r="A44" s="31"/>
      <c r="B44" s="18">
        <f t="array" ref="B44">IFERROR(INDEX(貸出記録!B:B,
SMALL(
IF(ISNA(MATCH(貸出記録!B:B,
セット台帳!A:A,0)),
ROW(貸出記録!B:B)),
ROW(A5)
)
),"")</f>
        <v>0</v>
      </c>
    </row>
    <row r="45" spans="1:3" ht="15.6">
      <c r="A45" s="31"/>
      <c r="B45" s="18">
        <f t="array" ref="B45">IFERROR(INDEX(貸出記録!B:B,
SMALL(
IF(ISNA(MATCH(貸出記録!B:B,
セット台帳!A:A,0)),
ROW(貸出記録!B:B)),
ROW(A6)
)
),"")</f>
        <v>0</v>
      </c>
    </row>
    <row r="46" spans="1:3" ht="15.6">
      <c r="A46" s="31"/>
      <c r="B46" s="18">
        <f t="array" ref="B46">IFERROR(INDEX(貸出記録!B:B,
SMALL(
IF(ISNA(MATCH(貸出記録!B:B,
セット台帳!A:A,0)),
ROW(貸出記録!B:B)),
ROW(A7)
)
),"")</f>
        <v>0</v>
      </c>
    </row>
    <row r="47" spans="1:3" ht="15.6">
      <c r="A47" s="31"/>
      <c r="B47" s="18">
        <f t="array" ref="B47">IFERROR(INDEX(貸出記録!B:B,
SMALL(
IF(ISNA(MATCH(貸出記録!B:B,
セット台帳!A:A,0)),
ROW(貸出記録!B:B)),
ROW(A8)
)
),"")</f>
        <v>0</v>
      </c>
    </row>
    <row r="48" spans="1:3" ht="15.6">
      <c r="A48" s="31"/>
      <c r="B48" s="18">
        <f t="array" ref="B48">IFERROR(INDEX(貸出記録!B:B,
SMALL(
IF(ISNA(MATCH(貸出記録!B:B,
セット台帳!A:A,0)),
ROW(貸出記録!B:B)),
ROW(A9)
)
),"")</f>
        <v>0</v>
      </c>
    </row>
    <row r="49" spans="1:2" ht="15.6">
      <c r="A49" s="31"/>
      <c r="B49" s="18">
        <f t="array" ref="B49">IFERROR(INDEX(貸出記録!B:B,
SMALL(
IF(ISNA(MATCH(貸出記録!B:B,
セット台帳!A:A,0)),
ROW(貸出記録!B:B)),
ROW(A10)
)
),"")</f>
        <v>0</v>
      </c>
    </row>
    <row r="50" spans="1:2" ht="15.6">
      <c r="A50" s="31"/>
      <c r="B50" s="18">
        <f t="array" ref="B50">IFERROR(INDEX(貸出記録!B:B,
SMALL(
IF(ISNA(MATCH(貸出記録!B:B,
セット台帳!A:A,0)),
ROW(貸出記録!B:B)),
ROW(A11)
)
),"")</f>
        <v>0</v>
      </c>
    </row>
    <row r="51" spans="1:2" ht="15.6">
      <c r="A51" s="31"/>
      <c r="B51" s="18">
        <f t="array" ref="B51">IFERROR(INDEX(貸出記録!B:B,
SMALL(
IF(ISNA(MATCH(貸出記録!B:B,
セット台帳!A:A,0)),
ROW(貸出記録!B:B)),
ROW(A12)
)
),"")</f>
        <v>0</v>
      </c>
    </row>
    <row r="52" spans="1:2" ht="15.6">
      <c r="A52" s="31"/>
      <c r="B52" s="18">
        <f t="array" ref="B52">IFERROR(INDEX(貸出記録!B:B,
SMALL(
IF(ISNA(MATCH(貸出記録!B:B,
セット台帳!A:A,0)),
ROW(貸出記録!B:B)),
ROW(A13)
)
),"")</f>
        <v>0</v>
      </c>
    </row>
    <row r="53" spans="1:2" ht="15.6">
      <c r="A53" s="31"/>
      <c r="B53" s="18">
        <f t="array" ref="B53">IFERROR(INDEX(貸出記録!B:B,
SMALL(
IF(ISNA(MATCH(貸出記録!B:B,
セット台帳!A:A,0)),
ROW(貸出記録!B:B)),
ROW(A14)
)
),"")</f>
        <v>0</v>
      </c>
    </row>
    <row r="54" spans="1:2" ht="15.6">
      <c r="A54" s="31"/>
      <c r="B54" s="18">
        <f t="array" ref="B54">IFERROR(INDEX(貸出記録!B:B,
SMALL(
IF(ISNA(MATCH(貸出記録!B:B,
セット台帳!A:A,0)),
ROW(貸出記録!B:B)),
ROW(A15)
)
),"")</f>
        <v>0</v>
      </c>
    </row>
    <row r="55" spans="1:2" ht="15.6">
      <c r="A55" s="31"/>
      <c r="B55" s="18">
        <f t="array" ref="B55">IFERROR(INDEX(貸出記録!B:B,
SMALL(
IF(ISNA(MATCH(貸出記録!B:B,
セット台帳!A:A,0)),
ROW(貸出記録!B:B)),
ROW(A16)
)
),"")</f>
        <v>0</v>
      </c>
    </row>
    <row r="56" spans="1:2" ht="15.6">
      <c r="A56" s="31"/>
      <c r="B56" s="18">
        <f t="array" ref="B56">IFERROR(INDEX(貸出記録!B:B,
SMALL(
IF(ISNA(MATCH(貸出記録!B:B,
セット台帳!A:A,0)),
ROW(貸出記録!B:B)),
ROW(A17)
)
),"")</f>
        <v>0</v>
      </c>
    </row>
    <row r="57" spans="1:2" ht="15.6">
      <c r="A57" s="31"/>
      <c r="B57" s="18">
        <f t="array" ref="B57">IFERROR(INDEX(貸出記録!B:B,
SMALL(
IF(ISNA(MATCH(貸出記録!B:B,
セット台帳!A:A,0)),
ROW(貸出記録!B:B)),
ROW(A18)
)
),"")</f>
        <v>0</v>
      </c>
    </row>
    <row r="58" spans="1:2" ht="15.6">
      <c r="A58" s="31"/>
      <c r="B58" s="18">
        <f t="array" ref="B58">IFERROR(INDEX(貸出記録!B:B,
SMALL(
IF(ISNA(MATCH(貸出記録!B:B,
セット台帳!A:A,0)),
ROW(貸出記録!B:B)),
ROW(A19)
)
),"")</f>
        <v>0</v>
      </c>
    </row>
    <row r="59" spans="1:2" ht="15.6">
      <c r="A59" s="32"/>
      <c r="B59" s="18">
        <f t="array" ref="B59">IFERROR(INDEX(貸出記録!B:B,
SMALL(
IF(ISNA(MATCH(貸出記録!B:B,
セット台帳!A:A,0)),
ROW(貸出記録!B:B)),
ROW(A20)
)
),"")</f>
        <v>0</v>
      </c>
    </row>
    <row r="60" spans="1:2" ht="15.6">
      <c r="A60" s="30" t="s">
        <v>552</v>
      </c>
      <c r="B60" s="18" t="str">
        <f t="array" ref="B60">IFERROR(INDEX(個体台帳!$B$2:$B$1000,
SMALL(IF(COUNTIF(個体台帳!$B$2:$B$1000,個体台帳!$B$2:$B$1000)&gt;1,
ROW(個体台帳!$B$2:$B$1000)-ROW(個体台帳!$B$2)+1),
ROW(A1))
),"")</f>
        <v/>
      </c>
    </row>
    <row r="61" spans="1:2" ht="15.6">
      <c r="A61" s="31"/>
      <c r="B61" s="18" t="str">
        <f t="array" ref="B61">IFERROR(INDEX(個体台帳!$B$2:$B$1000,
SMALL(IF(COUNTIF(個体台帳!$B$2:$B$1000,個体台帳!$B$2:$B$1000)&gt;1,
ROW(個体台帳!$B$2:$B$1000)-ROW(個体台帳!$B$2)+1),
ROW(A2))
),"")</f>
        <v/>
      </c>
    </row>
    <row r="62" spans="1:2" ht="15.6">
      <c r="A62" s="31"/>
      <c r="B62" s="18" t="str">
        <f t="array" ref="B62">IFERROR(INDEX(個体台帳!$B$2:$B$1000,
SMALL(IF(COUNTIF(個体台帳!$B$2:$B$1000,個体台帳!$B$2:$B$1000)&gt;1,
ROW(個体台帳!$B$2:$B$1000)-ROW(個体台帳!$B$2)+1),
ROW(A3))
),"")</f>
        <v/>
      </c>
    </row>
    <row r="63" spans="1:2" ht="15.6">
      <c r="A63" s="31"/>
      <c r="B63" s="18" t="str">
        <f t="array" ref="B63">IFERROR(INDEX(個体台帳!$B$2:$B$1000,
SMALL(IF(COUNTIF(個体台帳!$B$2:$B$1000,個体台帳!$B$2:$B$1000)&gt;1,
ROW(個体台帳!$B$2:$B$1000)-ROW(個体台帳!$B$2)+1),
ROW(A4))
),"")</f>
        <v/>
      </c>
    </row>
    <row r="64" spans="1:2" ht="15.6">
      <c r="A64" s="31"/>
      <c r="B64" s="18" t="str">
        <f t="array" ref="B64">IFERROR(INDEX(個体台帳!$B$2:$B$1000,
SMALL(IF(COUNTIF(個体台帳!$B$2:$B$1000,個体台帳!$B$2:$B$1000)&gt;1,
ROW(個体台帳!$B$2:$B$1000)-ROW(個体台帳!$B$2)+1),
ROW(A5))
),"")</f>
        <v/>
      </c>
    </row>
    <row r="65" spans="1:2" ht="15.6">
      <c r="A65" s="31"/>
      <c r="B65" s="18" t="str">
        <f t="array" ref="B65">IFERROR(INDEX(個体台帳!$B$2:$B$1000,
SMALL(IF(COUNTIF(個体台帳!$B$2:$B$1000,個体台帳!$B$2:$B$1000)&gt;1,
ROW(個体台帳!$B$2:$B$1000)-ROW(個体台帳!$B$2)+1),
ROW(A6))
),"")</f>
        <v/>
      </c>
    </row>
    <row r="66" spans="1:2" ht="15.6">
      <c r="A66" s="31"/>
      <c r="B66" s="18" t="str">
        <f t="array" ref="B66">IFERROR(INDEX(個体台帳!$B$2:$B$1000,
SMALL(IF(COUNTIF(個体台帳!$B$2:$B$1000,個体台帳!$B$2:$B$1000)&gt;1,
ROW(個体台帳!$B$2:$B$1000)-ROW(個体台帳!$B$2)+1),
ROW(A7))
),"")</f>
        <v/>
      </c>
    </row>
    <row r="67" spans="1:2" ht="15.6">
      <c r="A67" s="31"/>
      <c r="B67" s="18" t="str">
        <f t="array" ref="B67">IFERROR(INDEX(個体台帳!$B$2:$B$1000,
SMALL(IF(COUNTIF(個体台帳!$B$2:$B$1000,個体台帳!$B$2:$B$1000)&gt;1,
ROW(個体台帳!$B$2:$B$1000)-ROW(個体台帳!$B$2)+1),
ROW(A8))
),"")</f>
        <v/>
      </c>
    </row>
    <row r="68" spans="1:2" ht="15.6">
      <c r="A68" s="31"/>
      <c r="B68" s="18" t="str">
        <f t="array" ref="B68">IFERROR(INDEX(個体台帳!$B$2:$B$1000,
SMALL(IF(COUNTIF(個体台帳!$B$2:$B$1000,個体台帳!$B$2:$B$1000)&gt;1,
ROW(個体台帳!$B$2:$B$1000)-ROW(個体台帳!$B$2)+1),
ROW(A9))
),"")</f>
        <v/>
      </c>
    </row>
    <row r="69" spans="1:2" ht="15.6">
      <c r="A69" s="31"/>
      <c r="B69" s="18" t="str">
        <f t="array" ref="B69">IFERROR(INDEX(個体台帳!$B$2:$B$1000,
SMALL(IF(COUNTIF(個体台帳!$B$2:$B$1000,個体台帳!$B$2:$B$1000)&gt;1,
ROW(個体台帳!$B$2:$B$1000)-ROW(個体台帳!$B$2)+1),
ROW(A10))
),"")</f>
        <v/>
      </c>
    </row>
    <row r="70" spans="1:2" ht="15.6">
      <c r="A70" s="31"/>
      <c r="B70" s="18" t="str">
        <f t="array" ref="B70">IFERROR(INDEX(個体台帳!$B$2:$B$1000,
SMALL(IF(COUNTIF(個体台帳!$B$2:$B$1000,個体台帳!$B$2:$B$1000)&gt;1,
ROW(個体台帳!$B$2:$B$1000)-ROW(個体台帳!$B$2)+1),
ROW(A11))
),"")</f>
        <v/>
      </c>
    </row>
    <row r="71" spans="1:2" ht="15.6">
      <c r="A71" s="31"/>
      <c r="B71" s="18" t="str">
        <f t="array" ref="B71">IFERROR(INDEX(個体台帳!$B$2:$B$1000,
SMALL(IF(COUNTIF(個体台帳!$B$2:$B$1000,個体台帳!$B$2:$B$1000)&gt;1,
ROW(個体台帳!$B$2:$B$1000)-ROW(個体台帳!$B$2)+1),
ROW(A12))
),"")</f>
        <v/>
      </c>
    </row>
    <row r="72" spans="1:2" ht="15.6">
      <c r="A72" s="31"/>
      <c r="B72" s="18" t="str">
        <f t="array" ref="B72">IFERROR(INDEX(個体台帳!$B$2:$B$1000,
SMALL(IF(COUNTIF(個体台帳!$B$2:$B$1000,個体台帳!$B$2:$B$1000)&gt;1,
ROW(個体台帳!$B$2:$B$1000)-ROW(個体台帳!$B$2)+1),
ROW(A13))
),"")</f>
        <v/>
      </c>
    </row>
    <row r="73" spans="1:2" ht="15.6">
      <c r="A73" s="31"/>
      <c r="B73" s="18" t="str">
        <f t="array" ref="B73">IFERROR(INDEX(個体台帳!$B$2:$B$1000,
SMALL(IF(COUNTIF(個体台帳!$B$2:$B$1000,個体台帳!$B$2:$B$1000)&gt;1,
ROW(個体台帳!$B$2:$B$1000)-ROW(個体台帳!$B$2)+1),
ROW(A14))
),"")</f>
        <v/>
      </c>
    </row>
    <row r="74" spans="1:2" ht="15.6">
      <c r="A74" s="31"/>
      <c r="B74" s="18" t="str">
        <f t="array" ref="B74">IFERROR(INDEX(個体台帳!$B$2:$B$1000,
SMALL(IF(COUNTIF(個体台帳!$B$2:$B$1000,個体台帳!$B$2:$B$1000)&gt;1,
ROW(個体台帳!$B$2:$B$1000)-ROW(個体台帳!$B$2)+1),
ROW(A15))
),"")</f>
        <v/>
      </c>
    </row>
    <row r="75" spans="1:2" ht="15.6">
      <c r="A75" s="31"/>
      <c r="B75" s="18" t="str">
        <f t="array" ref="B75">IFERROR(INDEX(個体台帳!$B$2:$B$1000,
SMALL(IF(COUNTIF(個体台帳!$B$2:$B$1000,個体台帳!$B$2:$B$1000)&gt;1,
ROW(個体台帳!$B$2:$B$1000)-ROW(個体台帳!$B$2)+1),
ROW(A16))
),"")</f>
        <v/>
      </c>
    </row>
    <row r="76" spans="1:2" ht="15.6">
      <c r="A76" s="31"/>
      <c r="B76" s="18" t="str">
        <f t="array" ref="B76">IFERROR(INDEX(個体台帳!$B$2:$B$1000,
SMALL(IF(COUNTIF(個体台帳!$B$2:$B$1000,個体台帳!$B$2:$B$1000)&gt;1,
ROW(個体台帳!$B$2:$B$1000)-ROW(個体台帳!$B$2)+1),
ROW(A17))
),"")</f>
        <v/>
      </c>
    </row>
    <row r="77" spans="1:2" ht="15.6">
      <c r="A77" s="31"/>
      <c r="B77" s="18" t="str">
        <f t="array" ref="B77">IFERROR(INDEX(個体台帳!$B$2:$B$1000,
SMALL(IF(COUNTIF(個体台帳!$B$2:$B$1000,個体台帳!$B$2:$B$1000)&gt;1,
ROW(個体台帳!$B$2:$B$1000)-ROW(個体台帳!$B$2)+1),
ROW(A18))
),"")</f>
        <v/>
      </c>
    </row>
    <row r="78" spans="1:2" ht="15.6">
      <c r="A78" s="31"/>
      <c r="B78" s="18" t="str">
        <f t="array" ref="B78">IFERROR(INDEX(個体台帳!$B$2:$B$1000,
SMALL(IF(COUNTIF(個体台帳!$B$2:$B$1000,個体台帳!$B$2:$B$1000)&gt;1,
ROW(個体台帳!$B$2:$B$1000)-ROW(個体台帳!$B$2)+1),
ROW(A19))
),"")</f>
        <v/>
      </c>
    </row>
    <row r="79" spans="1:2" ht="15.6">
      <c r="A79" s="32"/>
      <c r="B79" s="18" t="str">
        <f t="array" ref="B79">IFERROR(INDEX(個体台帳!$B$2:$B$1000,
SMALL(IF(COUNTIF(個体台帳!$B$2:$B$1000,個体台帳!$B$2:$B$1000)&gt;1,
ROW(個体台帳!$B$2:$B$1000)-ROW(個体台帳!$B$2)+1),
ROW(A20))
),"")</f>
        <v/>
      </c>
    </row>
    <row r="80" spans="1:2" ht="15.6">
      <c r="A80" s="30" t="s">
        <v>553</v>
      </c>
      <c r="B80" s="18" t="str">
        <f t="array" ref="B80">IFERROR(INDEX(貸出記録!$B:$B,
SMALL(IF(貸出記録!$M:$M=1,ROW(貸出記録!$B:$B)),ROW(A1))
),"")</f>
        <v/>
      </c>
    </row>
    <row r="81" spans="1:2" ht="15.6">
      <c r="A81" s="31"/>
      <c r="B81" s="18" t="str">
        <f t="array" ref="B81">IFERROR(INDEX(貸出記録!$B:$B,
SMALL(IF(貸出記録!$M:$M=1,ROW(貸出記録!$B:$B)),ROW(A2))
),"")</f>
        <v/>
      </c>
    </row>
    <row r="82" spans="1:2" ht="15.6">
      <c r="A82" s="31"/>
      <c r="B82" s="18" t="str">
        <f t="array" ref="B82">IFERROR(INDEX(貸出記録!$B:$B,
SMALL(IF(貸出記録!$M:$M=1,ROW(貸出記録!$B:$B)),ROW(A3))
),"")</f>
        <v/>
      </c>
    </row>
    <row r="83" spans="1:2" ht="15.6">
      <c r="A83" s="31"/>
      <c r="B83" s="18" t="str">
        <f t="array" ref="B83">IFERROR(INDEX(貸出記録!$B:$B,
SMALL(IF(貸出記録!$M:$M=1,ROW(貸出記録!$B:$B)),ROW(A4))
),"")</f>
        <v/>
      </c>
    </row>
    <row r="84" spans="1:2" ht="15.6">
      <c r="A84" s="31"/>
      <c r="B84" s="18" t="str">
        <f t="array" ref="B84">IFERROR(INDEX(貸出記録!$B:$B,
SMALL(IF(貸出記録!$M:$M=1,ROW(貸出記録!$B:$B)),ROW(A5))
),"")</f>
        <v/>
      </c>
    </row>
    <row r="85" spans="1:2" ht="15.6">
      <c r="A85" s="31"/>
      <c r="B85" s="18" t="str">
        <f t="array" ref="B85">IFERROR(INDEX(貸出記録!$B:$B,
SMALL(IF(貸出記録!$M:$M=1,ROW(貸出記録!$B:$B)),ROW(A6))
),"")</f>
        <v/>
      </c>
    </row>
    <row r="86" spans="1:2" ht="15.6">
      <c r="A86" s="31"/>
      <c r="B86" s="18" t="str">
        <f t="array" ref="B86">IFERROR(INDEX(貸出記録!$B:$B,
SMALL(IF(貸出記録!$M:$M=1,ROW(貸出記録!$B:$B)),ROW(A7))
),"")</f>
        <v/>
      </c>
    </row>
    <row r="87" spans="1:2" ht="15.6">
      <c r="A87" s="31"/>
      <c r="B87" s="18" t="str">
        <f t="array" ref="B87">IFERROR(INDEX(貸出記録!$B:$B,
SMALL(IF(貸出記録!$M:$M=1,ROW(貸出記録!$B:$B)),ROW(A8))
),"")</f>
        <v/>
      </c>
    </row>
    <row r="88" spans="1:2" ht="15.6">
      <c r="A88" s="31"/>
      <c r="B88" s="18" t="str">
        <f t="array" ref="B88">IFERROR(INDEX(貸出記録!$B:$B,
SMALL(IF(貸出記録!$M:$M=1,ROW(貸出記録!$B:$B)),ROW(A9))
),"")</f>
        <v/>
      </c>
    </row>
    <row r="89" spans="1:2" ht="15.6">
      <c r="A89" s="31"/>
      <c r="B89" s="18" t="str">
        <f t="array" ref="B89">IFERROR(INDEX(貸出記録!$B:$B,
SMALL(IF(貸出記録!$M:$M=1,ROW(貸出記録!$B:$B)),ROW(A10))
),"")</f>
        <v/>
      </c>
    </row>
    <row r="90" spans="1:2" ht="15.6">
      <c r="A90" s="31"/>
      <c r="B90" s="18" t="str">
        <f t="array" ref="B90">IFERROR(INDEX(貸出記録!$B:$B,
SMALL(IF(貸出記録!$M:$M=1,ROW(貸出記録!$B:$B)),ROW(A11))
),"")</f>
        <v/>
      </c>
    </row>
    <row r="91" spans="1:2" ht="15.6">
      <c r="A91" s="31"/>
      <c r="B91" s="18" t="str">
        <f t="array" ref="B91">IFERROR(INDEX(貸出記録!$B:$B,
SMALL(IF(貸出記録!$M:$M=1,ROW(貸出記録!$B:$B)),ROW(A12))
),"")</f>
        <v/>
      </c>
    </row>
    <row r="92" spans="1:2" ht="15.6">
      <c r="A92" s="31"/>
      <c r="B92" s="18" t="str">
        <f t="array" ref="B92">IFERROR(INDEX(貸出記録!$B:$B,
SMALL(IF(貸出記録!$M:$M=1,ROW(貸出記録!$B:$B)),ROW(A13))
),"")</f>
        <v/>
      </c>
    </row>
    <row r="93" spans="1:2" ht="15.6">
      <c r="A93" s="31"/>
      <c r="B93" s="18" t="str">
        <f t="array" ref="B93">IFERROR(INDEX(貸出記録!$B:$B,
SMALL(IF(貸出記録!$M:$M=1,ROW(貸出記録!$B:$B)),ROW(A14))
),"")</f>
        <v/>
      </c>
    </row>
    <row r="94" spans="1:2" ht="15.6">
      <c r="A94" s="31"/>
      <c r="B94" s="18" t="str">
        <f t="array" ref="B94">IFERROR(INDEX(貸出記録!$B:$B,
SMALL(IF(貸出記録!$M:$M=1,ROW(貸出記録!$B:$B)),ROW(A15))
),"")</f>
        <v/>
      </c>
    </row>
    <row r="95" spans="1:2" ht="15.6">
      <c r="A95" s="31"/>
      <c r="B95" s="18" t="str">
        <f t="array" ref="B95">IFERROR(INDEX(貸出記録!$B:$B,
SMALL(IF(貸出記録!$M:$M=1,ROW(貸出記録!$B:$B)),ROW(A16))
),"")</f>
        <v/>
      </c>
    </row>
    <row r="96" spans="1:2" ht="15.6">
      <c r="A96" s="31"/>
      <c r="B96" s="18" t="str">
        <f t="array" ref="B96">IFERROR(INDEX(貸出記録!$B:$B,
SMALL(IF(貸出記録!$M:$M=1,ROW(貸出記録!$B:$B)),ROW(A17))
),"")</f>
        <v/>
      </c>
    </row>
    <row r="97" spans="1:2" ht="15.6">
      <c r="A97" s="31"/>
      <c r="B97" s="18" t="str">
        <f t="array" ref="B97">IFERROR(INDEX(貸出記録!$B:$B,
SMALL(IF(貸出記録!$M:$M=1,ROW(貸出記録!$B:$B)),ROW(A18))
),"")</f>
        <v/>
      </c>
    </row>
    <row r="98" spans="1:2" ht="15.6">
      <c r="A98" s="31"/>
      <c r="B98" s="18" t="str">
        <f t="array" ref="B98">IFERROR(INDEX(貸出記録!$B:$B,
SMALL(IF(貸出記録!$M:$M=1,ROW(貸出記録!$B:$B)),ROW(A19))
),"")</f>
        <v/>
      </c>
    </row>
    <row r="99" spans="1:2" ht="15.6">
      <c r="A99" s="32"/>
      <c r="B99" s="18" t="str">
        <f t="array" ref="B99">IFERROR(INDEX(貸出記録!$B:$B,
SMALL(IF(貸出記録!$M:$M=1,ROW(貸出記録!$B:$B)),ROW(A20))
),"")</f>
        <v/>
      </c>
    </row>
  </sheetData>
  <mergeCells count="5">
    <mergeCell ref="A2:A19"/>
    <mergeCell ref="A20:A39"/>
    <mergeCell ref="A40:A59"/>
    <mergeCell ref="A60:A79"/>
    <mergeCell ref="A80:A99"/>
  </mergeCells>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0"/>
  <sheetViews>
    <sheetView showGridLines="0" workbookViewId="0">
      <selection activeCell="A14" sqref="A14"/>
    </sheetView>
  </sheetViews>
  <sheetFormatPr defaultRowHeight="18"/>
  <cols>
    <col min="1" max="1" width="15.109375" bestFit="1" customWidth="1"/>
    <col min="2" max="2" width="12.6640625" bestFit="1" customWidth="1"/>
    <col min="3" max="3" width="10.77734375" bestFit="1" customWidth="1"/>
    <col min="4" max="4" width="14.5546875" bestFit="1" customWidth="1"/>
    <col min="5" max="5" width="10.77734375" bestFit="1" customWidth="1"/>
    <col min="6" max="6" width="15.6640625" bestFit="1" customWidth="1"/>
    <col min="7" max="7" width="27.21875" style="25" bestFit="1" customWidth="1"/>
    <col min="8" max="8" width="10.77734375" bestFit="1" customWidth="1"/>
    <col min="9" max="9" width="21" bestFit="1" customWidth="1"/>
    <col min="10" max="10" width="36.109375" bestFit="1" customWidth="1"/>
    <col min="11" max="11" width="13" bestFit="1" customWidth="1"/>
  </cols>
  <sheetData>
    <row r="1" spans="1:11">
      <c r="A1" s="9" t="s">
        <v>517</v>
      </c>
      <c r="B1" s="1" t="s">
        <v>0</v>
      </c>
      <c r="C1" s="1" t="s">
        <v>1</v>
      </c>
      <c r="D1" s="17" t="s">
        <v>530</v>
      </c>
      <c r="E1" s="1" t="s">
        <v>2</v>
      </c>
      <c r="F1" s="1" t="s">
        <v>3</v>
      </c>
      <c r="G1" s="1" t="s">
        <v>4</v>
      </c>
      <c r="H1" s="10" t="s">
        <v>5</v>
      </c>
      <c r="I1" s="19" t="s">
        <v>531</v>
      </c>
      <c r="J1" s="19" t="s">
        <v>1157</v>
      </c>
      <c r="K1" s="27" t="s">
        <v>1162</v>
      </c>
    </row>
    <row r="2" spans="1:11">
      <c r="A2" s="2" t="s">
        <v>1164</v>
      </c>
      <c r="B2" s="2" t="s">
        <v>14</v>
      </c>
      <c r="C2" s="2" t="s">
        <v>513</v>
      </c>
      <c r="D2" s="2" t="s">
        <v>514</v>
      </c>
      <c r="E2" s="2" t="s">
        <v>515</v>
      </c>
      <c r="F2" s="2"/>
      <c r="G2" s="24" t="str">
        <f t="shared" ref="G2:G13" si="0">IF(OR($D2="",$I2=""),"",HYPERLINK(".\衣装写真\"&amp;$D2&amp;"\"&amp;$I2,"写真"))</f>
        <v>写真</v>
      </c>
      <c r="H2" s="2"/>
      <c r="I2" s="2" t="s">
        <v>532</v>
      </c>
      <c r="J2" s="26" t="s">
        <v>1158</v>
      </c>
      <c r="K2" s="26" t="s">
        <v>1163</v>
      </c>
    </row>
    <row r="3" spans="1:11">
      <c r="A3" s="2" t="s">
        <v>1164</v>
      </c>
      <c r="B3" s="2" t="s">
        <v>15</v>
      </c>
      <c r="C3" s="2" t="s">
        <v>513</v>
      </c>
      <c r="D3" s="2" t="s">
        <v>514</v>
      </c>
      <c r="E3" s="2" t="s">
        <v>515</v>
      </c>
      <c r="F3" s="2" t="s">
        <v>6</v>
      </c>
      <c r="G3" s="24" t="str">
        <f t="shared" si="0"/>
        <v>写真</v>
      </c>
      <c r="H3" s="2"/>
      <c r="I3" s="2" t="s">
        <v>533</v>
      </c>
      <c r="J3" s="26" t="s">
        <v>1158</v>
      </c>
      <c r="K3" s="26" t="s">
        <v>1163</v>
      </c>
    </row>
    <row r="4" spans="1:11">
      <c r="A4" s="2" t="s">
        <v>1164</v>
      </c>
      <c r="B4" s="2" t="s">
        <v>16</v>
      </c>
      <c r="C4" s="2" t="s">
        <v>513</v>
      </c>
      <c r="D4" s="2" t="s">
        <v>514</v>
      </c>
      <c r="E4" s="2" t="s">
        <v>515</v>
      </c>
      <c r="F4" s="2" t="s">
        <v>6</v>
      </c>
      <c r="G4" s="24" t="str">
        <f t="shared" si="0"/>
        <v>写真</v>
      </c>
      <c r="H4" s="2"/>
      <c r="I4" s="2" t="s">
        <v>534</v>
      </c>
      <c r="J4" s="26" t="s">
        <v>1160</v>
      </c>
      <c r="K4" s="26" t="s">
        <v>1163</v>
      </c>
    </row>
    <row r="5" spans="1:11">
      <c r="A5" s="2" t="s">
        <v>1164</v>
      </c>
      <c r="B5" s="2" t="s">
        <v>17</v>
      </c>
      <c r="C5" s="2" t="s">
        <v>513</v>
      </c>
      <c r="D5" s="2" t="s">
        <v>514</v>
      </c>
      <c r="E5" s="2" t="s">
        <v>515</v>
      </c>
      <c r="F5" s="2" t="s">
        <v>6</v>
      </c>
      <c r="G5" s="24" t="str">
        <f t="shared" si="0"/>
        <v>写真</v>
      </c>
      <c r="H5" s="2"/>
      <c r="I5" s="2" t="s">
        <v>535</v>
      </c>
      <c r="J5" s="26" t="s">
        <v>1159</v>
      </c>
      <c r="K5" s="26" t="s">
        <v>1163</v>
      </c>
    </row>
    <row r="6" spans="1:11">
      <c r="A6" s="2" t="s">
        <v>1164</v>
      </c>
      <c r="B6" s="2" t="s">
        <v>18</v>
      </c>
      <c r="C6" s="2" t="s">
        <v>513</v>
      </c>
      <c r="D6" s="2" t="s">
        <v>514</v>
      </c>
      <c r="E6" s="2" t="s">
        <v>515</v>
      </c>
      <c r="F6" s="2" t="s">
        <v>6</v>
      </c>
      <c r="G6" s="24" t="str">
        <f t="shared" si="0"/>
        <v>写真</v>
      </c>
      <c r="H6" s="2"/>
      <c r="I6" s="2" t="s">
        <v>536</v>
      </c>
      <c r="J6" s="26" t="s">
        <v>1158</v>
      </c>
      <c r="K6" s="26" t="s">
        <v>1163</v>
      </c>
    </row>
    <row r="7" spans="1:11">
      <c r="A7" s="2" t="s">
        <v>1164</v>
      </c>
      <c r="B7" s="2" t="s">
        <v>19</v>
      </c>
      <c r="C7" s="2" t="s">
        <v>513</v>
      </c>
      <c r="D7" s="2" t="s">
        <v>514</v>
      </c>
      <c r="E7" s="2" t="s">
        <v>515</v>
      </c>
      <c r="F7" s="2" t="s">
        <v>6</v>
      </c>
      <c r="G7" s="24" t="str">
        <f t="shared" si="0"/>
        <v>写真</v>
      </c>
      <c r="H7" s="2"/>
      <c r="I7" s="2" t="s">
        <v>537</v>
      </c>
      <c r="J7" s="26" t="s">
        <v>1158</v>
      </c>
      <c r="K7" s="26" t="s">
        <v>1163</v>
      </c>
    </row>
    <row r="8" spans="1:11">
      <c r="A8" s="2" t="s">
        <v>1164</v>
      </c>
      <c r="B8" s="2" t="s">
        <v>20</v>
      </c>
      <c r="C8" s="2" t="s">
        <v>513</v>
      </c>
      <c r="D8" s="2" t="s">
        <v>514</v>
      </c>
      <c r="E8" s="2" t="s">
        <v>515</v>
      </c>
      <c r="F8" s="2" t="s">
        <v>6</v>
      </c>
      <c r="G8" s="24" t="str">
        <f t="shared" si="0"/>
        <v>写真</v>
      </c>
      <c r="H8" s="2"/>
      <c r="I8" s="2" t="s">
        <v>538</v>
      </c>
      <c r="J8" s="26" t="s">
        <v>1161</v>
      </c>
      <c r="K8" s="26" t="s">
        <v>1163</v>
      </c>
    </row>
    <row r="9" spans="1:11">
      <c r="A9" s="2" t="s">
        <v>1164</v>
      </c>
      <c r="B9" s="2" t="s">
        <v>21</v>
      </c>
      <c r="C9" s="2" t="s">
        <v>513</v>
      </c>
      <c r="D9" s="2" t="s">
        <v>514</v>
      </c>
      <c r="E9" s="2" t="s">
        <v>515</v>
      </c>
      <c r="F9" s="2" t="s">
        <v>6</v>
      </c>
      <c r="G9" s="24" t="str">
        <f t="shared" si="0"/>
        <v>写真</v>
      </c>
      <c r="H9" s="2"/>
      <c r="I9" s="2" t="s">
        <v>539</v>
      </c>
      <c r="J9" s="26" t="s">
        <v>1161</v>
      </c>
      <c r="K9" s="26" t="s">
        <v>1163</v>
      </c>
    </row>
    <row r="10" spans="1:11">
      <c r="A10" s="2" t="s">
        <v>1164</v>
      </c>
      <c r="B10" s="2" t="s">
        <v>22</v>
      </c>
      <c r="C10" s="2" t="s">
        <v>513</v>
      </c>
      <c r="D10" s="2" t="s">
        <v>514</v>
      </c>
      <c r="E10" s="2" t="s">
        <v>515</v>
      </c>
      <c r="F10" s="2" t="s">
        <v>6</v>
      </c>
      <c r="G10" s="24" t="str">
        <f t="shared" si="0"/>
        <v>写真</v>
      </c>
      <c r="H10" s="2"/>
      <c r="I10" s="2" t="s">
        <v>540</v>
      </c>
      <c r="J10" s="26" t="s">
        <v>1158</v>
      </c>
      <c r="K10" s="26" t="s">
        <v>1163</v>
      </c>
    </row>
    <row r="11" spans="1:11">
      <c r="A11" s="2" t="s">
        <v>1164</v>
      </c>
      <c r="B11" s="2" t="s">
        <v>23</v>
      </c>
      <c r="C11" s="2" t="s">
        <v>513</v>
      </c>
      <c r="D11" s="2" t="s">
        <v>514</v>
      </c>
      <c r="E11" s="2" t="s">
        <v>515</v>
      </c>
      <c r="F11" s="2" t="s">
        <v>6</v>
      </c>
      <c r="G11" s="24" t="str">
        <f t="shared" si="0"/>
        <v>写真</v>
      </c>
      <c r="H11" s="2"/>
      <c r="I11" s="2" t="s">
        <v>541</v>
      </c>
      <c r="J11" s="26" t="s">
        <v>1158</v>
      </c>
      <c r="K11" s="26" t="s">
        <v>1163</v>
      </c>
    </row>
    <row r="12" spans="1:11">
      <c r="A12" s="2" t="s">
        <v>1164</v>
      </c>
      <c r="B12" s="2" t="s">
        <v>24</v>
      </c>
      <c r="C12" s="2" t="s">
        <v>513</v>
      </c>
      <c r="D12" s="2" t="s">
        <v>514</v>
      </c>
      <c r="E12" s="2" t="s">
        <v>515</v>
      </c>
      <c r="F12" s="2" t="s">
        <v>6</v>
      </c>
      <c r="G12" s="24" t="str">
        <f t="shared" si="0"/>
        <v>写真</v>
      </c>
      <c r="H12" s="2"/>
      <c r="I12" s="2" t="s">
        <v>542</v>
      </c>
      <c r="J12" s="26" t="s">
        <v>1161</v>
      </c>
      <c r="K12" s="26" t="s">
        <v>1163</v>
      </c>
    </row>
    <row r="13" spans="1:11">
      <c r="A13" s="2" t="s">
        <v>1164</v>
      </c>
      <c r="B13" s="2" t="s">
        <v>25</v>
      </c>
      <c r="C13" s="2" t="s">
        <v>513</v>
      </c>
      <c r="D13" s="2" t="s">
        <v>514</v>
      </c>
      <c r="E13" s="2" t="s">
        <v>515</v>
      </c>
      <c r="F13" s="2" t="s">
        <v>6</v>
      </c>
      <c r="G13" s="24" t="str">
        <f t="shared" si="0"/>
        <v>写真</v>
      </c>
      <c r="H13" s="2"/>
      <c r="I13" s="2" t="s">
        <v>543</v>
      </c>
      <c r="J13" s="26" t="s">
        <v>1161</v>
      </c>
      <c r="K13" s="26" t="s">
        <v>1163</v>
      </c>
    </row>
    <row r="14" spans="1:11">
      <c r="A14" s="2"/>
      <c r="B14" s="2" t="s">
        <v>26</v>
      </c>
      <c r="C14" s="2" t="s">
        <v>6</v>
      </c>
      <c r="D14" s="2"/>
      <c r="E14" s="2" t="s">
        <v>6</v>
      </c>
      <c r="F14" s="2" t="s">
        <v>6</v>
      </c>
      <c r="G14" s="24" t="s">
        <v>6</v>
      </c>
      <c r="H14" s="2"/>
      <c r="I14" s="2"/>
      <c r="J14" s="2"/>
      <c r="K14" s="2"/>
    </row>
    <row r="15" spans="1:11">
      <c r="A15" s="2"/>
      <c r="B15" s="2" t="s">
        <v>27</v>
      </c>
      <c r="C15" s="2" t="s">
        <v>6</v>
      </c>
      <c r="D15" s="2"/>
      <c r="E15" s="2" t="s">
        <v>6</v>
      </c>
      <c r="F15" s="2" t="s">
        <v>6</v>
      </c>
      <c r="G15" s="24" t="s">
        <v>6</v>
      </c>
      <c r="H15" s="2"/>
      <c r="I15" s="2"/>
      <c r="J15" s="2"/>
      <c r="K15" s="2"/>
    </row>
    <row r="16" spans="1:11">
      <c r="A16" s="2"/>
      <c r="B16" s="2" t="s">
        <v>28</v>
      </c>
      <c r="C16" s="2" t="s">
        <v>6</v>
      </c>
      <c r="D16" s="2"/>
      <c r="E16" s="2" t="s">
        <v>6</v>
      </c>
      <c r="F16" s="2" t="s">
        <v>6</v>
      </c>
      <c r="G16" s="24" t="s">
        <v>6</v>
      </c>
      <c r="H16" s="2"/>
      <c r="I16" s="2"/>
      <c r="J16" s="2"/>
      <c r="K16" s="2"/>
    </row>
    <row r="17" spans="1:11">
      <c r="A17" s="2"/>
      <c r="B17" s="2" t="s">
        <v>29</v>
      </c>
      <c r="C17" s="2" t="s">
        <v>6</v>
      </c>
      <c r="D17" s="2"/>
      <c r="E17" s="2" t="s">
        <v>6</v>
      </c>
      <c r="F17" s="2" t="s">
        <v>6</v>
      </c>
      <c r="G17" s="24" t="s">
        <v>6</v>
      </c>
      <c r="H17" s="2"/>
      <c r="I17" s="2"/>
      <c r="J17" s="2"/>
      <c r="K17" s="2"/>
    </row>
    <row r="18" spans="1:11">
      <c r="A18" s="2"/>
      <c r="B18" s="2" t="s">
        <v>30</v>
      </c>
      <c r="C18" s="2" t="s">
        <v>6</v>
      </c>
      <c r="D18" s="2"/>
      <c r="E18" s="2" t="s">
        <v>6</v>
      </c>
      <c r="F18" s="2" t="s">
        <v>6</v>
      </c>
      <c r="G18" s="24" t="s">
        <v>6</v>
      </c>
      <c r="H18" s="2"/>
      <c r="I18" s="2"/>
      <c r="J18" s="2"/>
      <c r="K18" s="2"/>
    </row>
    <row r="19" spans="1:11">
      <c r="A19" s="2"/>
      <c r="B19" s="2" t="s">
        <v>31</v>
      </c>
      <c r="C19" s="2" t="s">
        <v>6</v>
      </c>
      <c r="D19" s="2"/>
      <c r="E19" s="2" t="s">
        <v>6</v>
      </c>
      <c r="F19" s="2" t="s">
        <v>6</v>
      </c>
      <c r="G19" s="24" t="s">
        <v>6</v>
      </c>
      <c r="H19" s="2"/>
      <c r="I19" s="2"/>
      <c r="J19" s="2"/>
      <c r="K19" s="2"/>
    </row>
    <row r="20" spans="1:11">
      <c r="A20" s="2"/>
      <c r="B20" s="2" t="s">
        <v>32</v>
      </c>
      <c r="C20" s="2" t="s">
        <v>6</v>
      </c>
      <c r="D20" s="2"/>
      <c r="E20" s="2" t="s">
        <v>6</v>
      </c>
      <c r="F20" s="2" t="s">
        <v>6</v>
      </c>
      <c r="G20" s="24" t="s">
        <v>6</v>
      </c>
      <c r="H20" s="2"/>
      <c r="I20" s="2"/>
      <c r="J20" s="2"/>
      <c r="K20" s="2"/>
    </row>
    <row r="21" spans="1:11">
      <c r="A21" s="2"/>
      <c r="B21" s="2" t="s">
        <v>33</v>
      </c>
      <c r="C21" s="2" t="s">
        <v>6</v>
      </c>
      <c r="D21" s="2"/>
      <c r="E21" s="2" t="s">
        <v>6</v>
      </c>
      <c r="F21" s="2" t="s">
        <v>6</v>
      </c>
      <c r="G21" s="24" t="s">
        <v>6</v>
      </c>
      <c r="H21" s="2"/>
      <c r="I21" s="2"/>
      <c r="J21" s="2"/>
      <c r="K21" s="2"/>
    </row>
    <row r="22" spans="1:11">
      <c r="A22" s="2"/>
      <c r="B22" s="2" t="s">
        <v>34</v>
      </c>
      <c r="C22" s="2" t="s">
        <v>6</v>
      </c>
      <c r="D22" s="2"/>
      <c r="E22" s="2" t="s">
        <v>6</v>
      </c>
      <c r="F22" s="2" t="s">
        <v>6</v>
      </c>
      <c r="G22" s="24" t="s">
        <v>6</v>
      </c>
      <c r="H22" s="2"/>
      <c r="I22" s="2"/>
      <c r="J22" s="2"/>
      <c r="K22" s="2"/>
    </row>
    <row r="23" spans="1:11">
      <c r="A23" s="2"/>
      <c r="B23" s="2" t="s">
        <v>35</v>
      </c>
      <c r="C23" s="2" t="s">
        <v>6</v>
      </c>
      <c r="D23" s="2"/>
      <c r="E23" s="2" t="s">
        <v>6</v>
      </c>
      <c r="F23" s="2" t="s">
        <v>6</v>
      </c>
      <c r="G23" s="24" t="s">
        <v>6</v>
      </c>
      <c r="H23" s="2"/>
      <c r="I23" s="2"/>
      <c r="J23" s="2"/>
      <c r="K23" s="2"/>
    </row>
    <row r="24" spans="1:11">
      <c r="A24" s="2"/>
      <c r="B24" s="2" t="s">
        <v>36</v>
      </c>
      <c r="C24" s="2" t="s">
        <v>6</v>
      </c>
      <c r="D24" s="2"/>
      <c r="E24" s="2" t="s">
        <v>6</v>
      </c>
      <c r="F24" s="2" t="s">
        <v>6</v>
      </c>
      <c r="G24" s="24" t="s">
        <v>6</v>
      </c>
      <c r="H24" s="2"/>
      <c r="I24" s="2"/>
      <c r="J24" s="2"/>
      <c r="K24" s="2"/>
    </row>
    <row r="25" spans="1:11">
      <c r="A25" s="2"/>
      <c r="B25" s="2" t="s">
        <v>37</v>
      </c>
      <c r="C25" s="2" t="s">
        <v>6</v>
      </c>
      <c r="D25" s="2"/>
      <c r="E25" s="2" t="s">
        <v>6</v>
      </c>
      <c r="F25" s="2" t="s">
        <v>6</v>
      </c>
      <c r="G25" s="24" t="s">
        <v>6</v>
      </c>
      <c r="H25" s="2"/>
      <c r="I25" s="2"/>
      <c r="J25" s="2"/>
      <c r="K25" s="2"/>
    </row>
    <row r="26" spans="1:11">
      <c r="A26" s="2"/>
      <c r="B26" s="2" t="s">
        <v>38</v>
      </c>
      <c r="C26" s="2" t="s">
        <v>6</v>
      </c>
      <c r="D26" s="2"/>
      <c r="E26" s="2" t="s">
        <v>6</v>
      </c>
      <c r="F26" s="2" t="s">
        <v>6</v>
      </c>
      <c r="G26" s="24" t="s">
        <v>6</v>
      </c>
      <c r="H26" s="2"/>
      <c r="I26" s="2"/>
      <c r="J26" s="2"/>
      <c r="K26" s="2"/>
    </row>
    <row r="27" spans="1:11">
      <c r="A27" s="2"/>
      <c r="B27" s="2" t="s">
        <v>39</v>
      </c>
      <c r="C27" s="2" t="s">
        <v>6</v>
      </c>
      <c r="D27" s="2"/>
      <c r="E27" s="2" t="s">
        <v>6</v>
      </c>
      <c r="F27" s="2" t="s">
        <v>6</v>
      </c>
      <c r="G27" s="24" t="s">
        <v>6</v>
      </c>
      <c r="H27" s="2"/>
      <c r="I27" s="2"/>
      <c r="J27" s="2"/>
      <c r="K27" s="2"/>
    </row>
    <row r="28" spans="1:11">
      <c r="A28" s="2"/>
      <c r="B28" s="2" t="s">
        <v>40</v>
      </c>
      <c r="C28" s="2" t="s">
        <v>6</v>
      </c>
      <c r="D28" s="2"/>
      <c r="E28" s="2" t="s">
        <v>6</v>
      </c>
      <c r="F28" s="2" t="s">
        <v>6</v>
      </c>
      <c r="G28" s="24" t="s">
        <v>6</v>
      </c>
      <c r="H28" s="2"/>
      <c r="I28" s="2"/>
      <c r="J28" s="2"/>
      <c r="K28" s="2"/>
    </row>
    <row r="29" spans="1:11">
      <c r="A29" s="2"/>
      <c r="B29" s="2" t="s">
        <v>41</v>
      </c>
      <c r="C29" s="2" t="s">
        <v>6</v>
      </c>
      <c r="D29" s="2"/>
      <c r="E29" s="2" t="s">
        <v>6</v>
      </c>
      <c r="F29" s="2" t="s">
        <v>6</v>
      </c>
      <c r="G29" s="24" t="s">
        <v>6</v>
      </c>
      <c r="H29" s="2"/>
      <c r="I29" s="2"/>
      <c r="J29" s="2"/>
      <c r="K29" s="2"/>
    </row>
    <row r="30" spans="1:11">
      <c r="A30" s="2"/>
      <c r="B30" s="2" t="s">
        <v>42</v>
      </c>
      <c r="C30" s="2" t="s">
        <v>6</v>
      </c>
      <c r="D30" s="2"/>
      <c r="E30" s="2" t="s">
        <v>6</v>
      </c>
      <c r="F30" s="2" t="s">
        <v>6</v>
      </c>
      <c r="G30" s="24" t="s">
        <v>6</v>
      </c>
      <c r="H30" s="2"/>
      <c r="I30" s="2"/>
      <c r="J30" s="2"/>
      <c r="K30" s="2"/>
    </row>
    <row r="31" spans="1:11">
      <c r="A31" s="2"/>
      <c r="B31" s="2" t="s">
        <v>43</v>
      </c>
      <c r="C31" s="2" t="s">
        <v>6</v>
      </c>
      <c r="D31" s="2"/>
      <c r="E31" s="2" t="s">
        <v>6</v>
      </c>
      <c r="F31" s="2" t="s">
        <v>6</v>
      </c>
      <c r="G31" s="24" t="s">
        <v>6</v>
      </c>
      <c r="H31" s="2"/>
      <c r="I31" s="2"/>
      <c r="J31" s="2"/>
      <c r="K31" s="2"/>
    </row>
    <row r="32" spans="1:11">
      <c r="A32" s="2"/>
      <c r="B32" s="2" t="s">
        <v>44</v>
      </c>
      <c r="C32" s="2" t="s">
        <v>6</v>
      </c>
      <c r="D32" s="2"/>
      <c r="E32" s="2" t="s">
        <v>6</v>
      </c>
      <c r="F32" s="2" t="s">
        <v>6</v>
      </c>
      <c r="G32" s="24" t="s">
        <v>6</v>
      </c>
      <c r="H32" s="2"/>
      <c r="I32" s="2"/>
      <c r="J32" s="2"/>
      <c r="K32" s="2"/>
    </row>
    <row r="33" spans="1:11">
      <c r="A33" s="2"/>
      <c r="B33" s="2" t="s">
        <v>45</v>
      </c>
      <c r="C33" s="2" t="s">
        <v>6</v>
      </c>
      <c r="D33" s="2"/>
      <c r="E33" s="2" t="s">
        <v>6</v>
      </c>
      <c r="F33" s="2" t="s">
        <v>6</v>
      </c>
      <c r="G33" s="24" t="s">
        <v>6</v>
      </c>
      <c r="H33" s="2"/>
      <c r="I33" s="2"/>
      <c r="J33" s="2"/>
      <c r="K33" s="2"/>
    </row>
    <row r="34" spans="1:11">
      <c r="A34" s="2"/>
      <c r="B34" s="2" t="s">
        <v>46</v>
      </c>
      <c r="C34" s="2" t="s">
        <v>6</v>
      </c>
      <c r="D34" s="2"/>
      <c r="E34" s="2" t="s">
        <v>6</v>
      </c>
      <c r="F34" s="2" t="s">
        <v>6</v>
      </c>
      <c r="G34" s="24" t="s">
        <v>6</v>
      </c>
      <c r="H34" s="2"/>
      <c r="I34" s="2"/>
      <c r="J34" s="2"/>
      <c r="K34" s="2"/>
    </row>
    <row r="35" spans="1:11">
      <c r="A35" s="2"/>
      <c r="B35" s="2" t="s">
        <v>47</v>
      </c>
      <c r="C35" s="2" t="s">
        <v>6</v>
      </c>
      <c r="D35" s="2"/>
      <c r="E35" s="2" t="s">
        <v>6</v>
      </c>
      <c r="F35" s="2" t="s">
        <v>6</v>
      </c>
      <c r="G35" s="24" t="s">
        <v>6</v>
      </c>
      <c r="H35" s="2"/>
      <c r="I35" s="2"/>
      <c r="J35" s="2"/>
      <c r="K35" s="2"/>
    </row>
    <row r="36" spans="1:11">
      <c r="A36" s="2"/>
      <c r="B36" s="2" t="s">
        <v>48</v>
      </c>
      <c r="C36" s="2" t="s">
        <v>6</v>
      </c>
      <c r="D36" s="2"/>
      <c r="E36" s="2" t="s">
        <v>6</v>
      </c>
      <c r="F36" s="2" t="s">
        <v>6</v>
      </c>
      <c r="G36" s="24" t="s">
        <v>6</v>
      </c>
      <c r="H36" s="2"/>
      <c r="I36" s="2"/>
      <c r="J36" s="2"/>
      <c r="K36" s="2"/>
    </row>
    <row r="37" spans="1:11">
      <c r="A37" s="2"/>
      <c r="B37" s="2" t="s">
        <v>49</v>
      </c>
      <c r="C37" s="2" t="s">
        <v>6</v>
      </c>
      <c r="D37" s="2"/>
      <c r="E37" s="2" t="s">
        <v>6</v>
      </c>
      <c r="F37" s="2" t="s">
        <v>6</v>
      </c>
      <c r="G37" s="24" t="s">
        <v>6</v>
      </c>
      <c r="H37" s="2"/>
      <c r="I37" s="2"/>
      <c r="J37" s="2"/>
      <c r="K37" s="2"/>
    </row>
    <row r="38" spans="1:11">
      <c r="A38" s="2"/>
      <c r="B38" s="2" t="s">
        <v>50</v>
      </c>
      <c r="C38" s="2" t="s">
        <v>6</v>
      </c>
      <c r="D38" s="2"/>
      <c r="E38" s="2" t="s">
        <v>6</v>
      </c>
      <c r="F38" s="2" t="s">
        <v>6</v>
      </c>
      <c r="G38" s="24" t="s">
        <v>6</v>
      </c>
      <c r="H38" s="2"/>
      <c r="I38" s="2"/>
      <c r="J38" s="2"/>
      <c r="K38" s="2"/>
    </row>
    <row r="39" spans="1:11">
      <c r="A39" s="2"/>
      <c r="B39" s="2" t="s">
        <v>51</v>
      </c>
      <c r="C39" s="2" t="s">
        <v>6</v>
      </c>
      <c r="D39" s="2"/>
      <c r="E39" s="2" t="s">
        <v>6</v>
      </c>
      <c r="F39" s="2" t="s">
        <v>6</v>
      </c>
      <c r="G39" s="24" t="s">
        <v>6</v>
      </c>
      <c r="H39" s="2"/>
      <c r="I39" s="2"/>
      <c r="J39" s="2"/>
      <c r="K39" s="2"/>
    </row>
    <row r="40" spans="1:11">
      <c r="A40" s="2"/>
      <c r="B40" s="2" t="s">
        <v>52</v>
      </c>
      <c r="C40" s="2" t="s">
        <v>6</v>
      </c>
      <c r="D40" s="2"/>
      <c r="E40" s="2" t="s">
        <v>6</v>
      </c>
      <c r="F40" s="2" t="s">
        <v>6</v>
      </c>
      <c r="G40" s="24" t="s">
        <v>6</v>
      </c>
      <c r="H40" s="2"/>
      <c r="I40" s="2"/>
      <c r="J40" s="2"/>
      <c r="K40" s="2"/>
    </row>
    <row r="41" spans="1:11">
      <c r="A41" s="2"/>
      <c r="B41" s="2" t="s">
        <v>53</v>
      </c>
      <c r="C41" s="2" t="s">
        <v>6</v>
      </c>
      <c r="D41" s="2"/>
      <c r="E41" s="2" t="s">
        <v>6</v>
      </c>
      <c r="F41" s="2" t="s">
        <v>6</v>
      </c>
      <c r="G41" s="24" t="s">
        <v>6</v>
      </c>
      <c r="H41" s="2"/>
      <c r="I41" s="2"/>
      <c r="J41" s="2"/>
      <c r="K41" s="2"/>
    </row>
    <row r="42" spans="1:11">
      <c r="A42" s="2"/>
      <c r="B42" s="2" t="s">
        <v>54</v>
      </c>
      <c r="C42" s="2" t="s">
        <v>6</v>
      </c>
      <c r="D42" s="2"/>
      <c r="E42" s="2" t="s">
        <v>6</v>
      </c>
      <c r="F42" s="2" t="s">
        <v>6</v>
      </c>
      <c r="G42" s="24" t="s">
        <v>6</v>
      </c>
      <c r="H42" s="2"/>
      <c r="I42" s="2"/>
      <c r="J42" s="2"/>
      <c r="K42" s="2"/>
    </row>
    <row r="43" spans="1:11">
      <c r="A43" s="2"/>
      <c r="B43" s="2" t="s">
        <v>55</v>
      </c>
      <c r="C43" s="2" t="s">
        <v>6</v>
      </c>
      <c r="D43" s="2"/>
      <c r="E43" s="2" t="s">
        <v>6</v>
      </c>
      <c r="F43" s="2" t="s">
        <v>6</v>
      </c>
      <c r="G43" s="24" t="s">
        <v>6</v>
      </c>
      <c r="H43" s="2"/>
      <c r="I43" s="2"/>
      <c r="J43" s="2"/>
      <c r="K43" s="2"/>
    </row>
    <row r="44" spans="1:11">
      <c r="A44" s="2"/>
      <c r="B44" s="2" t="s">
        <v>56</v>
      </c>
      <c r="C44" s="2" t="s">
        <v>6</v>
      </c>
      <c r="D44" s="2"/>
      <c r="E44" s="2" t="s">
        <v>6</v>
      </c>
      <c r="F44" s="2" t="s">
        <v>6</v>
      </c>
      <c r="G44" s="24" t="s">
        <v>6</v>
      </c>
      <c r="H44" s="2"/>
      <c r="I44" s="2"/>
      <c r="J44" s="2"/>
      <c r="K44" s="2"/>
    </row>
    <row r="45" spans="1:11">
      <c r="A45" s="2"/>
      <c r="B45" s="2" t="s">
        <v>57</v>
      </c>
      <c r="C45" s="2" t="s">
        <v>6</v>
      </c>
      <c r="D45" s="2"/>
      <c r="E45" s="2" t="s">
        <v>6</v>
      </c>
      <c r="F45" s="2" t="s">
        <v>6</v>
      </c>
      <c r="G45" s="24" t="s">
        <v>6</v>
      </c>
      <c r="H45" s="2"/>
      <c r="I45" s="2"/>
      <c r="J45" s="2"/>
      <c r="K45" s="2"/>
    </row>
    <row r="46" spans="1:11">
      <c r="A46" s="2"/>
      <c r="B46" s="2" t="s">
        <v>58</v>
      </c>
      <c r="C46" s="2" t="s">
        <v>6</v>
      </c>
      <c r="D46" s="2"/>
      <c r="E46" s="2" t="s">
        <v>6</v>
      </c>
      <c r="F46" s="2" t="s">
        <v>6</v>
      </c>
      <c r="G46" s="24" t="s">
        <v>6</v>
      </c>
      <c r="H46" s="2"/>
      <c r="I46" s="2"/>
      <c r="J46" s="2"/>
      <c r="K46" s="2"/>
    </row>
    <row r="47" spans="1:11">
      <c r="A47" s="2"/>
      <c r="B47" s="2" t="s">
        <v>59</v>
      </c>
      <c r="C47" s="2" t="s">
        <v>6</v>
      </c>
      <c r="D47" s="2"/>
      <c r="E47" s="2" t="s">
        <v>6</v>
      </c>
      <c r="F47" s="2" t="s">
        <v>6</v>
      </c>
      <c r="G47" s="24" t="s">
        <v>6</v>
      </c>
      <c r="H47" s="2"/>
      <c r="I47" s="2"/>
      <c r="J47" s="2"/>
      <c r="K47" s="2"/>
    </row>
    <row r="48" spans="1:11">
      <c r="A48" s="2"/>
      <c r="B48" s="2" t="s">
        <v>60</v>
      </c>
      <c r="C48" s="2" t="s">
        <v>6</v>
      </c>
      <c r="D48" s="2"/>
      <c r="E48" s="2" t="s">
        <v>6</v>
      </c>
      <c r="F48" s="2" t="s">
        <v>6</v>
      </c>
      <c r="G48" s="24" t="s">
        <v>6</v>
      </c>
      <c r="H48" s="2"/>
      <c r="I48" s="2"/>
      <c r="J48" s="2"/>
      <c r="K48" s="2"/>
    </row>
    <row r="49" spans="1:11">
      <c r="A49" s="2"/>
      <c r="B49" s="2" t="s">
        <v>61</v>
      </c>
      <c r="C49" s="2" t="s">
        <v>6</v>
      </c>
      <c r="D49" s="2"/>
      <c r="E49" s="2" t="s">
        <v>6</v>
      </c>
      <c r="F49" s="2" t="s">
        <v>6</v>
      </c>
      <c r="G49" s="24" t="s">
        <v>6</v>
      </c>
      <c r="H49" s="2"/>
      <c r="I49" s="2"/>
      <c r="J49" s="2"/>
      <c r="K49" s="2"/>
    </row>
    <row r="50" spans="1:11">
      <c r="A50" s="2"/>
      <c r="B50" s="2" t="s">
        <v>62</v>
      </c>
      <c r="C50" s="2" t="s">
        <v>6</v>
      </c>
      <c r="D50" s="2"/>
      <c r="E50" s="2" t="s">
        <v>6</v>
      </c>
      <c r="F50" s="2" t="s">
        <v>6</v>
      </c>
      <c r="G50" s="24" t="s">
        <v>6</v>
      </c>
      <c r="H50" s="2"/>
      <c r="I50" s="2"/>
      <c r="J50" s="2"/>
      <c r="K50" s="2"/>
    </row>
    <row r="51" spans="1:11">
      <c r="A51" s="2"/>
      <c r="B51" s="2" t="s">
        <v>63</v>
      </c>
      <c r="C51" s="2" t="s">
        <v>6</v>
      </c>
      <c r="D51" s="2"/>
      <c r="E51" s="2" t="s">
        <v>6</v>
      </c>
      <c r="F51" s="2" t="s">
        <v>6</v>
      </c>
      <c r="G51" s="24" t="s">
        <v>6</v>
      </c>
      <c r="H51" s="2"/>
      <c r="I51" s="2"/>
      <c r="J51" s="2"/>
      <c r="K51" s="2"/>
    </row>
    <row r="52" spans="1:11">
      <c r="A52" s="2"/>
      <c r="B52" s="2" t="s">
        <v>64</v>
      </c>
      <c r="C52" s="2" t="s">
        <v>6</v>
      </c>
      <c r="D52" s="2"/>
      <c r="E52" s="2" t="s">
        <v>6</v>
      </c>
      <c r="F52" s="2" t="s">
        <v>6</v>
      </c>
      <c r="G52" s="24" t="s">
        <v>6</v>
      </c>
      <c r="H52" s="2"/>
      <c r="I52" s="2"/>
      <c r="J52" s="2"/>
      <c r="K52" s="2"/>
    </row>
    <row r="53" spans="1:11">
      <c r="A53" s="2"/>
      <c r="B53" s="2" t="s">
        <v>65</v>
      </c>
      <c r="C53" s="2" t="s">
        <v>6</v>
      </c>
      <c r="D53" s="2"/>
      <c r="E53" s="2" t="s">
        <v>6</v>
      </c>
      <c r="F53" s="2" t="s">
        <v>6</v>
      </c>
      <c r="G53" s="24" t="s">
        <v>6</v>
      </c>
      <c r="H53" s="2"/>
      <c r="I53" s="2"/>
      <c r="J53" s="2"/>
      <c r="K53" s="2"/>
    </row>
    <row r="54" spans="1:11">
      <c r="A54" s="2"/>
      <c r="B54" s="2" t="s">
        <v>66</v>
      </c>
      <c r="C54" s="2" t="s">
        <v>6</v>
      </c>
      <c r="D54" s="2"/>
      <c r="E54" s="2" t="s">
        <v>6</v>
      </c>
      <c r="F54" s="2" t="s">
        <v>6</v>
      </c>
      <c r="G54" s="24" t="s">
        <v>6</v>
      </c>
      <c r="H54" s="2"/>
      <c r="I54" s="2"/>
      <c r="J54" s="2"/>
      <c r="K54" s="2"/>
    </row>
    <row r="55" spans="1:11">
      <c r="A55" s="2"/>
      <c r="B55" s="2" t="s">
        <v>67</v>
      </c>
      <c r="C55" s="2" t="s">
        <v>6</v>
      </c>
      <c r="D55" s="2"/>
      <c r="E55" s="2" t="s">
        <v>6</v>
      </c>
      <c r="F55" s="2" t="s">
        <v>6</v>
      </c>
      <c r="G55" s="24" t="s">
        <v>6</v>
      </c>
      <c r="H55" s="2"/>
      <c r="I55" s="2"/>
      <c r="J55" s="2"/>
      <c r="K55" s="2"/>
    </row>
    <row r="56" spans="1:11">
      <c r="A56" s="2"/>
      <c r="B56" s="2" t="s">
        <v>68</v>
      </c>
      <c r="C56" s="2" t="s">
        <v>6</v>
      </c>
      <c r="D56" s="2"/>
      <c r="E56" s="2" t="s">
        <v>6</v>
      </c>
      <c r="F56" s="2" t="s">
        <v>6</v>
      </c>
      <c r="G56" s="24" t="s">
        <v>6</v>
      </c>
      <c r="H56" s="2"/>
      <c r="I56" s="2"/>
      <c r="J56" s="2"/>
      <c r="K56" s="2"/>
    </row>
    <row r="57" spans="1:11">
      <c r="A57" s="2"/>
      <c r="B57" s="2" t="s">
        <v>69</v>
      </c>
      <c r="C57" s="2" t="s">
        <v>6</v>
      </c>
      <c r="D57" s="2"/>
      <c r="E57" s="2" t="s">
        <v>6</v>
      </c>
      <c r="F57" s="2" t="s">
        <v>6</v>
      </c>
      <c r="G57" s="24" t="s">
        <v>6</v>
      </c>
      <c r="H57" s="2"/>
      <c r="I57" s="2"/>
      <c r="J57" s="2"/>
      <c r="K57" s="2"/>
    </row>
    <row r="58" spans="1:11">
      <c r="A58" s="2"/>
      <c r="B58" s="2" t="s">
        <v>70</v>
      </c>
      <c r="C58" s="2" t="s">
        <v>6</v>
      </c>
      <c r="D58" s="2"/>
      <c r="E58" s="2" t="s">
        <v>6</v>
      </c>
      <c r="F58" s="2" t="s">
        <v>6</v>
      </c>
      <c r="G58" s="24" t="s">
        <v>6</v>
      </c>
      <c r="H58" s="2"/>
      <c r="I58" s="2"/>
      <c r="J58" s="2"/>
      <c r="K58" s="2"/>
    </row>
    <row r="59" spans="1:11">
      <c r="A59" s="2"/>
      <c r="B59" s="2" t="s">
        <v>71</v>
      </c>
      <c r="C59" s="2" t="s">
        <v>6</v>
      </c>
      <c r="D59" s="2"/>
      <c r="E59" s="2" t="s">
        <v>6</v>
      </c>
      <c r="F59" s="2" t="s">
        <v>6</v>
      </c>
      <c r="G59" s="24" t="s">
        <v>6</v>
      </c>
      <c r="H59" s="2"/>
      <c r="I59" s="2"/>
      <c r="J59" s="2"/>
      <c r="K59" s="2"/>
    </row>
    <row r="60" spans="1:11">
      <c r="A60" s="2"/>
      <c r="B60" s="2" t="s">
        <v>72</v>
      </c>
      <c r="C60" s="2" t="s">
        <v>6</v>
      </c>
      <c r="D60" s="2"/>
      <c r="E60" s="2" t="s">
        <v>6</v>
      </c>
      <c r="F60" s="2" t="s">
        <v>6</v>
      </c>
      <c r="G60" s="24" t="s">
        <v>6</v>
      </c>
      <c r="H60" s="2"/>
      <c r="I60" s="2"/>
      <c r="J60" s="2"/>
      <c r="K60" s="2"/>
    </row>
    <row r="61" spans="1:11">
      <c r="A61" s="2"/>
      <c r="B61" s="2" t="s">
        <v>73</v>
      </c>
      <c r="C61" s="2" t="s">
        <v>6</v>
      </c>
      <c r="D61" s="2"/>
      <c r="E61" s="2" t="s">
        <v>6</v>
      </c>
      <c r="F61" s="2" t="s">
        <v>6</v>
      </c>
      <c r="G61" s="24" t="s">
        <v>6</v>
      </c>
      <c r="H61" s="2"/>
      <c r="I61" s="2"/>
      <c r="J61" s="2"/>
      <c r="K61" s="2"/>
    </row>
    <row r="62" spans="1:11">
      <c r="A62" s="2"/>
      <c r="B62" s="2" t="s">
        <v>74</v>
      </c>
      <c r="C62" s="2" t="s">
        <v>6</v>
      </c>
      <c r="D62" s="2"/>
      <c r="E62" s="2" t="s">
        <v>6</v>
      </c>
      <c r="F62" s="2" t="s">
        <v>6</v>
      </c>
      <c r="G62" s="24" t="s">
        <v>6</v>
      </c>
      <c r="H62" s="2"/>
      <c r="I62" s="2"/>
      <c r="J62" s="2"/>
      <c r="K62" s="2"/>
    </row>
    <row r="63" spans="1:11">
      <c r="A63" s="2"/>
      <c r="B63" s="2" t="s">
        <v>75</v>
      </c>
      <c r="C63" s="2" t="s">
        <v>6</v>
      </c>
      <c r="D63" s="2"/>
      <c r="E63" s="2" t="s">
        <v>6</v>
      </c>
      <c r="F63" s="2" t="s">
        <v>6</v>
      </c>
      <c r="G63" s="24" t="s">
        <v>6</v>
      </c>
      <c r="H63" s="2"/>
      <c r="I63" s="2"/>
      <c r="J63" s="2"/>
      <c r="K63" s="2"/>
    </row>
    <row r="64" spans="1:11">
      <c r="A64" s="2"/>
      <c r="B64" s="2" t="s">
        <v>76</v>
      </c>
      <c r="C64" s="2" t="s">
        <v>6</v>
      </c>
      <c r="D64" s="2"/>
      <c r="E64" s="2" t="s">
        <v>6</v>
      </c>
      <c r="F64" s="2" t="s">
        <v>6</v>
      </c>
      <c r="G64" s="24" t="s">
        <v>6</v>
      </c>
      <c r="H64" s="2"/>
      <c r="I64" s="2"/>
      <c r="J64" s="2"/>
      <c r="K64" s="2"/>
    </row>
    <row r="65" spans="1:11">
      <c r="A65" s="2"/>
      <c r="B65" s="2" t="s">
        <v>77</v>
      </c>
      <c r="C65" s="2" t="s">
        <v>6</v>
      </c>
      <c r="D65" s="2"/>
      <c r="E65" s="2" t="s">
        <v>6</v>
      </c>
      <c r="F65" s="2" t="s">
        <v>6</v>
      </c>
      <c r="G65" s="24" t="s">
        <v>6</v>
      </c>
      <c r="H65" s="2"/>
      <c r="I65" s="2"/>
      <c r="J65" s="2"/>
      <c r="K65" s="2"/>
    </row>
    <row r="66" spans="1:11">
      <c r="A66" s="2"/>
      <c r="B66" s="2" t="s">
        <v>78</v>
      </c>
      <c r="C66" s="2" t="s">
        <v>6</v>
      </c>
      <c r="D66" s="2"/>
      <c r="E66" s="2" t="s">
        <v>6</v>
      </c>
      <c r="F66" s="2" t="s">
        <v>6</v>
      </c>
      <c r="G66" s="24" t="s">
        <v>6</v>
      </c>
      <c r="H66" s="2"/>
      <c r="I66" s="2"/>
      <c r="J66" s="2"/>
      <c r="K66" s="2"/>
    </row>
    <row r="67" spans="1:11">
      <c r="A67" s="2"/>
      <c r="B67" s="2" t="s">
        <v>79</v>
      </c>
      <c r="C67" s="2" t="s">
        <v>6</v>
      </c>
      <c r="D67" s="2"/>
      <c r="E67" s="2" t="s">
        <v>6</v>
      </c>
      <c r="F67" s="2" t="s">
        <v>6</v>
      </c>
      <c r="G67" s="24" t="s">
        <v>6</v>
      </c>
      <c r="H67" s="2"/>
      <c r="I67" s="2"/>
      <c r="J67" s="2"/>
      <c r="K67" s="2"/>
    </row>
    <row r="68" spans="1:11">
      <c r="A68" s="2"/>
      <c r="B68" s="2" t="s">
        <v>80</v>
      </c>
      <c r="C68" s="2" t="s">
        <v>6</v>
      </c>
      <c r="D68" s="2"/>
      <c r="E68" s="2" t="s">
        <v>6</v>
      </c>
      <c r="F68" s="2" t="s">
        <v>6</v>
      </c>
      <c r="G68" s="24" t="s">
        <v>6</v>
      </c>
      <c r="H68" s="2"/>
      <c r="I68" s="2"/>
      <c r="J68" s="2"/>
      <c r="K68" s="2"/>
    </row>
    <row r="69" spans="1:11">
      <c r="A69" s="2"/>
      <c r="B69" s="2" t="s">
        <v>81</v>
      </c>
      <c r="C69" s="2" t="s">
        <v>6</v>
      </c>
      <c r="D69" s="2"/>
      <c r="E69" s="2" t="s">
        <v>6</v>
      </c>
      <c r="F69" s="2" t="s">
        <v>6</v>
      </c>
      <c r="G69" s="24" t="s">
        <v>6</v>
      </c>
      <c r="H69" s="2"/>
      <c r="I69" s="2"/>
      <c r="J69" s="2"/>
      <c r="K69" s="2"/>
    </row>
    <row r="70" spans="1:11">
      <c r="A70" s="2"/>
      <c r="B70" s="2" t="s">
        <v>82</v>
      </c>
      <c r="C70" s="2" t="s">
        <v>6</v>
      </c>
      <c r="D70" s="2"/>
      <c r="E70" s="2" t="s">
        <v>6</v>
      </c>
      <c r="F70" s="2" t="s">
        <v>6</v>
      </c>
      <c r="G70" s="24" t="s">
        <v>6</v>
      </c>
      <c r="H70" s="2"/>
      <c r="I70" s="2"/>
      <c r="J70" s="2"/>
      <c r="K70" s="2"/>
    </row>
    <row r="71" spans="1:11">
      <c r="A71" s="2"/>
      <c r="B71" s="2" t="s">
        <v>83</v>
      </c>
      <c r="C71" s="2" t="s">
        <v>6</v>
      </c>
      <c r="D71" s="2"/>
      <c r="E71" s="2" t="s">
        <v>6</v>
      </c>
      <c r="F71" s="2" t="s">
        <v>6</v>
      </c>
      <c r="G71" s="24" t="s">
        <v>6</v>
      </c>
      <c r="H71" s="2"/>
      <c r="I71" s="2"/>
      <c r="J71" s="2"/>
      <c r="K71" s="2"/>
    </row>
    <row r="72" spans="1:11">
      <c r="A72" s="2"/>
      <c r="B72" s="2" t="s">
        <v>84</v>
      </c>
      <c r="C72" s="2" t="s">
        <v>6</v>
      </c>
      <c r="D72" s="2"/>
      <c r="E72" s="2" t="s">
        <v>6</v>
      </c>
      <c r="F72" s="2" t="s">
        <v>6</v>
      </c>
      <c r="G72" s="24" t="s">
        <v>6</v>
      </c>
      <c r="H72" s="2"/>
      <c r="I72" s="2"/>
      <c r="J72" s="2"/>
      <c r="K72" s="2"/>
    </row>
    <row r="73" spans="1:11">
      <c r="A73" s="2"/>
      <c r="B73" s="2" t="s">
        <v>85</v>
      </c>
      <c r="C73" s="2" t="s">
        <v>6</v>
      </c>
      <c r="D73" s="2"/>
      <c r="E73" s="2" t="s">
        <v>6</v>
      </c>
      <c r="F73" s="2" t="s">
        <v>6</v>
      </c>
      <c r="G73" s="24" t="s">
        <v>6</v>
      </c>
      <c r="H73" s="2"/>
      <c r="I73" s="2"/>
      <c r="J73" s="2"/>
      <c r="K73" s="2"/>
    </row>
    <row r="74" spans="1:11">
      <c r="A74" s="2"/>
      <c r="B74" s="2" t="s">
        <v>86</v>
      </c>
      <c r="C74" s="2" t="s">
        <v>6</v>
      </c>
      <c r="D74" s="2"/>
      <c r="E74" s="2" t="s">
        <v>6</v>
      </c>
      <c r="F74" s="2" t="s">
        <v>6</v>
      </c>
      <c r="G74" s="24" t="s">
        <v>6</v>
      </c>
      <c r="H74" s="2"/>
      <c r="I74" s="2"/>
      <c r="J74" s="2"/>
      <c r="K74" s="2"/>
    </row>
    <row r="75" spans="1:11">
      <c r="A75" s="2"/>
      <c r="B75" s="2" t="s">
        <v>87</v>
      </c>
      <c r="C75" s="2" t="s">
        <v>6</v>
      </c>
      <c r="D75" s="2"/>
      <c r="E75" s="2" t="s">
        <v>6</v>
      </c>
      <c r="F75" s="2" t="s">
        <v>6</v>
      </c>
      <c r="G75" s="24" t="s">
        <v>6</v>
      </c>
      <c r="H75" s="2"/>
      <c r="I75" s="2"/>
      <c r="J75" s="2"/>
      <c r="K75" s="2"/>
    </row>
    <row r="76" spans="1:11">
      <c r="A76" s="2"/>
      <c r="B76" s="2" t="s">
        <v>88</v>
      </c>
      <c r="C76" s="2" t="s">
        <v>6</v>
      </c>
      <c r="D76" s="2"/>
      <c r="E76" s="2" t="s">
        <v>6</v>
      </c>
      <c r="F76" s="2" t="s">
        <v>6</v>
      </c>
      <c r="G76" s="24" t="s">
        <v>6</v>
      </c>
      <c r="H76" s="2"/>
      <c r="I76" s="2"/>
      <c r="J76" s="2"/>
      <c r="K76" s="2"/>
    </row>
    <row r="77" spans="1:11">
      <c r="A77" s="2"/>
      <c r="B77" s="2" t="s">
        <v>89</v>
      </c>
      <c r="C77" s="2" t="s">
        <v>6</v>
      </c>
      <c r="D77" s="2"/>
      <c r="E77" s="2" t="s">
        <v>6</v>
      </c>
      <c r="F77" s="2" t="s">
        <v>6</v>
      </c>
      <c r="G77" s="24" t="s">
        <v>6</v>
      </c>
      <c r="H77" s="2"/>
      <c r="I77" s="2"/>
      <c r="J77" s="2"/>
      <c r="K77" s="2"/>
    </row>
    <row r="78" spans="1:11">
      <c r="A78" s="2"/>
      <c r="B78" s="2" t="s">
        <v>90</v>
      </c>
      <c r="C78" s="2" t="s">
        <v>6</v>
      </c>
      <c r="D78" s="2"/>
      <c r="E78" s="2" t="s">
        <v>6</v>
      </c>
      <c r="F78" s="2" t="s">
        <v>6</v>
      </c>
      <c r="G78" s="24" t="s">
        <v>6</v>
      </c>
      <c r="H78" s="2"/>
      <c r="I78" s="2"/>
      <c r="J78" s="2"/>
      <c r="K78" s="2"/>
    </row>
    <row r="79" spans="1:11">
      <c r="A79" s="2"/>
      <c r="B79" s="2" t="s">
        <v>91</v>
      </c>
      <c r="C79" s="2" t="s">
        <v>6</v>
      </c>
      <c r="D79" s="2"/>
      <c r="E79" s="2" t="s">
        <v>6</v>
      </c>
      <c r="F79" s="2" t="s">
        <v>6</v>
      </c>
      <c r="G79" s="24" t="s">
        <v>6</v>
      </c>
      <c r="H79" s="2"/>
      <c r="I79" s="2"/>
      <c r="J79" s="2"/>
      <c r="K79" s="2"/>
    </row>
    <row r="80" spans="1:11">
      <c r="A80" s="2"/>
      <c r="B80" s="2" t="s">
        <v>92</v>
      </c>
      <c r="C80" s="2" t="s">
        <v>6</v>
      </c>
      <c r="D80" s="2"/>
      <c r="E80" s="2" t="s">
        <v>6</v>
      </c>
      <c r="F80" s="2" t="s">
        <v>6</v>
      </c>
      <c r="G80" s="24" t="s">
        <v>6</v>
      </c>
      <c r="H80" s="2"/>
      <c r="I80" s="2"/>
      <c r="J80" s="2"/>
      <c r="K80" s="2"/>
    </row>
    <row r="81" spans="1:11">
      <c r="A81" s="2"/>
      <c r="B81" s="2" t="s">
        <v>93</v>
      </c>
      <c r="C81" s="2" t="s">
        <v>6</v>
      </c>
      <c r="D81" s="2"/>
      <c r="E81" s="2" t="s">
        <v>6</v>
      </c>
      <c r="F81" s="2" t="s">
        <v>6</v>
      </c>
      <c r="G81" s="24" t="s">
        <v>6</v>
      </c>
      <c r="H81" s="2"/>
      <c r="I81" s="2"/>
      <c r="J81" s="2"/>
      <c r="K81" s="2"/>
    </row>
    <row r="82" spans="1:11">
      <c r="A82" s="2"/>
      <c r="B82" s="2" t="s">
        <v>94</v>
      </c>
      <c r="C82" s="2" t="s">
        <v>6</v>
      </c>
      <c r="D82" s="2"/>
      <c r="E82" s="2" t="s">
        <v>6</v>
      </c>
      <c r="F82" s="2" t="s">
        <v>6</v>
      </c>
      <c r="G82" s="24" t="s">
        <v>6</v>
      </c>
      <c r="H82" s="2"/>
      <c r="I82" s="2"/>
      <c r="J82" s="2"/>
      <c r="K82" s="2"/>
    </row>
    <row r="83" spans="1:11">
      <c r="A83" s="2"/>
      <c r="B83" s="2" t="s">
        <v>95</v>
      </c>
      <c r="C83" s="2" t="s">
        <v>6</v>
      </c>
      <c r="D83" s="2"/>
      <c r="E83" s="2" t="s">
        <v>6</v>
      </c>
      <c r="F83" s="2" t="s">
        <v>6</v>
      </c>
      <c r="G83" s="24" t="s">
        <v>6</v>
      </c>
      <c r="H83" s="2"/>
      <c r="I83" s="2"/>
      <c r="J83" s="2"/>
      <c r="K83" s="2"/>
    </row>
    <row r="84" spans="1:11">
      <c r="A84" s="2"/>
      <c r="B84" s="2" t="s">
        <v>96</v>
      </c>
      <c r="C84" s="2" t="s">
        <v>6</v>
      </c>
      <c r="D84" s="2"/>
      <c r="E84" s="2" t="s">
        <v>6</v>
      </c>
      <c r="F84" s="2" t="s">
        <v>6</v>
      </c>
      <c r="G84" s="24" t="s">
        <v>6</v>
      </c>
      <c r="H84" s="2"/>
      <c r="I84" s="2"/>
      <c r="J84" s="2"/>
      <c r="K84" s="2"/>
    </row>
    <row r="85" spans="1:11">
      <c r="A85" s="2"/>
      <c r="B85" s="2" t="s">
        <v>97</v>
      </c>
      <c r="C85" s="2" t="s">
        <v>6</v>
      </c>
      <c r="D85" s="2"/>
      <c r="E85" s="2" t="s">
        <v>6</v>
      </c>
      <c r="F85" s="2" t="s">
        <v>6</v>
      </c>
      <c r="G85" s="24" t="s">
        <v>6</v>
      </c>
      <c r="H85" s="2"/>
      <c r="I85" s="2"/>
      <c r="J85" s="2"/>
      <c r="K85" s="2"/>
    </row>
    <row r="86" spans="1:11">
      <c r="A86" s="2"/>
      <c r="B86" s="2" t="s">
        <v>98</v>
      </c>
      <c r="C86" s="2" t="s">
        <v>6</v>
      </c>
      <c r="D86" s="2"/>
      <c r="E86" s="2" t="s">
        <v>6</v>
      </c>
      <c r="F86" s="2" t="s">
        <v>6</v>
      </c>
      <c r="G86" s="24" t="s">
        <v>6</v>
      </c>
      <c r="H86" s="2"/>
      <c r="I86" s="2"/>
      <c r="J86" s="2"/>
      <c r="K86" s="2"/>
    </row>
    <row r="87" spans="1:11">
      <c r="A87" s="2"/>
      <c r="B87" s="2" t="s">
        <v>99</v>
      </c>
      <c r="C87" s="2" t="s">
        <v>6</v>
      </c>
      <c r="D87" s="2"/>
      <c r="E87" s="2" t="s">
        <v>6</v>
      </c>
      <c r="F87" s="2" t="s">
        <v>6</v>
      </c>
      <c r="G87" s="24" t="s">
        <v>6</v>
      </c>
      <c r="H87" s="2"/>
      <c r="I87" s="2"/>
      <c r="J87" s="2"/>
      <c r="K87" s="2"/>
    </row>
    <row r="88" spans="1:11">
      <c r="A88" s="2"/>
      <c r="B88" s="2" t="s">
        <v>100</v>
      </c>
      <c r="C88" s="2" t="s">
        <v>6</v>
      </c>
      <c r="D88" s="2"/>
      <c r="E88" s="2" t="s">
        <v>6</v>
      </c>
      <c r="F88" s="2" t="s">
        <v>6</v>
      </c>
      <c r="G88" s="24" t="s">
        <v>6</v>
      </c>
      <c r="H88" s="2"/>
      <c r="I88" s="2"/>
      <c r="J88" s="2"/>
      <c r="K88" s="2"/>
    </row>
    <row r="89" spans="1:11">
      <c r="A89" s="2"/>
      <c r="B89" s="2" t="s">
        <v>101</v>
      </c>
      <c r="C89" s="2" t="s">
        <v>6</v>
      </c>
      <c r="D89" s="2"/>
      <c r="E89" s="2" t="s">
        <v>6</v>
      </c>
      <c r="F89" s="2" t="s">
        <v>6</v>
      </c>
      <c r="G89" s="24" t="s">
        <v>6</v>
      </c>
      <c r="H89" s="2"/>
      <c r="I89" s="2"/>
      <c r="J89" s="2"/>
      <c r="K89" s="2"/>
    </row>
    <row r="90" spans="1:11">
      <c r="A90" s="2"/>
      <c r="B90" s="2" t="s">
        <v>102</v>
      </c>
      <c r="C90" s="2" t="s">
        <v>6</v>
      </c>
      <c r="D90" s="2"/>
      <c r="E90" s="2" t="s">
        <v>6</v>
      </c>
      <c r="F90" s="2" t="s">
        <v>6</v>
      </c>
      <c r="G90" s="24" t="s">
        <v>6</v>
      </c>
      <c r="H90" s="2"/>
      <c r="I90" s="2"/>
      <c r="J90" s="2"/>
      <c r="K90" s="2"/>
    </row>
    <row r="91" spans="1:11">
      <c r="A91" s="2"/>
      <c r="B91" s="2" t="s">
        <v>103</v>
      </c>
      <c r="C91" s="2" t="s">
        <v>6</v>
      </c>
      <c r="D91" s="2"/>
      <c r="E91" s="2" t="s">
        <v>6</v>
      </c>
      <c r="F91" s="2" t="s">
        <v>6</v>
      </c>
      <c r="G91" s="24" t="s">
        <v>6</v>
      </c>
      <c r="H91" s="2"/>
      <c r="I91" s="2"/>
      <c r="J91" s="2"/>
      <c r="K91" s="2"/>
    </row>
    <row r="92" spans="1:11">
      <c r="A92" s="2"/>
      <c r="B92" s="2" t="s">
        <v>104</v>
      </c>
      <c r="C92" s="2" t="s">
        <v>6</v>
      </c>
      <c r="D92" s="2"/>
      <c r="E92" s="2" t="s">
        <v>6</v>
      </c>
      <c r="F92" s="2" t="s">
        <v>6</v>
      </c>
      <c r="G92" s="24" t="s">
        <v>6</v>
      </c>
      <c r="H92" s="2"/>
      <c r="I92" s="2"/>
      <c r="J92" s="2"/>
      <c r="K92" s="2"/>
    </row>
    <row r="93" spans="1:11">
      <c r="A93" s="2"/>
      <c r="B93" s="2" t="s">
        <v>105</v>
      </c>
      <c r="C93" s="2" t="s">
        <v>6</v>
      </c>
      <c r="D93" s="2"/>
      <c r="E93" s="2" t="s">
        <v>6</v>
      </c>
      <c r="F93" s="2" t="s">
        <v>6</v>
      </c>
      <c r="G93" s="24" t="s">
        <v>6</v>
      </c>
      <c r="H93" s="2"/>
      <c r="I93" s="2"/>
      <c r="J93" s="2"/>
      <c r="K93" s="2"/>
    </row>
    <row r="94" spans="1:11">
      <c r="A94" s="2"/>
      <c r="B94" s="2" t="s">
        <v>106</v>
      </c>
      <c r="C94" s="2" t="s">
        <v>6</v>
      </c>
      <c r="D94" s="2"/>
      <c r="E94" s="2" t="s">
        <v>6</v>
      </c>
      <c r="F94" s="2" t="s">
        <v>6</v>
      </c>
      <c r="G94" s="24" t="s">
        <v>6</v>
      </c>
      <c r="H94" s="2"/>
      <c r="I94" s="2"/>
      <c r="J94" s="2"/>
      <c r="K94" s="2"/>
    </row>
    <row r="95" spans="1:11">
      <c r="A95" s="2"/>
      <c r="B95" s="2" t="s">
        <v>107</v>
      </c>
      <c r="C95" s="2" t="s">
        <v>6</v>
      </c>
      <c r="D95" s="2"/>
      <c r="E95" s="2" t="s">
        <v>6</v>
      </c>
      <c r="F95" s="2" t="s">
        <v>6</v>
      </c>
      <c r="G95" s="24" t="s">
        <v>6</v>
      </c>
      <c r="H95" s="2"/>
      <c r="I95" s="2"/>
      <c r="J95" s="2"/>
      <c r="K95" s="2"/>
    </row>
    <row r="96" spans="1:11">
      <c r="A96" s="2"/>
      <c r="B96" s="2" t="s">
        <v>108</v>
      </c>
      <c r="C96" s="2" t="s">
        <v>6</v>
      </c>
      <c r="D96" s="2"/>
      <c r="E96" s="2" t="s">
        <v>6</v>
      </c>
      <c r="F96" s="2" t="s">
        <v>6</v>
      </c>
      <c r="G96" s="24" t="s">
        <v>6</v>
      </c>
      <c r="H96" s="2"/>
      <c r="I96" s="2"/>
      <c r="J96" s="2"/>
      <c r="K96" s="2"/>
    </row>
    <row r="97" spans="1:11">
      <c r="A97" s="2"/>
      <c r="B97" s="2" t="s">
        <v>109</v>
      </c>
      <c r="C97" s="2" t="s">
        <v>6</v>
      </c>
      <c r="D97" s="2"/>
      <c r="E97" s="2" t="s">
        <v>6</v>
      </c>
      <c r="F97" s="2" t="s">
        <v>6</v>
      </c>
      <c r="G97" s="24" t="s">
        <v>6</v>
      </c>
      <c r="H97" s="2"/>
      <c r="I97" s="2"/>
      <c r="J97" s="2"/>
      <c r="K97" s="2"/>
    </row>
    <row r="98" spans="1:11">
      <c r="A98" s="2"/>
      <c r="B98" s="2" t="s">
        <v>110</v>
      </c>
      <c r="C98" s="2" t="s">
        <v>6</v>
      </c>
      <c r="D98" s="2" t="s">
        <v>6</v>
      </c>
      <c r="E98" s="2" t="s">
        <v>6</v>
      </c>
      <c r="F98" s="2" t="s">
        <v>6</v>
      </c>
      <c r="G98" s="24" t="s">
        <v>6</v>
      </c>
      <c r="H98" s="2"/>
      <c r="I98" s="2"/>
      <c r="J98" s="2"/>
      <c r="K98" s="2"/>
    </row>
    <row r="99" spans="1:11">
      <c r="A99" s="2"/>
      <c r="B99" s="2" t="s">
        <v>111</v>
      </c>
      <c r="C99" s="2" t="s">
        <v>6</v>
      </c>
      <c r="D99" s="2" t="s">
        <v>6</v>
      </c>
      <c r="E99" s="2" t="s">
        <v>6</v>
      </c>
      <c r="F99" s="2" t="s">
        <v>6</v>
      </c>
      <c r="G99" s="24" t="s">
        <v>6</v>
      </c>
      <c r="H99" s="2"/>
      <c r="I99" s="2"/>
      <c r="J99" s="2"/>
      <c r="K99" s="2"/>
    </row>
    <row r="100" spans="1:11">
      <c r="A100" s="2"/>
      <c r="B100" s="2" t="s">
        <v>112</v>
      </c>
      <c r="C100" s="2" t="s">
        <v>6</v>
      </c>
      <c r="D100" s="2" t="s">
        <v>6</v>
      </c>
      <c r="E100" s="2" t="s">
        <v>6</v>
      </c>
      <c r="F100" s="2" t="s">
        <v>6</v>
      </c>
      <c r="G100" s="24" t="s">
        <v>6</v>
      </c>
      <c r="H100" s="2"/>
      <c r="I100" s="2"/>
      <c r="J100" s="2"/>
      <c r="K100" s="2"/>
    </row>
    <row r="101" spans="1:11">
      <c r="A101" s="2"/>
      <c r="B101" s="2" t="s">
        <v>113</v>
      </c>
      <c r="C101" s="2" t="s">
        <v>6</v>
      </c>
      <c r="D101" s="2" t="s">
        <v>6</v>
      </c>
      <c r="E101" s="2" t="s">
        <v>6</v>
      </c>
      <c r="F101" s="2" t="s">
        <v>6</v>
      </c>
      <c r="G101" s="24" t="s">
        <v>6</v>
      </c>
      <c r="H101" s="2"/>
      <c r="I101" s="2"/>
      <c r="J101" s="2"/>
      <c r="K101" s="2"/>
    </row>
    <row r="102" spans="1:11">
      <c r="A102" s="2"/>
      <c r="B102" s="2" t="s">
        <v>114</v>
      </c>
      <c r="C102" s="2" t="s">
        <v>6</v>
      </c>
      <c r="D102" s="2" t="s">
        <v>6</v>
      </c>
      <c r="E102" s="2" t="s">
        <v>6</v>
      </c>
      <c r="F102" s="2" t="s">
        <v>6</v>
      </c>
      <c r="G102" s="24" t="s">
        <v>6</v>
      </c>
      <c r="H102" s="2"/>
      <c r="I102" s="2"/>
      <c r="J102" s="2"/>
      <c r="K102" s="2"/>
    </row>
    <row r="103" spans="1:11">
      <c r="A103" s="2"/>
      <c r="B103" s="2" t="s">
        <v>115</v>
      </c>
      <c r="C103" s="2" t="s">
        <v>6</v>
      </c>
      <c r="D103" s="2" t="s">
        <v>6</v>
      </c>
      <c r="E103" s="2" t="s">
        <v>6</v>
      </c>
      <c r="F103" s="2" t="s">
        <v>6</v>
      </c>
      <c r="G103" s="24" t="s">
        <v>6</v>
      </c>
      <c r="H103" s="2"/>
      <c r="I103" s="2"/>
      <c r="J103" s="2"/>
      <c r="K103" s="2"/>
    </row>
    <row r="104" spans="1:11">
      <c r="A104" s="2"/>
      <c r="B104" s="2" t="s">
        <v>116</v>
      </c>
      <c r="C104" s="2" t="s">
        <v>6</v>
      </c>
      <c r="D104" s="2" t="s">
        <v>6</v>
      </c>
      <c r="E104" s="2" t="s">
        <v>6</v>
      </c>
      <c r="F104" s="2" t="s">
        <v>6</v>
      </c>
      <c r="G104" s="24" t="s">
        <v>6</v>
      </c>
      <c r="H104" s="2"/>
      <c r="I104" s="2"/>
      <c r="J104" s="2"/>
      <c r="K104" s="2"/>
    </row>
    <row r="105" spans="1:11">
      <c r="A105" s="2"/>
      <c r="B105" s="2" t="s">
        <v>117</v>
      </c>
      <c r="C105" s="2" t="s">
        <v>6</v>
      </c>
      <c r="D105" s="2" t="s">
        <v>6</v>
      </c>
      <c r="E105" s="2" t="s">
        <v>6</v>
      </c>
      <c r="F105" s="2" t="s">
        <v>6</v>
      </c>
      <c r="G105" s="24" t="s">
        <v>6</v>
      </c>
      <c r="H105" s="2"/>
      <c r="I105" s="2"/>
      <c r="J105" s="2"/>
      <c r="K105" s="2"/>
    </row>
    <row r="106" spans="1:11">
      <c r="A106" s="2"/>
      <c r="B106" s="2" t="s">
        <v>118</v>
      </c>
      <c r="C106" s="2" t="s">
        <v>6</v>
      </c>
      <c r="D106" s="2" t="s">
        <v>6</v>
      </c>
      <c r="E106" s="2" t="s">
        <v>6</v>
      </c>
      <c r="F106" s="2" t="s">
        <v>6</v>
      </c>
      <c r="G106" s="24" t="s">
        <v>6</v>
      </c>
      <c r="H106" s="2"/>
      <c r="I106" s="2"/>
      <c r="J106" s="2"/>
      <c r="K106" s="2"/>
    </row>
    <row r="107" spans="1:11">
      <c r="A107" s="2"/>
      <c r="B107" s="2" t="s">
        <v>119</v>
      </c>
      <c r="C107" s="2" t="s">
        <v>6</v>
      </c>
      <c r="D107" s="2" t="s">
        <v>6</v>
      </c>
      <c r="E107" s="2" t="s">
        <v>6</v>
      </c>
      <c r="F107" s="2" t="s">
        <v>6</v>
      </c>
      <c r="G107" s="24" t="s">
        <v>6</v>
      </c>
      <c r="H107" s="2"/>
      <c r="I107" s="2"/>
      <c r="J107" s="2"/>
      <c r="K107" s="2"/>
    </row>
    <row r="108" spans="1:11">
      <c r="A108" s="2"/>
      <c r="B108" s="2" t="s">
        <v>120</v>
      </c>
      <c r="C108" s="2" t="s">
        <v>6</v>
      </c>
      <c r="D108" s="2" t="s">
        <v>6</v>
      </c>
      <c r="E108" s="2" t="s">
        <v>6</v>
      </c>
      <c r="F108" s="2" t="s">
        <v>6</v>
      </c>
      <c r="G108" s="24" t="s">
        <v>6</v>
      </c>
      <c r="H108" s="2"/>
      <c r="I108" s="2"/>
      <c r="J108" s="2"/>
      <c r="K108" s="2"/>
    </row>
    <row r="109" spans="1:11">
      <c r="A109" s="2"/>
      <c r="B109" s="2" t="s">
        <v>121</v>
      </c>
      <c r="C109" s="2" t="s">
        <v>6</v>
      </c>
      <c r="D109" s="2" t="s">
        <v>6</v>
      </c>
      <c r="E109" s="2" t="s">
        <v>6</v>
      </c>
      <c r="F109" s="2" t="s">
        <v>6</v>
      </c>
      <c r="G109" s="24" t="s">
        <v>6</v>
      </c>
      <c r="H109" s="2"/>
      <c r="I109" s="2"/>
      <c r="J109" s="2"/>
      <c r="K109" s="2"/>
    </row>
    <row r="110" spans="1:11">
      <c r="A110" s="2"/>
      <c r="B110" s="2" t="s">
        <v>122</v>
      </c>
      <c r="C110" s="2" t="s">
        <v>6</v>
      </c>
      <c r="D110" s="2" t="s">
        <v>6</v>
      </c>
      <c r="E110" s="2" t="s">
        <v>6</v>
      </c>
      <c r="F110" s="2" t="s">
        <v>6</v>
      </c>
      <c r="G110" s="24" t="s">
        <v>6</v>
      </c>
      <c r="H110" s="2"/>
      <c r="I110" s="2"/>
      <c r="J110" s="2"/>
      <c r="K110" s="2"/>
    </row>
    <row r="111" spans="1:11">
      <c r="A111" s="2"/>
      <c r="B111" s="2" t="s">
        <v>123</v>
      </c>
      <c r="C111" s="2" t="s">
        <v>6</v>
      </c>
      <c r="D111" s="2" t="s">
        <v>6</v>
      </c>
      <c r="E111" s="2" t="s">
        <v>6</v>
      </c>
      <c r="F111" s="2" t="s">
        <v>6</v>
      </c>
      <c r="G111" s="24" t="s">
        <v>6</v>
      </c>
      <c r="H111" s="2"/>
      <c r="I111" s="2"/>
      <c r="J111" s="2"/>
      <c r="K111" s="2"/>
    </row>
    <row r="112" spans="1:11">
      <c r="A112" s="2"/>
      <c r="B112" s="2" t="s">
        <v>124</v>
      </c>
      <c r="C112" s="2" t="s">
        <v>6</v>
      </c>
      <c r="D112" s="2" t="s">
        <v>6</v>
      </c>
      <c r="E112" s="2" t="s">
        <v>6</v>
      </c>
      <c r="F112" s="2" t="s">
        <v>6</v>
      </c>
      <c r="G112" s="24" t="s">
        <v>6</v>
      </c>
      <c r="H112" s="2"/>
      <c r="I112" s="2"/>
      <c r="J112" s="2"/>
      <c r="K112" s="2"/>
    </row>
    <row r="113" spans="1:11">
      <c r="A113" s="2"/>
      <c r="B113" s="2" t="s">
        <v>125</v>
      </c>
      <c r="C113" s="2" t="s">
        <v>6</v>
      </c>
      <c r="D113" s="2" t="s">
        <v>6</v>
      </c>
      <c r="E113" s="2" t="s">
        <v>6</v>
      </c>
      <c r="F113" s="2" t="s">
        <v>6</v>
      </c>
      <c r="G113" s="24" t="s">
        <v>6</v>
      </c>
      <c r="H113" s="2"/>
      <c r="I113" s="2"/>
      <c r="J113" s="2"/>
      <c r="K113" s="2"/>
    </row>
    <row r="114" spans="1:11">
      <c r="A114" s="2"/>
      <c r="B114" s="2" t="s">
        <v>126</v>
      </c>
      <c r="C114" s="2" t="s">
        <v>6</v>
      </c>
      <c r="D114" s="2" t="s">
        <v>6</v>
      </c>
      <c r="E114" s="2" t="s">
        <v>6</v>
      </c>
      <c r="F114" s="2" t="s">
        <v>6</v>
      </c>
      <c r="G114" s="24" t="s">
        <v>6</v>
      </c>
      <c r="H114" s="2"/>
      <c r="I114" s="2"/>
      <c r="J114" s="2"/>
      <c r="K114" s="2"/>
    </row>
    <row r="115" spans="1:11">
      <c r="A115" s="2"/>
      <c r="B115" s="2" t="s">
        <v>127</v>
      </c>
      <c r="C115" s="2" t="s">
        <v>6</v>
      </c>
      <c r="D115" s="2" t="s">
        <v>6</v>
      </c>
      <c r="E115" s="2" t="s">
        <v>6</v>
      </c>
      <c r="F115" s="2" t="s">
        <v>6</v>
      </c>
      <c r="G115" s="24" t="s">
        <v>6</v>
      </c>
      <c r="H115" s="2"/>
      <c r="I115" s="2"/>
      <c r="J115" s="2"/>
      <c r="K115" s="2"/>
    </row>
    <row r="116" spans="1:11">
      <c r="A116" s="2"/>
      <c r="B116" s="2" t="s">
        <v>128</v>
      </c>
      <c r="C116" s="2" t="s">
        <v>6</v>
      </c>
      <c r="D116" s="2" t="s">
        <v>6</v>
      </c>
      <c r="E116" s="2" t="s">
        <v>6</v>
      </c>
      <c r="F116" s="2" t="s">
        <v>6</v>
      </c>
      <c r="G116" s="24" t="s">
        <v>6</v>
      </c>
      <c r="H116" s="2"/>
      <c r="I116" s="2"/>
      <c r="J116" s="2"/>
      <c r="K116" s="2"/>
    </row>
    <row r="117" spans="1:11">
      <c r="A117" s="2"/>
      <c r="B117" s="2" t="s">
        <v>129</v>
      </c>
      <c r="C117" s="2" t="s">
        <v>6</v>
      </c>
      <c r="D117" s="2" t="s">
        <v>6</v>
      </c>
      <c r="E117" s="2" t="s">
        <v>6</v>
      </c>
      <c r="F117" s="2" t="s">
        <v>6</v>
      </c>
      <c r="G117" s="24" t="s">
        <v>6</v>
      </c>
      <c r="H117" s="2"/>
      <c r="I117" s="2"/>
      <c r="J117" s="2"/>
      <c r="K117" s="2"/>
    </row>
    <row r="118" spans="1:11">
      <c r="A118" s="2"/>
      <c r="B118" s="2" t="s">
        <v>130</v>
      </c>
      <c r="C118" s="2" t="s">
        <v>6</v>
      </c>
      <c r="D118" s="2" t="s">
        <v>6</v>
      </c>
      <c r="E118" s="2" t="s">
        <v>6</v>
      </c>
      <c r="F118" s="2" t="s">
        <v>6</v>
      </c>
      <c r="G118" s="24" t="s">
        <v>6</v>
      </c>
      <c r="H118" s="2"/>
      <c r="I118" s="2"/>
      <c r="J118" s="2"/>
      <c r="K118" s="2"/>
    </row>
    <row r="119" spans="1:11">
      <c r="A119" s="2"/>
      <c r="B119" s="2" t="s">
        <v>131</v>
      </c>
      <c r="C119" s="2" t="s">
        <v>6</v>
      </c>
      <c r="D119" s="2" t="s">
        <v>6</v>
      </c>
      <c r="E119" s="2" t="s">
        <v>6</v>
      </c>
      <c r="F119" s="2" t="s">
        <v>6</v>
      </c>
      <c r="G119" s="24" t="s">
        <v>6</v>
      </c>
      <c r="H119" s="2"/>
      <c r="I119" s="2"/>
      <c r="J119" s="2"/>
      <c r="K119" s="2"/>
    </row>
    <row r="120" spans="1:11">
      <c r="A120" s="2"/>
      <c r="B120" s="2" t="s">
        <v>132</v>
      </c>
      <c r="C120" s="2" t="s">
        <v>6</v>
      </c>
      <c r="D120" s="2" t="s">
        <v>6</v>
      </c>
      <c r="E120" s="2" t="s">
        <v>6</v>
      </c>
      <c r="F120" s="2" t="s">
        <v>6</v>
      </c>
      <c r="G120" s="24" t="s">
        <v>6</v>
      </c>
      <c r="H120" s="2"/>
      <c r="I120" s="2"/>
      <c r="J120" s="2"/>
      <c r="K120" s="2"/>
    </row>
    <row r="121" spans="1:11">
      <c r="A121" s="2"/>
      <c r="B121" s="2" t="s">
        <v>133</v>
      </c>
      <c r="C121" s="2" t="s">
        <v>6</v>
      </c>
      <c r="D121" s="2" t="s">
        <v>6</v>
      </c>
      <c r="E121" s="2" t="s">
        <v>6</v>
      </c>
      <c r="F121" s="2" t="s">
        <v>6</v>
      </c>
      <c r="G121" s="24" t="s">
        <v>6</v>
      </c>
      <c r="H121" s="2"/>
      <c r="I121" s="2"/>
      <c r="J121" s="2"/>
      <c r="K121" s="2"/>
    </row>
    <row r="122" spans="1:11">
      <c r="A122" s="2"/>
      <c r="B122" s="2" t="s">
        <v>134</v>
      </c>
      <c r="C122" s="2" t="s">
        <v>6</v>
      </c>
      <c r="D122" s="2" t="s">
        <v>6</v>
      </c>
      <c r="E122" s="2" t="s">
        <v>6</v>
      </c>
      <c r="F122" s="2" t="s">
        <v>6</v>
      </c>
      <c r="G122" s="24" t="s">
        <v>6</v>
      </c>
      <c r="H122" s="2"/>
      <c r="I122" s="2"/>
      <c r="J122" s="2"/>
      <c r="K122" s="2"/>
    </row>
    <row r="123" spans="1:11">
      <c r="A123" s="2"/>
      <c r="B123" s="2" t="s">
        <v>135</v>
      </c>
      <c r="C123" s="2" t="s">
        <v>6</v>
      </c>
      <c r="D123" s="2" t="s">
        <v>6</v>
      </c>
      <c r="E123" s="2" t="s">
        <v>6</v>
      </c>
      <c r="F123" s="2" t="s">
        <v>6</v>
      </c>
      <c r="G123" s="24" t="s">
        <v>6</v>
      </c>
      <c r="H123" s="2"/>
      <c r="I123" s="2"/>
      <c r="J123" s="2"/>
      <c r="K123" s="2"/>
    </row>
    <row r="124" spans="1:11">
      <c r="A124" s="2"/>
      <c r="B124" s="2" t="s">
        <v>136</v>
      </c>
      <c r="C124" s="2" t="s">
        <v>6</v>
      </c>
      <c r="D124" s="2" t="s">
        <v>6</v>
      </c>
      <c r="E124" s="2" t="s">
        <v>6</v>
      </c>
      <c r="F124" s="2" t="s">
        <v>6</v>
      </c>
      <c r="G124" s="24" t="s">
        <v>6</v>
      </c>
      <c r="H124" s="2"/>
      <c r="I124" s="2"/>
      <c r="J124" s="2"/>
      <c r="K124" s="2"/>
    </row>
    <row r="125" spans="1:11">
      <c r="A125" s="2"/>
      <c r="B125" s="2" t="s">
        <v>137</v>
      </c>
      <c r="C125" s="2" t="s">
        <v>6</v>
      </c>
      <c r="D125" s="2" t="s">
        <v>6</v>
      </c>
      <c r="E125" s="2" t="s">
        <v>6</v>
      </c>
      <c r="F125" s="2" t="s">
        <v>6</v>
      </c>
      <c r="G125" s="24" t="s">
        <v>6</v>
      </c>
      <c r="H125" s="2"/>
      <c r="I125" s="2"/>
      <c r="J125" s="2"/>
      <c r="K125" s="2"/>
    </row>
    <row r="126" spans="1:11">
      <c r="A126" s="2"/>
      <c r="B126" s="2" t="s">
        <v>138</v>
      </c>
      <c r="C126" s="2" t="s">
        <v>6</v>
      </c>
      <c r="D126" s="2" t="s">
        <v>6</v>
      </c>
      <c r="E126" s="2" t="s">
        <v>6</v>
      </c>
      <c r="F126" s="2" t="s">
        <v>6</v>
      </c>
      <c r="G126" s="24" t="s">
        <v>6</v>
      </c>
      <c r="H126" s="2"/>
      <c r="I126" s="2"/>
      <c r="J126" s="2"/>
      <c r="K126" s="2"/>
    </row>
    <row r="127" spans="1:11">
      <c r="A127" s="2"/>
      <c r="B127" s="2" t="s">
        <v>139</v>
      </c>
      <c r="C127" s="2" t="s">
        <v>6</v>
      </c>
      <c r="D127" s="2" t="s">
        <v>6</v>
      </c>
      <c r="E127" s="2" t="s">
        <v>6</v>
      </c>
      <c r="F127" s="2" t="s">
        <v>6</v>
      </c>
      <c r="G127" s="24" t="s">
        <v>6</v>
      </c>
      <c r="H127" s="2"/>
      <c r="I127" s="2"/>
      <c r="J127" s="2"/>
      <c r="K127" s="2"/>
    </row>
    <row r="128" spans="1:11">
      <c r="A128" s="2"/>
      <c r="B128" s="2" t="s">
        <v>140</v>
      </c>
      <c r="C128" s="2" t="s">
        <v>6</v>
      </c>
      <c r="D128" s="2" t="s">
        <v>6</v>
      </c>
      <c r="E128" s="2" t="s">
        <v>6</v>
      </c>
      <c r="F128" s="2" t="s">
        <v>6</v>
      </c>
      <c r="G128" s="24" t="s">
        <v>6</v>
      </c>
      <c r="H128" s="2"/>
      <c r="I128" s="2"/>
      <c r="J128" s="2"/>
      <c r="K128" s="2"/>
    </row>
    <row r="129" spans="1:11">
      <c r="A129" s="2"/>
      <c r="B129" s="2" t="s">
        <v>141</v>
      </c>
      <c r="C129" s="2" t="s">
        <v>6</v>
      </c>
      <c r="D129" s="2" t="s">
        <v>6</v>
      </c>
      <c r="E129" s="2" t="s">
        <v>6</v>
      </c>
      <c r="F129" s="2" t="s">
        <v>6</v>
      </c>
      <c r="G129" s="24" t="s">
        <v>6</v>
      </c>
      <c r="H129" s="2"/>
      <c r="I129" s="2"/>
      <c r="J129" s="2"/>
      <c r="K129" s="2"/>
    </row>
    <row r="130" spans="1:11">
      <c r="A130" s="2"/>
      <c r="B130" s="2" t="s">
        <v>142</v>
      </c>
      <c r="C130" s="2" t="s">
        <v>6</v>
      </c>
      <c r="D130" s="2" t="s">
        <v>6</v>
      </c>
      <c r="E130" s="2" t="s">
        <v>6</v>
      </c>
      <c r="F130" s="2" t="s">
        <v>6</v>
      </c>
      <c r="G130" s="24" t="s">
        <v>6</v>
      </c>
      <c r="H130" s="2"/>
      <c r="I130" s="2"/>
      <c r="J130" s="2"/>
      <c r="K130" s="2"/>
    </row>
    <row r="131" spans="1:11">
      <c r="A131" s="2"/>
      <c r="B131" s="2" t="s">
        <v>143</v>
      </c>
      <c r="C131" s="2" t="s">
        <v>6</v>
      </c>
      <c r="D131" s="2" t="s">
        <v>6</v>
      </c>
      <c r="E131" s="2" t="s">
        <v>6</v>
      </c>
      <c r="F131" s="2" t="s">
        <v>6</v>
      </c>
      <c r="G131" s="24" t="s">
        <v>6</v>
      </c>
      <c r="H131" s="2"/>
      <c r="I131" s="2"/>
      <c r="J131" s="2"/>
      <c r="K131" s="2"/>
    </row>
    <row r="132" spans="1:11">
      <c r="A132" s="2"/>
      <c r="B132" s="2" t="s">
        <v>144</v>
      </c>
      <c r="C132" s="2" t="s">
        <v>6</v>
      </c>
      <c r="D132" s="2" t="s">
        <v>6</v>
      </c>
      <c r="E132" s="2" t="s">
        <v>6</v>
      </c>
      <c r="F132" s="2" t="s">
        <v>6</v>
      </c>
      <c r="G132" s="24" t="s">
        <v>6</v>
      </c>
      <c r="H132" s="2"/>
      <c r="I132" s="2"/>
      <c r="J132" s="2"/>
      <c r="K132" s="2"/>
    </row>
    <row r="133" spans="1:11">
      <c r="A133" s="2"/>
      <c r="B133" s="2" t="s">
        <v>145</v>
      </c>
      <c r="C133" s="2" t="s">
        <v>6</v>
      </c>
      <c r="D133" s="2" t="s">
        <v>6</v>
      </c>
      <c r="E133" s="2" t="s">
        <v>6</v>
      </c>
      <c r="F133" s="2" t="s">
        <v>6</v>
      </c>
      <c r="G133" s="24" t="s">
        <v>6</v>
      </c>
      <c r="H133" s="2"/>
      <c r="I133" s="2"/>
      <c r="J133" s="2"/>
      <c r="K133" s="2"/>
    </row>
    <row r="134" spans="1:11">
      <c r="A134" s="2"/>
      <c r="B134" s="2" t="s">
        <v>146</v>
      </c>
      <c r="C134" s="2" t="s">
        <v>6</v>
      </c>
      <c r="D134" s="2" t="s">
        <v>6</v>
      </c>
      <c r="E134" s="2" t="s">
        <v>6</v>
      </c>
      <c r="F134" s="2" t="s">
        <v>6</v>
      </c>
      <c r="G134" s="24" t="s">
        <v>6</v>
      </c>
      <c r="H134" s="2"/>
      <c r="I134" s="2"/>
      <c r="J134" s="2"/>
      <c r="K134" s="2"/>
    </row>
    <row r="135" spans="1:11">
      <c r="A135" s="2"/>
      <c r="B135" s="2" t="s">
        <v>147</v>
      </c>
      <c r="C135" s="2" t="s">
        <v>6</v>
      </c>
      <c r="D135" s="2" t="s">
        <v>6</v>
      </c>
      <c r="E135" s="2" t="s">
        <v>6</v>
      </c>
      <c r="F135" s="2" t="s">
        <v>6</v>
      </c>
      <c r="G135" s="24" t="s">
        <v>6</v>
      </c>
      <c r="H135" s="2"/>
      <c r="I135" s="2"/>
      <c r="J135" s="2"/>
      <c r="K135" s="2"/>
    </row>
    <row r="136" spans="1:11">
      <c r="A136" s="2"/>
      <c r="B136" s="2" t="s">
        <v>148</v>
      </c>
      <c r="C136" s="2" t="s">
        <v>6</v>
      </c>
      <c r="D136" s="2" t="s">
        <v>6</v>
      </c>
      <c r="E136" s="2" t="s">
        <v>6</v>
      </c>
      <c r="F136" s="2" t="s">
        <v>6</v>
      </c>
      <c r="G136" s="24" t="s">
        <v>6</v>
      </c>
      <c r="H136" s="2"/>
      <c r="I136" s="2"/>
      <c r="J136" s="2"/>
      <c r="K136" s="2"/>
    </row>
    <row r="137" spans="1:11">
      <c r="A137" s="2"/>
      <c r="B137" s="2" t="s">
        <v>149</v>
      </c>
      <c r="C137" s="2" t="s">
        <v>6</v>
      </c>
      <c r="D137" s="2" t="s">
        <v>6</v>
      </c>
      <c r="E137" s="2" t="s">
        <v>6</v>
      </c>
      <c r="F137" s="2" t="s">
        <v>6</v>
      </c>
      <c r="G137" s="24" t="s">
        <v>6</v>
      </c>
      <c r="H137" s="2"/>
      <c r="I137" s="2"/>
      <c r="J137" s="2"/>
      <c r="K137" s="2"/>
    </row>
    <row r="138" spans="1:11">
      <c r="A138" s="2"/>
      <c r="B138" s="2" t="s">
        <v>150</v>
      </c>
      <c r="C138" s="2" t="s">
        <v>6</v>
      </c>
      <c r="D138" s="2" t="s">
        <v>6</v>
      </c>
      <c r="E138" s="2" t="s">
        <v>6</v>
      </c>
      <c r="F138" s="2" t="s">
        <v>6</v>
      </c>
      <c r="G138" s="24" t="s">
        <v>6</v>
      </c>
      <c r="H138" s="2"/>
      <c r="I138" s="2"/>
      <c r="J138" s="2"/>
      <c r="K138" s="2"/>
    </row>
    <row r="139" spans="1:11">
      <c r="A139" s="2"/>
      <c r="B139" s="2" t="s">
        <v>151</v>
      </c>
      <c r="C139" s="2" t="s">
        <v>6</v>
      </c>
      <c r="D139" s="2" t="s">
        <v>6</v>
      </c>
      <c r="E139" s="2" t="s">
        <v>6</v>
      </c>
      <c r="F139" s="2" t="s">
        <v>6</v>
      </c>
      <c r="G139" s="24" t="s">
        <v>6</v>
      </c>
      <c r="H139" s="2"/>
      <c r="I139" s="2"/>
      <c r="J139" s="2"/>
      <c r="K139" s="2"/>
    </row>
    <row r="140" spans="1:11">
      <c r="A140" s="2"/>
      <c r="B140" s="2" t="s">
        <v>152</v>
      </c>
      <c r="C140" s="2" t="s">
        <v>6</v>
      </c>
      <c r="D140" s="2" t="s">
        <v>6</v>
      </c>
      <c r="E140" s="2" t="s">
        <v>6</v>
      </c>
      <c r="F140" s="2" t="s">
        <v>6</v>
      </c>
      <c r="G140" s="24" t="s">
        <v>6</v>
      </c>
      <c r="H140" s="2"/>
      <c r="I140" s="2"/>
      <c r="J140" s="2"/>
      <c r="K140" s="2"/>
    </row>
    <row r="141" spans="1:11">
      <c r="A141" s="2"/>
      <c r="B141" s="2" t="s">
        <v>153</v>
      </c>
      <c r="C141" s="2" t="s">
        <v>6</v>
      </c>
      <c r="D141" s="2" t="s">
        <v>6</v>
      </c>
      <c r="E141" s="2" t="s">
        <v>6</v>
      </c>
      <c r="F141" s="2" t="s">
        <v>6</v>
      </c>
      <c r="G141" s="24" t="s">
        <v>6</v>
      </c>
      <c r="H141" s="2"/>
      <c r="I141" s="2"/>
      <c r="J141" s="2"/>
      <c r="K141" s="2"/>
    </row>
    <row r="142" spans="1:11">
      <c r="A142" s="2"/>
      <c r="B142" s="2" t="s">
        <v>154</v>
      </c>
      <c r="C142" s="2" t="s">
        <v>6</v>
      </c>
      <c r="D142" s="2" t="s">
        <v>6</v>
      </c>
      <c r="E142" s="2" t="s">
        <v>6</v>
      </c>
      <c r="F142" s="2" t="s">
        <v>6</v>
      </c>
      <c r="G142" s="24" t="s">
        <v>6</v>
      </c>
      <c r="H142" s="2"/>
      <c r="I142" s="2"/>
      <c r="J142" s="2"/>
      <c r="K142" s="2"/>
    </row>
    <row r="143" spans="1:11">
      <c r="A143" s="2"/>
      <c r="B143" s="2" t="s">
        <v>155</v>
      </c>
      <c r="C143" s="2" t="s">
        <v>6</v>
      </c>
      <c r="D143" s="2" t="s">
        <v>6</v>
      </c>
      <c r="E143" s="2" t="s">
        <v>6</v>
      </c>
      <c r="F143" s="2" t="s">
        <v>6</v>
      </c>
      <c r="G143" s="24" t="s">
        <v>6</v>
      </c>
      <c r="H143" s="2"/>
      <c r="I143" s="2"/>
      <c r="J143" s="2"/>
      <c r="K143" s="2"/>
    </row>
    <row r="144" spans="1:11">
      <c r="A144" s="2"/>
      <c r="B144" s="2" t="s">
        <v>156</v>
      </c>
      <c r="C144" s="2" t="s">
        <v>6</v>
      </c>
      <c r="D144" s="2" t="s">
        <v>6</v>
      </c>
      <c r="E144" s="2" t="s">
        <v>6</v>
      </c>
      <c r="F144" s="2" t="s">
        <v>6</v>
      </c>
      <c r="G144" s="24" t="s">
        <v>6</v>
      </c>
      <c r="H144" s="2"/>
      <c r="I144" s="2"/>
      <c r="J144" s="2"/>
      <c r="K144" s="2"/>
    </row>
    <row r="145" spans="1:11">
      <c r="A145" s="2"/>
      <c r="B145" s="2" t="s">
        <v>157</v>
      </c>
      <c r="C145" s="2" t="s">
        <v>6</v>
      </c>
      <c r="D145" s="2" t="s">
        <v>6</v>
      </c>
      <c r="E145" s="2" t="s">
        <v>6</v>
      </c>
      <c r="F145" s="2" t="s">
        <v>6</v>
      </c>
      <c r="G145" s="24" t="s">
        <v>6</v>
      </c>
      <c r="H145" s="2"/>
      <c r="I145" s="2"/>
      <c r="J145" s="2"/>
      <c r="K145" s="2"/>
    </row>
    <row r="146" spans="1:11">
      <c r="A146" s="2"/>
      <c r="B146" s="2" t="s">
        <v>158</v>
      </c>
      <c r="C146" s="2" t="s">
        <v>6</v>
      </c>
      <c r="D146" s="2" t="s">
        <v>6</v>
      </c>
      <c r="E146" s="2" t="s">
        <v>6</v>
      </c>
      <c r="F146" s="2" t="s">
        <v>6</v>
      </c>
      <c r="G146" s="24" t="s">
        <v>6</v>
      </c>
      <c r="H146" s="2"/>
      <c r="I146" s="2"/>
      <c r="J146" s="2"/>
      <c r="K146" s="2"/>
    </row>
    <row r="147" spans="1:11">
      <c r="A147" s="2"/>
      <c r="B147" s="2" t="s">
        <v>159</v>
      </c>
      <c r="C147" s="2" t="s">
        <v>6</v>
      </c>
      <c r="D147" s="2" t="s">
        <v>6</v>
      </c>
      <c r="E147" s="2" t="s">
        <v>6</v>
      </c>
      <c r="F147" s="2" t="s">
        <v>6</v>
      </c>
      <c r="G147" s="24" t="s">
        <v>6</v>
      </c>
      <c r="H147" s="2"/>
      <c r="I147" s="2"/>
      <c r="J147" s="2"/>
      <c r="K147" s="2"/>
    </row>
    <row r="148" spans="1:11">
      <c r="A148" s="2"/>
      <c r="B148" s="2" t="s">
        <v>160</v>
      </c>
      <c r="C148" s="2" t="s">
        <v>6</v>
      </c>
      <c r="D148" s="2" t="s">
        <v>6</v>
      </c>
      <c r="E148" s="2" t="s">
        <v>6</v>
      </c>
      <c r="F148" s="2" t="s">
        <v>6</v>
      </c>
      <c r="G148" s="24" t="s">
        <v>6</v>
      </c>
      <c r="H148" s="2"/>
      <c r="I148" s="2"/>
      <c r="J148" s="2"/>
      <c r="K148" s="2"/>
    </row>
    <row r="149" spans="1:11">
      <c r="A149" s="2"/>
      <c r="B149" s="2" t="s">
        <v>161</v>
      </c>
      <c r="C149" s="2" t="s">
        <v>6</v>
      </c>
      <c r="D149" s="2" t="s">
        <v>6</v>
      </c>
      <c r="E149" s="2" t="s">
        <v>6</v>
      </c>
      <c r="F149" s="2" t="s">
        <v>6</v>
      </c>
      <c r="G149" s="24" t="s">
        <v>6</v>
      </c>
      <c r="H149" s="2"/>
      <c r="I149" s="2"/>
      <c r="J149" s="2"/>
      <c r="K149" s="2"/>
    </row>
    <row r="150" spans="1:11">
      <c r="A150" s="2"/>
      <c r="B150" s="2" t="s">
        <v>162</v>
      </c>
      <c r="C150" s="2" t="s">
        <v>6</v>
      </c>
      <c r="D150" s="2" t="s">
        <v>6</v>
      </c>
      <c r="E150" s="2" t="s">
        <v>6</v>
      </c>
      <c r="F150" s="2" t="s">
        <v>6</v>
      </c>
      <c r="G150" s="24" t="s">
        <v>6</v>
      </c>
      <c r="H150" s="2"/>
      <c r="I150" s="2"/>
      <c r="J150" s="2"/>
      <c r="K150" s="2"/>
    </row>
    <row r="151" spans="1:11">
      <c r="A151" s="2"/>
      <c r="B151" s="2" t="s">
        <v>163</v>
      </c>
      <c r="C151" s="2" t="s">
        <v>6</v>
      </c>
      <c r="D151" s="2" t="s">
        <v>6</v>
      </c>
      <c r="E151" s="2" t="s">
        <v>6</v>
      </c>
      <c r="F151" s="2" t="s">
        <v>6</v>
      </c>
      <c r="G151" s="24" t="s">
        <v>6</v>
      </c>
      <c r="H151" s="2"/>
      <c r="I151" s="2"/>
      <c r="J151" s="2"/>
      <c r="K151" s="2"/>
    </row>
    <row r="152" spans="1:11">
      <c r="A152" s="2"/>
      <c r="B152" s="2" t="s">
        <v>164</v>
      </c>
      <c r="C152" s="2" t="s">
        <v>6</v>
      </c>
      <c r="D152" s="2" t="s">
        <v>6</v>
      </c>
      <c r="E152" s="2" t="s">
        <v>6</v>
      </c>
      <c r="F152" s="2" t="s">
        <v>6</v>
      </c>
      <c r="G152" s="24" t="s">
        <v>6</v>
      </c>
      <c r="H152" s="2"/>
      <c r="I152" s="2"/>
      <c r="J152" s="2"/>
      <c r="K152" s="2"/>
    </row>
    <row r="153" spans="1:11">
      <c r="A153" s="2"/>
      <c r="B153" s="2" t="s">
        <v>165</v>
      </c>
      <c r="C153" s="2" t="s">
        <v>6</v>
      </c>
      <c r="D153" s="2" t="s">
        <v>6</v>
      </c>
      <c r="E153" s="2" t="s">
        <v>6</v>
      </c>
      <c r="F153" s="2" t="s">
        <v>6</v>
      </c>
      <c r="G153" s="24" t="s">
        <v>6</v>
      </c>
      <c r="H153" s="2"/>
      <c r="I153" s="2"/>
      <c r="J153" s="2"/>
      <c r="K153" s="2"/>
    </row>
    <row r="154" spans="1:11">
      <c r="A154" s="2"/>
      <c r="B154" s="2" t="s">
        <v>166</v>
      </c>
      <c r="C154" s="2" t="s">
        <v>6</v>
      </c>
      <c r="D154" s="2" t="s">
        <v>6</v>
      </c>
      <c r="E154" s="2" t="s">
        <v>6</v>
      </c>
      <c r="F154" s="2" t="s">
        <v>6</v>
      </c>
      <c r="G154" s="24" t="s">
        <v>6</v>
      </c>
      <c r="H154" s="2"/>
      <c r="I154" s="2"/>
      <c r="J154" s="2"/>
      <c r="K154" s="2"/>
    </row>
    <row r="155" spans="1:11">
      <c r="A155" s="2"/>
      <c r="B155" s="2" t="s">
        <v>167</v>
      </c>
      <c r="C155" s="2" t="s">
        <v>6</v>
      </c>
      <c r="D155" s="2" t="s">
        <v>6</v>
      </c>
      <c r="E155" s="2" t="s">
        <v>6</v>
      </c>
      <c r="F155" s="2" t="s">
        <v>6</v>
      </c>
      <c r="G155" s="24" t="s">
        <v>6</v>
      </c>
      <c r="H155" s="2"/>
      <c r="I155" s="2"/>
      <c r="J155" s="2"/>
      <c r="K155" s="2"/>
    </row>
    <row r="156" spans="1:11">
      <c r="A156" s="2"/>
      <c r="B156" s="2" t="s">
        <v>168</v>
      </c>
      <c r="C156" s="2" t="s">
        <v>6</v>
      </c>
      <c r="D156" s="2" t="s">
        <v>6</v>
      </c>
      <c r="E156" s="2" t="s">
        <v>6</v>
      </c>
      <c r="F156" s="2" t="s">
        <v>6</v>
      </c>
      <c r="G156" s="24" t="s">
        <v>6</v>
      </c>
      <c r="H156" s="2"/>
      <c r="I156" s="2"/>
      <c r="J156" s="2"/>
      <c r="K156" s="2"/>
    </row>
    <row r="157" spans="1:11">
      <c r="A157" s="2"/>
      <c r="B157" s="2" t="s">
        <v>169</v>
      </c>
      <c r="C157" s="2" t="s">
        <v>6</v>
      </c>
      <c r="D157" s="2" t="s">
        <v>6</v>
      </c>
      <c r="E157" s="2" t="s">
        <v>6</v>
      </c>
      <c r="F157" s="2" t="s">
        <v>6</v>
      </c>
      <c r="G157" s="24" t="s">
        <v>6</v>
      </c>
      <c r="H157" s="2"/>
      <c r="I157" s="2"/>
      <c r="J157" s="2"/>
      <c r="K157" s="2"/>
    </row>
    <row r="158" spans="1:11">
      <c r="A158" s="2"/>
      <c r="B158" s="2" t="s">
        <v>170</v>
      </c>
      <c r="C158" s="2" t="s">
        <v>6</v>
      </c>
      <c r="D158" s="2" t="s">
        <v>6</v>
      </c>
      <c r="E158" s="2" t="s">
        <v>6</v>
      </c>
      <c r="F158" s="2" t="s">
        <v>6</v>
      </c>
      <c r="G158" s="24" t="s">
        <v>6</v>
      </c>
      <c r="H158" s="2"/>
      <c r="I158" s="2"/>
      <c r="J158" s="2"/>
      <c r="K158" s="2"/>
    </row>
    <row r="159" spans="1:11">
      <c r="A159" s="2"/>
      <c r="B159" s="2" t="s">
        <v>171</v>
      </c>
      <c r="C159" s="2" t="s">
        <v>6</v>
      </c>
      <c r="D159" s="2" t="s">
        <v>6</v>
      </c>
      <c r="E159" s="2" t="s">
        <v>6</v>
      </c>
      <c r="F159" s="2" t="s">
        <v>6</v>
      </c>
      <c r="G159" s="24" t="s">
        <v>6</v>
      </c>
      <c r="H159" s="2"/>
      <c r="I159" s="2"/>
      <c r="J159" s="2"/>
      <c r="K159" s="2"/>
    </row>
    <row r="160" spans="1:11">
      <c r="A160" s="2"/>
      <c r="B160" s="2" t="s">
        <v>172</v>
      </c>
      <c r="C160" s="2" t="s">
        <v>6</v>
      </c>
      <c r="D160" s="2" t="s">
        <v>6</v>
      </c>
      <c r="E160" s="2" t="s">
        <v>6</v>
      </c>
      <c r="F160" s="2" t="s">
        <v>6</v>
      </c>
      <c r="G160" s="24" t="s">
        <v>6</v>
      </c>
      <c r="H160" s="2"/>
      <c r="I160" s="2"/>
      <c r="J160" s="2"/>
      <c r="K160" s="2"/>
    </row>
    <row r="161" spans="1:11">
      <c r="A161" s="2"/>
      <c r="B161" s="2" t="s">
        <v>173</v>
      </c>
      <c r="C161" s="2" t="s">
        <v>6</v>
      </c>
      <c r="D161" s="2" t="s">
        <v>6</v>
      </c>
      <c r="E161" s="2" t="s">
        <v>6</v>
      </c>
      <c r="F161" s="2" t="s">
        <v>6</v>
      </c>
      <c r="G161" s="24" t="s">
        <v>6</v>
      </c>
      <c r="H161" s="2"/>
      <c r="I161" s="2"/>
      <c r="J161" s="2"/>
      <c r="K161" s="2"/>
    </row>
    <row r="162" spans="1:11">
      <c r="A162" s="2"/>
      <c r="B162" s="2" t="s">
        <v>174</v>
      </c>
      <c r="C162" s="2" t="s">
        <v>6</v>
      </c>
      <c r="D162" s="2" t="s">
        <v>6</v>
      </c>
      <c r="E162" s="2" t="s">
        <v>6</v>
      </c>
      <c r="F162" s="2" t="s">
        <v>6</v>
      </c>
      <c r="G162" s="24" t="s">
        <v>6</v>
      </c>
      <c r="H162" s="2"/>
      <c r="I162" s="2"/>
      <c r="J162" s="2"/>
      <c r="K162" s="2"/>
    </row>
    <row r="163" spans="1:11">
      <c r="A163" s="2"/>
      <c r="B163" s="2" t="s">
        <v>175</v>
      </c>
      <c r="C163" s="2" t="s">
        <v>6</v>
      </c>
      <c r="D163" s="2" t="s">
        <v>6</v>
      </c>
      <c r="E163" s="2" t="s">
        <v>6</v>
      </c>
      <c r="F163" s="2" t="s">
        <v>6</v>
      </c>
      <c r="G163" s="24" t="s">
        <v>6</v>
      </c>
      <c r="H163" s="2"/>
      <c r="I163" s="2"/>
      <c r="J163" s="2"/>
      <c r="K163" s="2"/>
    </row>
    <row r="164" spans="1:11">
      <c r="A164" s="2"/>
      <c r="B164" s="2" t="s">
        <v>176</v>
      </c>
      <c r="C164" s="2" t="s">
        <v>6</v>
      </c>
      <c r="D164" s="2" t="s">
        <v>6</v>
      </c>
      <c r="E164" s="2" t="s">
        <v>6</v>
      </c>
      <c r="F164" s="2" t="s">
        <v>6</v>
      </c>
      <c r="G164" s="24" t="s">
        <v>6</v>
      </c>
      <c r="H164" s="2"/>
      <c r="I164" s="2"/>
      <c r="J164" s="2"/>
      <c r="K164" s="2"/>
    </row>
    <row r="165" spans="1:11">
      <c r="A165" s="2"/>
      <c r="B165" s="2" t="s">
        <v>177</v>
      </c>
      <c r="C165" s="2" t="s">
        <v>6</v>
      </c>
      <c r="D165" s="2" t="s">
        <v>6</v>
      </c>
      <c r="E165" s="2" t="s">
        <v>6</v>
      </c>
      <c r="F165" s="2" t="s">
        <v>6</v>
      </c>
      <c r="G165" s="24" t="s">
        <v>6</v>
      </c>
      <c r="H165" s="2"/>
      <c r="I165" s="2"/>
      <c r="J165" s="2"/>
      <c r="K165" s="2"/>
    </row>
    <row r="166" spans="1:11">
      <c r="A166" s="2"/>
      <c r="B166" s="2" t="s">
        <v>178</v>
      </c>
      <c r="C166" s="2" t="s">
        <v>6</v>
      </c>
      <c r="D166" s="2" t="s">
        <v>6</v>
      </c>
      <c r="E166" s="2" t="s">
        <v>6</v>
      </c>
      <c r="F166" s="2" t="s">
        <v>6</v>
      </c>
      <c r="G166" s="24" t="s">
        <v>6</v>
      </c>
      <c r="H166" s="2"/>
      <c r="I166" s="2"/>
      <c r="J166" s="2"/>
      <c r="K166" s="2"/>
    </row>
    <row r="167" spans="1:11">
      <c r="A167" s="2"/>
      <c r="B167" s="2" t="s">
        <v>179</v>
      </c>
      <c r="C167" s="2" t="s">
        <v>6</v>
      </c>
      <c r="D167" s="2" t="s">
        <v>6</v>
      </c>
      <c r="E167" s="2" t="s">
        <v>6</v>
      </c>
      <c r="F167" s="2" t="s">
        <v>6</v>
      </c>
      <c r="G167" s="24" t="s">
        <v>6</v>
      </c>
      <c r="H167" s="2"/>
      <c r="I167" s="2"/>
      <c r="J167" s="2"/>
      <c r="K167" s="2"/>
    </row>
    <row r="168" spans="1:11">
      <c r="A168" s="2"/>
      <c r="B168" s="2" t="s">
        <v>180</v>
      </c>
      <c r="C168" s="2" t="s">
        <v>6</v>
      </c>
      <c r="D168" s="2" t="s">
        <v>6</v>
      </c>
      <c r="E168" s="2" t="s">
        <v>6</v>
      </c>
      <c r="F168" s="2" t="s">
        <v>6</v>
      </c>
      <c r="G168" s="24" t="s">
        <v>6</v>
      </c>
      <c r="H168" s="2"/>
      <c r="I168" s="2"/>
      <c r="J168" s="2"/>
      <c r="K168" s="2"/>
    </row>
    <row r="169" spans="1:11">
      <c r="A169" s="2"/>
      <c r="B169" s="2" t="s">
        <v>181</v>
      </c>
      <c r="C169" s="2" t="s">
        <v>6</v>
      </c>
      <c r="D169" s="2" t="s">
        <v>6</v>
      </c>
      <c r="E169" s="2" t="s">
        <v>6</v>
      </c>
      <c r="F169" s="2" t="s">
        <v>6</v>
      </c>
      <c r="G169" s="24" t="s">
        <v>6</v>
      </c>
      <c r="H169" s="2"/>
      <c r="I169" s="2"/>
      <c r="J169" s="2"/>
      <c r="K169" s="2"/>
    </row>
    <row r="170" spans="1:11">
      <c r="A170" s="2"/>
      <c r="B170" s="2" t="s">
        <v>182</v>
      </c>
      <c r="C170" s="2" t="s">
        <v>6</v>
      </c>
      <c r="D170" s="2" t="s">
        <v>6</v>
      </c>
      <c r="E170" s="2" t="s">
        <v>6</v>
      </c>
      <c r="F170" s="2" t="s">
        <v>6</v>
      </c>
      <c r="G170" s="24" t="s">
        <v>6</v>
      </c>
      <c r="H170" s="2"/>
      <c r="I170" s="2"/>
      <c r="J170" s="2"/>
      <c r="K170" s="2"/>
    </row>
    <row r="171" spans="1:11">
      <c r="A171" s="2"/>
      <c r="B171" s="2" t="s">
        <v>183</v>
      </c>
      <c r="C171" s="2" t="s">
        <v>6</v>
      </c>
      <c r="D171" s="2" t="s">
        <v>6</v>
      </c>
      <c r="E171" s="2" t="s">
        <v>6</v>
      </c>
      <c r="F171" s="2" t="s">
        <v>6</v>
      </c>
      <c r="G171" s="24" t="s">
        <v>6</v>
      </c>
      <c r="H171" s="2"/>
      <c r="I171" s="2"/>
      <c r="J171" s="2"/>
      <c r="K171" s="2"/>
    </row>
    <row r="172" spans="1:11">
      <c r="A172" s="2"/>
      <c r="B172" s="2" t="s">
        <v>184</v>
      </c>
      <c r="C172" s="2" t="s">
        <v>6</v>
      </c>
      <c r="D172" s="2" t="s">
        <v>6</v>
      </c>
      <c r="E172" s="2" t="s">
        <v>6</v>
      </c>
      <c r="F172" s="2" t="s">
        <v>6</v>
      </c>
      <c r="G172" s="24" t="s">
        <v>6</v>
      </c>
      <c r="H172" s="2"/>
      <c r="I172" s="2"/>
      <c r="J172" s="2"/>
      <c r="K172" s="2"/>
    </row>
    <row r="173" spans="1:11">
      <c r="A173" s="2"/>
      <c r="B173" s="2" t="s">
        <v>185</v>
      </c>
      <c r="C173" s="2" t="s">
        <v>6</v>
      </c>
      <c r="D173" s="2" t="s">
        <v>6</v>
      </c>
      <c r="E173" s="2" t="s">
        <v>6</v>
      </c>
      <c r="F173" s="2" t="s">
        <v>6</v>
      </c>
      <c r="G173" s="24" t="s">
        <v>6</v>
      </c>
      <c r="H173" s="2"/>
      <c r="I173" s="2"/>
      <c r="J173" s="2"/>
      <c r="K173" s="2"/>
    </row>
    <row r="174" spans="1:11">
      <c r="A174" s="2"/>
      <c r="B174" s="2" t="s">
        <v>186</v>
      </c>
      <c r="C174" s="2" t="s">
        <v>6</v>
      </c>
      <c r="D174" s="2" t="s">
        <v>6</v>
      </c>
      <c r="E174" s="2" t="s">
        <v>6</v>
      </c>
      <c r="F174" s="2" t="s">
        <v>6</v>
      </c>
      <c r="G174" s="24" t="s">
        <v>6</v>
      </c>
      <c r="H174" s="2"/>
      <c r="I174" s="2"/>
      <c r="J174" s="2"/>
      <c r="K174" s="2"/>
    </row>
    <row r="175" spans="1:11">
      <c r="A175" s="2"/>
      <c r="B175" s="2" t="s">
        <v>187</v>
      </c>
      <c r="C175" s="2" t="s">
        <v>6</v>
      </c>
      <c r="D175" s="2" t="s">
        <v>6</v>
      </c>
      <c r="E175" s="2" t="s">
        <v>6</v>
      </c>
      <c r="F175" s="2" t="s">
        <v>6</v>
      </c>
      <c r="G175" s="24" t="s">
        <v>6</v>
      </c>
      <c r="H175" s="2"/>
      <c r="I175" s="2"/>
      <c r="J175" s="2"/>
      <c r="K175" s="2"/>
    </row>
    <row r="176" spans="1:11">
      <c r="A176" s="2"/>
      <c r="B176" s="2" t="s">
        <v>188</v>
      </c>
      <c r="C176" s="2" t="s">
        <v>6</v>
      </c>
      <c r="D176" s="2" t="s">
        <v>6</v>
      </c>
      <c r="E176" s="2" t="s">
        <v>6</v>
      </c>
      <c r="F176" s="2" t="s">
        <v>6</v>
      </c>
      <c r="G176" s="24" t="s">
        <v>6</v>
      </c>
      <c r="H176" s="2"/>
      <c r="I176" s="2"/>
      <c r="J176" s="2"/>
      <c r="K176" s="2"/>
    </row>
    <row r="177" spans="1:11">
      <c r="A177" s="2"/>
      <c r="B177" s="2" t="s">
        <v>189</v>
      </c>
      <c r="C177" s="2" t="s">
        <v>6</v>
      </c>
      <c r="D177" s="2" t="s">
        <v>6</v>
      </c>
      <c r="E177" s="2" t="s">
        <v>6</v>
      </c>
      <c r="F177" s="2" t="s">
        <v>6</v>
      </c>
      <c r="G177" s="24" t="s">
        <v>6</v>
      </c>
      <c r="H177" s="2"/>
      <c r="I177" s="2"/>
      <c r="J177" s="2"/>
      <c r="K177" s="2"/>
    </row>
    <row r="178" spans="1:11">
      <c r="A178" s="2"/>
      <c r="B178" s="2" t="s">
        <v>190</v>
      </c>
      <c r="C178" s="2" t="s">
        <v>6</v>
      </c>
      <c r="D178" s="2" t="s">
        <v>6</v>
      </c>
      <c r="E178" s="2" t="s">
        <v>6</v>
      </c>
      <c r="F178" s="2" t="s">
        <v>6</v>
      </c>
      <c r="G178" s="24" t="s">
        <v>6</v>
      </c>
      <c r="H178" s="2"/>
      <c r="I178" s="2"/>
      <c r="J178" s="2"/>
      <c r="K178" s="2"/>
    </row>
    <row r="179" spans="1:11">
      <c r="A179" s="2"/>
      <c r="B179" s="2" t="s">
        <v>191</v>
      </c>
      <c r="C179" s="2" t="s">
        <v>6</v>
      </c>
      <c r="D179" s="2" t="s">
        <v>6</v>
      </c>
      <c r="E179" s="2" t="s">
        <v>6</v>
      </c>
      <c r="F179" s="2" t="s">
        <v>6</v>
      </c>
      <c r="G179" s="24" t="s">
        <v>6</v>
      </c>
      <c r="H179" s="2"/>
      <c r="I179" s="2"/>
      <c r="J179" s="2"/>
      <c r="K179" s="2"/>
    </row>
    <row r="180" spans="1:11">
      <c r="A180" s="2"/>
      <c r="B180" s="2" t="s">
        <v>192</v>
      </c>
      <c r="C180" s="2" t="s">
        <v>6</v>
      </c>
      <c r="D180" s="2" t="s">
        <v>6</v>
      </c>
      <c r="E180" s="2" t="s">
        <v>6</v>
      </c>
      <c r="F180" s="2" t="s">
        <v>6</v>
      </c>
      <c r="G180" s="24" t="s">
        <v>6</v>
      </c>
      <c r="H180" s="2"/>
      <c r="I180" s="2"/>
      <c r="J180" s="2"/>
      <c r="K180" s="2"/>
    </row>
    <row r="181" spans="1:11">
      <c r="A181" s="2"/>
      <c r="B181" s="2" t="s">
        <v>193</v>
      </c>
      <c r="C181" s="2" t="s">
        <v>6</v>
      </c>
      <c r="D181" s="2" t="s">
        <v>6</v>
      </c>
      <c r="E181" s="2" t="s">
        <v>6</v>
      </c>
      <c r="F181" s="2" t="s">
        <v>6</v>
      </c>
      <c r="G181" s="24" t="s">
        <v>6</v>
      </c>
      <c r="H181" s="2"/>
      <c r="I181" s="2"/>
      <c r="J181" s="2"/>
      <c r="K181" s="2"/>
    </row>
    <row r="182" spans="1:11">
      <c r="A182" s="2"/>
      <c r="B182" s="2" t="s">
        <v>194</v>
      </c>
      <c r="C182" s="2" t="s">
        <v>6</v>
      </c>
      <c r="D182" s="2" t="s">
        <v>6</v>
      </c>
      <c r="E182" s="2" t="s">
        <v>6</v>
      </c>
      <c r="F182" s="2" t="s">
        <v>6</v>
      </c>
      <c r="G182" s="24" t="s">
        <v>6</v>
      </c>
      <c r="H182" s="2"/>
      <c r="I182" s="2"/>
      <c r="J182" s="2"/>
      <c r="K182" s="2"/>
    </row>
    <row r="183" spans="1:11">
      <c r="A183" s="2"/>
      <c r="B183" s="2" t="s">
        <v>195</v>
      </c>
      <c r="C183" s="2" t="s">
        <v>6</v>
      </c>
      <c r="D183" s="2" t="s">
        <v>6</v>
      </c>
      <c r="E183" s="2" t="s">
        <v>6</v>
      </c>
      <c r="F183" s="2" t="s">
        <v>6</v>
      </c>
      <c r="G183" s="24" t="s">
        <v>6</v>
      </c>
      <c r="H183" s="2"/>
      <c r="I183" s="2"/>
      <c r="J183" s="2"/>
      <c r="K183" s="2"/>
    </row>
    <row r="184" spans="1:11">
      <c r="A184" s="2"/>
      <c r="B184" s="2" t="s">
        <v>196</v>
      </c>
      <c r="C184" s="2" t="s">
        <v>6</v>
      </c>
      <c r="D184" s="2" t="s">
        <v>6</v>
      </c>
      <c r="E184" s="2" t="s">
        <v>6</v>
      </c>
      <c r="F184" s="2" t="s">
        <v>6</v>
      </c>
      <c r="G184" s="24" t="s">
        <v>6</v>
      </c>
      <c r="H184" s="2"/>
      <c r="I184" s="2"/>
      <c r="J184" s="2"/>
      <c r="K184" s="2"/>
    </row>
    <row r="185" spans="1:11">
      <c r="A185" s="2"/>
      <c r="B185" s="2" t="s">
        <v>197</v>
      </c>
      <c r="C185" s="2" t="s">
        <v>6</v>
      </c>
      <c r="D185" s="2" t="s">
        <v>6</v>
      </c>
      <c r="E185" s="2" t="s">
        <v>6</v>
      </c>
      <c r="F185" s="2" t="s">
        <v>6</v>
      </c>
      <c r="G185" s="24" t="s">
        <v>6</v>
      </c>
      <c r="H185" s="2"/>
      <c r="I185" s="2"/>
      <c r="J185" s="2"/>
      <c r="K185" s="2"/>
    </row>
    <row r="186" spans="1:11">
      <c r="A186" s="2"/>
      <c r="B186" s="2" t="s">
        <v>198</v>
      </c>
      <c r="C186" s="2" t="s">
        <v>6</v>
      </c>
      <c r="D186" s="2" t="s">
        <v>6</v>
      </c>
      <c r="E186" s="2" t="s">
        <v>6</v>
      </c>
      <c r="F186" s="2" t="s">
        <v>6</v>
      </c>
      <c r="G186" s="24" t="s">
        <v>6</v>
      </c>
      <c r="H186" s="2"/>
      <c r="I186" s="2"/>
      <c r="J186" s="2"/>
      <c r="K186" s="2"/>
    </row>
    <row r="187" spans="1:11">
      <c r="A187" s="2"/>
      <c r="B187" s="2" t="s">
        <v>199</v>
      </c>
      <c r="C187" s="2" t="s">
        <v>6</v>
      </c>
      <c r="D187" s="2" t="s">
        <v>6</v>
      </c>
      <c r="E187" s="2" t="s">
        <v>6</v>
      </c>
      <c r="F187" s="2" t="s">
        <v>6</v>
      </c>
      <c r="G187" s="24" t="s">
        <v>6</v>
      </c>
      <c r="H187" s="2"/>
      <c r="I187" s="2"/>
      <c r="J187" s="2"/>
      <c r="K187" s="2"/>
    </row>
    <row r="188" spans="1:11">
      <c r="A188" s="2"/>
      <c r="B188" s="2" t="s">
        <v>200</v>
      </c>
      <c r="C188" s="2" t="s">
        <v>6</v>
      </c>
      <c r="D188" s="2" t="s">
        <v>6</v>
      </c>
      <c r="E188" s="2" t="s">
        <v>6</v>
      </c>
      <c r="F188" s="2" t="s">
        <v>6</v>
      </c>
      <c r="G188" s="24" t="s">
        <v>6</v>
      </c>
      <c r="H188" s="2"/>
      <c r="I188" s="2"/>
      <c r="J188" s="2"/>
      <c r="K188" s="2"/>
    </row>
    <row r="189" spans="1:11">
      <c r="A189" s="2"/>
      <c r="B189" s="2" t="s">
        <v>201</v>
      </c>
      <c r="C189" s="2" t="s">
        <v>6</v>
      </c>
      <c r="D189" s="2" t="s">
        <v>6</v>
      </c>
      <c r="E189" s="2" t="s">
        <v>6</v>
      </c>
      <c r="F189" s="2" t="s">
        <v>6</v>
      </c>
      <c r="G189" s="24" t="s">
        <v>6</v>
      </c>
      <c r="H189" s="2"/>
      <c r="I189" s="2"/>
      <c r="J189" s="2"/>
      <c r="K189" s="2"/>
    </row>
    <row r="190" spans="1:11">
      <c r="A190" s="2"/>
      <c r="B190" s="2" t="s">
        <v>202</v>
      </c>
      <c r="C190" s="2" t="s">
        <v>6</v>
      </c>
      <c r="D190" s="2" t="s">
        <v>6</v>
      </c>
      <c r="E190" s="2" t="s">
        <v>6</v>
      </c>
      <c r="F190" s="2" t="s">
        <v>6</v>
      </c>
      <c r="G190" s="24" t="s">
        <v>6</v>
      </c>
      <c r="H190" s="2"/>
      <c r="I190" s="2"/>
      <c r="J190" s="2"/>
      <c r="K190" s="2"/>
    </row>
    <row r="191" spans="1:11">
      <c r="A191" s="2"/>
      <c r="B191" s="2" t="s">
        <v>203</v>
      </c>
      <c r="C191" s="2" t="s">
        <v>6</v>
      </c>
      <c r="D191" s="2" t="s">
        <v>6</v>
      </c>
      <c r="E191" s="2" t="s">
        <v>6</v>
      </c>
      <c r="F191" s="2" t="s">
        <v>6</v>
      </c>
      <c r="G191" s="24" t="s">
        <v>6</v>
      </c>
      <c r="H191" s="2"/>
      <c r="I191" s="2"/>
      <c r="J191" s="2"/>
      <c r="K191" s="2"/>
    </row>
    <row r="192" spans="1:11">
      <c r="A192" s="2"/>
      <c r="B192" s="2" t="s">
        <v>204</v>
      </c>
      <c r="C192" s="2" t="s">
        <v>6</v>
      </c>
      <c r="D192" s="2" t="s">
        <v>6</v>
      </c>
      <c r="E192" s="2" t="s">
        <v>6</v>
      </c>
      <c r="F192" s="2" t="s">
        <v>6</v>
      </c>
      <c r="G192" s="24" t="s">
        <v>6</v>
      </c>
      <c r="H192" s="2"/>
      <c r="I192" s="2"/>
      <c r="J192" s="2"/>
      <c r="K192" s="2"/>
    </row>
    <row r="193" spans="1:11">
      <c r="A193" s="2"/>
      <c r="B193" s="2" t="s">
        <v>205</v>
      </c>
      <c r="C193" s="2" t="s">
        <v>6</v>
      </c>
      <c r="D193" s="2" t="s">
        <v>6</v>
      </c>
      <c r="E193" s="2" t="s">
        <v>6</v>
      </c>
      <c r="F193" s="2" t="s">
        <v>6</v>
      </c>
      <c r="G193" s="24" t="s">
        <v>6</v>
      </c>
      <c r="H193" s="2"/>
      <c r="I193" s="2"/>
      <c r="J193" s="2"/>
      <c r="K193" s="2"/>
    </row>
    <row r="194" spans="1:11">
      <c r="A194" s="2"/>
      <c r="B194" s="2" t="s">
        <v>206</v>
      </c>
      <c r="C194" s="2" t="s">
        <v>6</v>
      </c>
      <c r="D194" s="2" t="s">
        <v>6</v>
      </c>
      <c r="E194" s="2" t="s">
        <v>6</v>
      </c>
      <c r="F194" s="2" t="s">
        <v>6</v>
      </c>
      <c r="G194" s="24" t="s">
        <v>6</v>
      </c>
      <c r="H194" s="2"/>
      <c r="I194" s="2"/>
      <c r="J194" s="2"/>
      <c r="K194" s="2"/>
    </row>
    <row r="195" spans="1:11">
      <c r="A195" s="2"/>
      <c r="B195" s="2" t="s">
        <v>207</v>
      </c>
      <c r="C195" s="2" t="s">
        <v>6</v>
      </c>
      <c r="D195" s="2" t="s">
        <v>6</v>
      </c>
      <c r="E195" s="2" t="s">
        <v>6</v>
      </c>
      <c r="F195" s="2" t="s">
        <v>6</v>
      </c>
      <c r="G195" s="24" t="s">
        <v>6</v>
      </c>
      <c r="H195" s="2"/>
      <c r="I195" s="2"/>
      <c r="J195" s="2"/>
      <c r="K195" s="2"/>
    </row>
    <row r="196" spans="1:11">
      <c r="A196" s="2"/>
      <c r="B196" s="2" t="s">
        <v>208</v>
      </c>
      <c r="C196" s="2" t="s">
        <v>6</v>
      </c>
      <c r="D196" s="2" t="s">
        <v>6</v>
      </c>
      <c r="E196" s="2" t="s">
        <v>6</v>
      </c>
      <c r="F196" s="2" t="s">
        <v>6</v>
      </c>
      <c r="G196" s="24" t="s">
        <v>6</v>
      </c>
      <c r="H196" s="2"/>
      <c r="I196" s="2"/>
      <c r="J196" s="2"/>
      <c r="K196" s="2"/>
    </row>
    <row r="197" spans="1:11">
      <c r="A197" s="2"/>
      <c r="B197" s="2" t="s">
        <v>209</v>
      </c>
      <c r="C197" s="2" t="s">
        <v>6</v>
      </c>
      <c r="D197" s="2" t="s">
        <v>6</v>
      </c>
      <c r="E197" s="2" t="s">
        <v>6</v>
      </c>
      <c r="F197" s="2" t="s">
        <v>6</v>
      </c>
      <c r="G197" s="24" t="s">
        <v>6</v>
      </c>
      <c r="H197" s="2"/>
      <c r="I197" s="2"/>
      <c r="J197" s="2"/>
      <c r="K197" s="2"/>
    </row>
    <row r="198" spans="1:11">
      <c r="A198" s="2"/>
      <c r="B198" s="2" t="s">
        <v>210</v>
      </c>
      <c r="C198" s="2" t="s">
        <v>6</v>
      </c>
      <c r="D198" s="2" t="s">
        <v>6</v>
      </c>
      <c r="E198" s="2" t="s">
        <v>6</v>
      </c>
      <c r="F198" s="2" t="s">
        <v>6</v>
      </c>
      <c r="G198" s="24" t="s">
        <v>6</v>
      </c>
      <c r="H198" s="2"/>
      <c r="I198" s="2"/>
      <c r="J198" s="2"/>
      <c r="K198" s="2"/>
    </row>
    <row r="199" spans="1:11">
      <c r="A199" s="2"/>
      <c r="B199" s="2" t="s">
        <v>211</v>
      </c>
      <c r="C199" s="2" t="s">
        <v>6</v>
      </c>
      <c r="D199" s="2" t="s">
        <v>6</v>
      </c>
      <c r="E199" s="2" t="s">
        <v>6</v>
      </c>
      <c r="F199" s="2" t="s">
        <v>6</v>
      </c>
      <c r="G199" s="24" t="s">
        <v>6</v>
      </c>
      <c r="H199" s="2"/>
      <c r="I199" s="2"/>
      <c r="J199" s="2"/>
      <c r="K199" s="2"/>
    </row>
    <row r="200" spans="1:11">
      <c r="A200" s="2"/>
      <c r="B200" s="2" t="s">
        <v>212</v>
      </c>
      <c r="C200" s="2" t="s">
        <v>6</v>
      </c>
      <c r="D200" s="2" t="s">
        <v>6</v>
      </c>
      <c r="E200" s="2" t="s">
        <v>6</v>
      </c>
      <c r="F200" s="2" t="s">
        <v>6</v>
      </c>
      <c r="G200" s="24" t="s">
        <v>6</v>
      </c>
      <c r="H200" s="2"/>
      <c r="I200" s="2"/>
      <c r="J200" s="2"/>
      <c r="K200" s="2"/>
    </row>
    <row r="201" spans="1:11">
      <c r="A201" s="2"/>
      <c r="B201" s="2" t="s">
        <v>213</v>
      </c>
      <c r="C201" s="2" t="s">
        <v>6</v>
      </c>
      <c r="D201" s="2" t="s">
        <v>6</v>
      </c>
      <c r="E201" s="2" t="s">
        <v>6</v>
      </c>
      <c r="F201" s="2" t="s">
        <v>6</v>
      </c>
      <c r="G201" s="24" t="s">
        <v>6</v>
      </c>
      <c r="H201" s="2"/>
      <c r="I201" s="2"/>
      <c r="J201" s="2"/>
      <c r="K201" s="2"/>
    </row>
    <row r="202" spans="1:11">
      <c r="A202" s="2"/>
      <c r="B202" s="2" t="s">
        <v>214</v>
      </c>
      <c r="C202" s="2" t="s">
        <v>6</v>
      </c>
      <c r="D202" s="2" t="s">
        <v>6</v>
      </c>
      <c r="E202" s="2" t="s">
        <v>6</v>
      </c>
      <c r="F202" s="2" t="s">
        <v>6</v>
      </c>
      <c r="G202" s="24" t="s">
        <v>6</v>
      </c>
      <c r="H202" s="2"/>
      <c r="I202" s="2"/>
      <c r="J202" s="2"/>
      <c r="K202" s="2"/>
    </row>
    <row r="203" spans="1:11">
      <c r="A203" s="2"/>
      <c r="B203" s="2" t="s">
        <v>215</v>
      </c>
      <c r="C203" s="2" t="s">
        <v>6</v>
      </c>
      <c r="D203" s="2" t="s">
        <v>6</v>
      </c>
      <c r="E203" s="2" t="s">
        <v>6</v>
      </c>
      <c r="F203" s="2" t="s">
        <v>6</v>
      </c>
      <c r="G203" s="24" t="s">
        <v>6</v>
      </c>
      <c r="H203" s="2"/>
      <c r="I203" s="2"/>
      <c r="J203" s="2"/>
      <c r="K203" s="2"/>
    </row>
    <row r="204" spans="1:11">
      <c r="A204" s="2"/>
      <c r="B204" s="2" t="s">
        <v>216</v>
      </c>
      <c r="C204" s="2" t="s">
        <v>6</v>
      </c>
      <c r="D204" s="2" t="s">
        <v>6</v>
      </c>
      <c r="E204" s="2" t="s">
        <v>6</v>
      </c>
      <c r="F204" s="2" t="s">
        <v>6</v>
      </c>
      <c r="G204" s="24" t="s">
        <v>6</v>
      </c>
      <c r="H204" s="2"/>
      <c r="I204" s="2"/>
      <c r="J204" s="2"/>
      <c r="K204" s="2"/>
    </row>
    <row r="205" spans="1:11">
      <c r="A205" s="2"/>
      <c r="B205" s="2" t="s">
        <v>217</v>
      </c>
      <c r="C205" s="2" t="s">
        <v>6</v>
      </c>
      <c r="D205" s="2" t="s">
        <v>6</v>
      </c>
      <c r="E205" s="2" t="s">
        <v>6</v>
      </c>
      <c r="F205" s="2" t="s">
        <v>6</v>
      </c>
      <c r="G205" s="24" t="s">
        <v>6</v>
      </c>
      <c r="H205" s="2"/>
      <c r="I205" s="2"/>
      <c r="J205" s="2"/>
      <c r="K205" s="2"/>
    </row>
    <row r="206" spans="1:11">
      <c r="A206" s="2"/>
      <c r="B206" s="2" t="s">
        <v>218</v>
      </c>
      <c r="C206" s="2" t="s">
        <v>6</v>
      </c>
      <c r="D206" s="2" t="s">
        <v>6</v>
      </c>
      <c r="E206" s="2" t="s">
        <v>6</v>
      </c>
      <c r="F206" s="2" t="s">
        <v>6</v>
      </c>
      <c r="G206" s="24" t="s">
        <v>6</v>
      </c>
      <c r="H206" s="2"/>
      <c r="I206" s="2"/>
      <c r="J206" s="2"/>
      <c r="K206" s="2"/>
    </row>
    <row r="207" spans="1:11">
      <c r="A207" s="2"/>
      <c r="B207" s="2" t="s">
        <v>219</v>
      </c>
      <c r="C207" s="2" t="s">
        <v>6</v>
      </c>
      <c r="D207" s="2" t="s">
        <v>6</v>
      </c>
      <c r="E207" s="2" t="s">
        <v>6</v>
      </c>
      <c r="F207" s="2" t="s">
        <v>6</v>
      </c>
      <c r="G207" s="24" t="s">
        <v>6</v>
      </c>
      <c r="H207" s="2"/>
      <c r="I207" s="2"/>
      <c r="J207" s="2"/>
      <c r="K207" s="2"/>
    </row>
    <row r="208" spans="1:11">
      <c r="A208" s="2"/>
      <c r="B208" s="2" t="s">
        <v>220</v>
      </c>
      <c r="C208" s="2" t="s">
        <v>6</v>
      </c>
      <c r="D208" s="2" t="s">
        <v>6</v>
      </c>
      <c r="E208" s="2" t="s">
        <v>6</v>
      </c>
      <c r="F208" s="2" t="s">
        <v>6</v>
      </c>
      <c r="G208" s="24" t="s">
        <v>6</v>
      </c>
      <c r="H208" s="2"/>
      <c r="I208" s="2"/>
      <c r="J208" s="2"/>
      <c r="K208" s="2"/>
    </row>
    <row r="209" spans="1:11">
      <c r="A209" s="2"/>
      <c r="B209" s="2" t="s">
        <v>221</v>
      </c>
      <c r="C209" s="2" t="s">
        <v>6</v>
      </c>
      <c r="D209" s="2" t="s">
        <v>6</v>
      </c>
      <c r="E209" s="2" t="s">
        <v>6</v>
      </c>
      <c r="F209" s="2" t="s">
        <v>6</v>
      </c>
      <c r="G209" s="24" t="s">
        <v>6</v>
      </c>
      <c r="H209" s="2"/>
      <c r="I209" s="2"/>
      <c r="J209" s="2"/>
      <c r="K209" s="2"/>
    </row>
    <row r="210" spans="1:11">
      <c r="A210" s="2"/>
      <c r="B210" s="2" t="s">
        <v>222</v>
      </c>
      <c r="C210" s="2" t="s">
        <v>6</v>
      </c>
      <c r="D210" s="2" t="s">
        <v>6</v>
      </c>
      <c r="E210" s="2" t="s">
        <v>6</v>
      </c>
      <c r="F210" s="2" t="s">
        <v>6</v>
      </c>
      <c r="G210" s="24" t="s">
        <v>6</v>
      </c>
      <c r="H210" s="2"/>
      <c r="I210" s="2"/>
      <c r="J210" s="2"/>
      <c r="K210" s="2"/>
    </row>
    <row r="211" spans="1:11">
      <c r="A211" s="2"/>
      <c r="B211" s="2" t="s">
        <v>223</v>
      </c>
      <c r="C211" s="2" t="s">
        <v>6</v>
      </c>
      <c r="D211" s="2" t="s">
        <v>6</v>
      </c>
      <c r="E211" s="2" t="s">
        <v>6</v>
      </c>
      <c r="F211" s="2" t="s">
        <v>6</v>
      </c>
      <c r="G211" s="24" t="s">
        <v>6</v>
      </c>
      <c r="H211" s="2"/>
      <c r="I211" s="2"/>
      <c r="J211" s="2"/>
      <c r="K211" s="2"/>
    </row>
    <row r="212" spans="1:11">
      <c r="A212" s="2"/>
      <c r="B212" s="2" t="s">
        <v>224</v>
      </c>
      <c r="C212" s="2" t="s">
        <v>6</v>
      </c>
      <c r="D212" s="2" t="s">
        <v>6</v>
      </c>
      <c r="E212" s="2" t="s">
        <v>6</v>
      </c>
      <c r="F212" s="2" t="s">
        <v>6</v>
      </c>
      <c r="G212" s="24" t="s">
        <v>6</v>
      </c>
      <c r="H212" s="2"/>
      <c r="I212" s="2"/>
      <c r="J212" s="2"/>
      <c r="K212" s="2"/>
    </row>
    <row r="213" spans="1:11">
      <c r="A213" s="2"/>
      <c r="B213" s="2" t="s">
        <v>225</v>
      </c>
      <c r="C213" s="2" t="s">
        <v>6</v>
      </c>
      <c r="D213" s="2" t="s">
        <v>6</v>
      </c>
      <c r="E213" s="2" t="s">
        <v>6</v>
      </c>
      <c r="F213" s="2" t="s">
        <v>6</v>
      </c>
      <c r="G213" s="24" t="s">
        <v>6</v>
      </c>
      <c r="H213" s="2"/>
      <c r="I213" s="2"/>
      <c r="J213" s="2"/>
      <c r="K213" s="2"/>
    </row>
    <row r="214" spans="1:11">
      <c r="A214" s="2"/>
      <c r="B214" s="2" t="s">
        <v>226</v>
      </c>
      <c r="C214" s="2" t="s">
        <v>6</v>
      </c>
      <c r="D214" s="2" t="s">
        <v>6</v>
      </c>
      <c r="E214" s="2" t="s">
        <v>6</v>
      </c>
      <c r="F214" s="2" t="s">
        <v>6</v>
      </c>
      <c r="G214" s="24" t="s">
        <v>6</v>
      </c>
      <c r="H214" s="2"/>
      <c r="I214" s="2"/>
      <c r="J214" s="2"/>
      <c r="K214" s="2"/>
    </row>
    <row r="215" spans="1:11">
      <c r="A215" s="2"/>
      <c r="B215" s="2" t="s">
        <v>227</v>
      </c>
      <c r="C215" s="2" t="s">
        <v>6</v>
      </c>
      <c r="D215" s="2" t="s">
        <v>6</v>
      </c>
      <c r="E215" s="2" t="s">
        <v>6</v>
      </c>
      <c r="F215" s="2" t="s">
        <v>6</v>
      </c>
      <c r="G215" s="24" t="s">
        <v>6</v>
      </c>
      <c r="H215" s="2"/>
      <c r="I215" s="2"/>
      <c r="J215" s="2"/>
      <c r="K215" s="2"/>
    </row>
    <row r="216" spans="1:11">
      <c r="A216" s="2"/>
      <c r="B216" s="2" t="s">
        <v>228</v>
      </c>
      <c r="C216" s="2" t="s">
        <v>6</v>
      </c>
      <c r="D216" s="2" t="s">
        <v>6</v>
      </c>
      <c r="E216" s="2" t="s">
        <v>6</v>
      </c>
      <c r="F216" s="2" t="s">
        <v>6</v>
      </c>
      <c r="G216" s="24" t="s">
        <v>6</v>
      </c>
      <c r="H216" s="2"/>
      <c r="I216" s="2"/>
      <c r="J216" s="2"/>
      <c r="K216" s="2"/>
    </row>
    <row r="217" spans="1:11">
      <c r="A217" s="2"/>
      <c r="B217" s="2" t="s">
        <v>229</v>
      </c>
      <c r="C217" s="2" t="s">
        <v>6</v>
      </c>
      <c r="D217" s="2" t="s">
        <v>6</v>
      </c>
      <c r="E217" s="2" t="s">
        <v>6</v>
      </c>
      <c r="F217" s="2" t="s">
        <v>6</v>
      </c>
      <c r="G217" s="24" t="s">
        <v>6</v>
      </c>
      <c r="H217" s="2"/>
      <c r="I217" s="2"/>
      <c r="J217" s="2"/>
      <c r="K217" s="2"/>
    </row>
    <row r="218" spans="1:11">
      <c r="A218" s="2"/>
      <c r="B218" s="2" t="s">
        <v>230</v>
      </c>
      <c r="C218" s="2" t="s">
        <v>6</v>
      </c>
      <c r="D218" s="2" t="s">
        <v>6</v>
      </c>
      <c r="E218" s="2" t="s">
        <v>6</v>
      </c>
      <c r="F218" s="2" t="s">
        <v>6</v>
      </c>
      <c r="G218" s="24" t="s">
        <v>6</v>
      </c>
      <c r="H218" s="2"/>
      <c r="I218" s="2"/>
      <c r="J218" s="2"/>
      <c r="K218" s="2"/>
    </row>
    <row r="219" spans="1:11">
      <c r="A219" s="2"/>
      <c r="B219" s="2" t="s">
        <v>231</v>
      </c>
      <c r="C219" s="2" t="s">
        <v>6</v>
      </c>
      <c r="D219" s="2" t="s">
        <v>6</v>
      </c>
      <c r="E219" s="2" t="s">
        <v>6</v>
      </c>
      <c r="F219" s="2" t="s">
        <v>6</v>
      </c>
      <c r="G219" s="24" t="s">
        <v>6</v>
      </c>
      <c r="H219" s="2"/>
      <c r="I219" s="2"/>
      <c r="J219" s="2"/>
      <c r="K219" s="2"/>
    </row>
    <row r="220" spans="1:11">
      <c r="A220" s="2"/>
      <c r="B220" s="2" t="s">
        <v>232</v>
      </c>
      <c r="C220" s="2" t="s">
        <v>6</v>
      </c>
      <c r="D220" s="2" t="s">
        <v>6</v>
      </c>
      <c r="E220" s="2" t="s">
        <v>6</v>
      </c>
      <c r="F220" s="2" t="s">
        <v>6</v>
      </c>
      <c r="G220" s="24" t="s">
        <v>6</v>
      </c>
      <c r="H220" s="2"/>
      <c r="I220" s="2"/>
      <c r="J220" s="2"/>
      <c r="K220" s="2"/>
    </row>
    <row r="221" spans="1:11">
      <c r="A221" s="2"/>
      <c r="B221" s="2" t="s">
        <v>233</v>
      </c>
      <c r="C221" s="2" t="s">
        <v>6</v>
      </c>
      <c r="D221" s="2" t="s">
        <v>6</v>
      </c>
      <c r="E221" s="2" t="s">
        <v>6</v>
      </c>
      <c r="F221" s="2" t="s">
        <v>6</v>
      </c>
      <c r="G221" s="24" t="s">
        <v>6</v>
      </c>
      <c r="H221" s="2"/>
      <c r="I221" s="2"/>
      <c r="J221" s="2"/>
      <c r="K221" s="2"/>
    </row>
    <row r="222" spans="1:11">
      <c r="A222" s="2"/>
      <c r="B222" s="2" t="s">
        <v>234</v>
      </c>
      <c r="C222" s="2" t="s">
        <v>6</v>
      </c>
      <c r="D222" s="2" t="s">
        <v>6</v>
      </c>
      <c r="E222" s="2" t="s">
        <v>6</v>
      </c>
      <c r="F222" s="2" t="s">
        <v>6</v>
      </c>
      <c r="G222" s="24" t="s">
        <v>6</v>
      </c>
      <c r="H222" s="2"/>
      <c r="I222" s="2"/>
      <c r="J222" s="2"/>
      <c r="K222" s="2"/>
    </row>
    <row r="223" spans="1:11">
      <c r="A223" s="2"/>
      <c r="B223" s="2" t="s">
        <v>235</v>
      </c>
      <c r="C223" s="2" t="s">
        <v>6</v>
      </c>
      <c r="D223" s="2" t="s">
        <v>6</v>
      </c>
      <c r="E223" s="2" t="s">
        <v>6</v>
      </c>
      <c r="F223" s="2" t="s">
        <v>6</v>
      </c>
      <c r="G223" s="24" t="s">
        <v>6</v>
      </c>
      <c r="H223" s="2"/>
      <c r="I223" s="2"/>
      <c r="J223" s="2"/>
      <c r="K223" s="2"/>
    </row>
    <row r="224" spans="1:11">
      <c r="A224" s="2"/>
      <c r="B224" s="2" t="s">
        <v>236</v>
      </c>
      <c r="C224" s="2" t="s">
        <v>6</v>
      </c>
      <c r="D224" s="2" t="s">
        <v>6</v>
      </c>
      <c r="E224" s="2" t="s">
        <v>6</v>
      </c>
      <c r="F224" s="2" t="s">
        <v>6</v>
      </c>
      <c r="G224" s="24" t="s">
        <v>6</v>
      </c>
      <c r="H224" s="2"/>
      <c r="I224" s="2"/>
      <c r="J224" s="2"/>
      <c r="K224" s="2"/>
    </row>
    <row r="225" spans="1:11">
      <c r="A225" s="2"/>
      <c r="B225" s="2" t="s">
        <v>237</v>
      </c>
      <c r="C225" s="2" t="s">
        <v>6</v>
      </c>
      <c r="D225" s="2" t="s">
        <v>6</v>
      </c>
      <c r="E225" s="2" t="s">
        <v>6</v>
      </c>
      <c r="F225" s="2" t="s">
        <v>6</v>
      </c>
      <c r="G225" s="24" t="s">
        <v>6</v>
      </c>
      <c r="H225" s="2"/>
      <c r="I225" s="2"/>
      <c r="J225" s="2"/>
      <c r="K225" s="2"/>
    </row>
    <row r="226" spans="1:11">
      <c r="A226" s="2"/>
      <c r="B226" s="2" t="s">
        <v>238</v>
      </c>
      <c r="C226" s="2" t="s">
        <v>6</v>
      </c>
      <c r="D226" s="2" t="s">
        <v>6</v>
      </c>
      <c r="E226" s="2" t="s">
        <v>6</v>
      </c>
      <c r="F226" s="2" t="s">
        <v>6</v>
      </c>
      <c r="G226" s="24" t="s">
        <v>6</v>
      </c>
      <c r="H226" s="2"/>
      <c r="I226" s="2"/>
      <c r="J226" s="2"/>
      <c r="K226" s="2"/>
    </row>
    <row r="227" spans="1:11">
      <c r="A227" s="2"/>
      <c r="B227" s="2" t="s">
        <v>239</v>
      </c>
      <c r="C227" s="2" t="s">
        <v>6</v>
      </c>
      <c r="D227" s="2" t="s">
        <v>6</v>
      </c>
      <c r="E227" s="2" t="s">
        <v>6</v>
      </c>
      <c r="F227" s="2" t="s">
        <v>6</v>
      </c>
      <c r="G227" s="24" t="s">
        <v>6</v>
      </c>
      <c r="H227" s="2"/>
      <c r="I227" s="2"/>
      <c r="J227" s="2"/>
      <c r="K227" s="2"/>
    </row>
    <row r="228" spans="1:11">
      <c r="A228" s="2"/>
      <c r="B228" s="2" t="s">
        <v>240</v>
      </c>
      <c r="C228" s="2" t="s">
        <v>6</v>
      </c>
      <c r="D228" s="2" t="s">
        <v>6</v>
      </c>
      <c r="E228" s="2" t="s">
        <v>6</v>
      </c>
      <c r="F228" s="2" t="s">
        <v>6</v>
      </c>
      <c r="G228" s="24" t="s">
        <v>6</v>
      </c>
      <c r="H228" s="2"/>
      <c r="I228" s="2"/>
      <c r="J228" s="2"/>
      <c r="K228" s="2"/>
    </row>
    <row r="229" spans="1:11">
      <c r="A229" s="2"/>
      <c r="B229" s="2" t="s">
        <v>241</v>
      </c>
      <c r="C229" s="2" t="s">
        <v>6</v>
      </c>
      <c r="D229" s="2" t="s">
        <v>6</v>
      </c>
      <c r="E229" s="2" t="s">
        <v>6</v>
      </c>
      <c r="F229" s="2" t="s">
        <v>6</v>
      </c>
      <c r="G229" s="24" t="s">
        <v>6</v>
      </c>
      <c r="H229" s="2"/>
      <c r="I229" s="2"/>
      <c r="J229" s="2"/>
      <c r="K229" s="2"/>
    </row>
    <row r="230" spans="1:11">
      <c r="A230" s="2"/>
      <c r="B230" s="2" t="s">
        <v>242</v>
      </c>
      <c r="C230" s="2" t="s">
        <v>6</v>
      </c>
      <c r="D230" s="2" t="s">
        <v>6</v>
      </c>
      <c r="E230" s="2" t="s">
        <v>6</v>
      </c>
      <c r="F230" s="2" t="s">
        <v>6</v>
      </c>
      <c r="G230" s="24" t="s">
        <v>6</v>
      </c>
      <c r="H230" s="2"/>
      <c r="I230" s="2"/>
      <c r="J230" s="2"/>
      <c r="K230" s="2"/>
    </row>
    <row r="231" spans="1:11">
      <c r="A231" s="2"/>
      <c r="B231" s="2" t="s">
        <v>243</v>
      </c>
      <c r="C231" s="2" t="s">
        <v>6</v>
      </c>
      <c r="D231" s="2" t="s">
        <v>6</v>
      </c>
      <c r="E231" s="2" t="s">
        <v>6</v>
      </c>
      <c r="F231" s="2" t="s">
        <v>6</v>
      </c>
      <c r="G231" s="24" t="s">
        <v>6</v>
      </c>
      <c r="H231" s="2"/>
      <c r="I231" s="2"/>
      <c r="J231" s="2"/>
      <c r="K231" s="2"/>
    </row>
    <row r="232" spans="1:11">
      <c r="A232" s="2"/>
      <c r="B232" s="2" t="s">
        <v>244</v>
      </c>
      <c r="C232" s="2" t="s">
        <v>6</v>
      </c>
      <c r="D232" s="2" t="s">
        <v>6</v>
      </c>
      <c r="E232" s="2" t="s">
        <v>6</v>
      </c>
      <c r="F232" s="2" t="s">
        <v>6</v>
      </c>
      <c r="G232" s="24" t="s">
        <v>6</v>
      </c>
      <c r="H232" s="2"/>
      <c r="I232" s="2"/>
      <c r="J232" s="2"/>
      <c r="K232" s="2"/>
    </row>
    <row r="233" spans="1:11">
      <c r="A233" s="2"/>
      <c r="B233" s="2" t="s">
        <v>245</v>
      </c>
      <c r="C233" s="2" t="s">
        <v>6</v>
      </c>
      <c r="D233" s="2" t="s">
        <v>6</v>
      </c>
      <c r="E233" s="2" t="s">
        <v>6</v>
      </c>
      <c r="F233" s="2" t="s">
        <v>6</v>
      </c>
      <c r="G233" s="24" t="s">
        <v>6</v>
      </c>
      <c r="H233" s="2"/>
      <c r="I233" s="2"/>
      <c r="J233" s="2"/>
      <c r="K233" s="2"/>
    </row>
    <row r="234" spans="1:11">
      <c r="A234" s="2"/>
      <c r="B234" s="2" t="s">
        <v>246</v>
      </c>
      <c r="C234" s="2" t="s">
        <v>6</v>
      </c>
      <c r="D234" s="2" t="s">
        <v>6</v>
      </c>
      <c r="E234" s="2" t="s">
        <v>6</v>
      </c>
      <c r="F234" s="2" t="s">
        <v>6</v>
      </c>
      <c r="G234" s="24" t="s">
        <v>6</v>
      </c>
      <c r="H234" s="2"/>
      <c r="I234" s="2"/>
      <c r="J234" s="2"/>
      <c r="K234" s="2"/>
    </row>
    <row r="235" spans="1:11">
      <c r="A235" s="2"/>
      <c r="B235" s="2" t="s">
        <v>247</v>
      </c>
      <c r="C235" s="2" t="s">
        <v>6</v>
      </c>
      <c r="D235" s="2" t="s">
        <v>6</v>
      </c>
      <c r="E235" s="2" t="s">
        <v>6</v>
      </c>
      <c r="F235" s="2" t="s">
        <v>6</v>
      </c>
      <c r="G235" s="24" t="s">
        <v>6</v>
      </c>
      <c r="H235" s="2"/>
      <c r="I235" s="2"/>
      <c r="J235" s="2"/>
      <c r="K235" s="2"/>
    </row>
    <row r="236" spans="1:11">
      <c r="A236" s="2"/>
      <c r="B236" s="2" t="s">
        <v>248</v>
      </c>
      <c r="C236" s="2" t="s">
        <v>6</v>
      </c>
      <c r="D236" s="2" t="s">
        <v>6</v>
      </c>
      <c r="E236" s="2" t="s">
        <v>6</v>
      </c>
      <c r="F236" s="2" t="s">
        <v>6</v>
      </c>
      <c r="G236" s="24" t="s">
        <v>6</v>
      </c>
      <c r="H236" s="2"/>
      <c r="I236" s="2"/>
      <c r="J236" s="2"/>
      <c r="K236" s="2"/>
    </row>
    <row r="237" spans="1:11">
      <c r="A237" s="2"/>
      <c r="B237" s="2" t="s">
        <v>249</v>
      </c>
      <c r="C237" s="2" t="s">
        <v>6</v>
      </c>
      <c r="D237" s="2" t="s">
        <v>6</v>
      </c>
      <c r="E237" s="2" t="s">
        <v>6</v>
      </c>
      <c r="F237" s="2" t="s">
        <v>6</v>
      </c>
      <c r="G237" s="24" t="s">
        <v>6</v>
      </c>
      <c r="H237" s="2"/>
      <c r="I237" s="2"/>
      <c r="J237" s="2"/>
      <c r="K237" s="2"/>
    </row>
    <row r="238" spans="1:11">
      <c r="A238" s="2"/>
      <c r="B238" s="2" t="s">
        <v>250</v>
      </c>
      <c r="C238" s="2" t="s">
        <v>6</v>
      </c>
      <c r="D238" s="2" t="s">
        <v>6</v>
      </c>
      <c r="E238" s="2" t="s">
        <v>6</v>
      </c>
      <c r="F238" s="2" t="s">
        <v>6</v>
      </c>
      <c r="G238" s="24" t="s">
        <v>6</v>
      </c>
      <c r="H238" s="2"/>
      <c r="I238" s="2"/>
      <c r="J238" s="2"/>
      <c r="K238" s="2"/>
    </row>
    <row r="239" spans="1:11">
      <c r="A239" s="2"/>
      <c r="B239" s="2" t="s">
        <v>251</v>
      </c>
      <c r="C239" s="2" t="s">
        <v>6</v>
      </c>
      <c r="D239" s="2" t="s">
        <v>6</v>
      </c>
      <c r="E239" s="2" t="s">
        <v>6</v>
      </c>
      <c r="F239" s="2" t="s">
        <v>6</v>
      </c>
      <c r="G239" s="24" t="s">
        <v>6</v>
      </c>
      <c r="H239" s="2"/>
      <c r="I239" s="2"/>
      <c r="J239" s="2"/>
      <c r="K239" s="2"/>
    </row>
    <row r="240" spans="1:11">
      <c r="A240" s="2"/>
      <c r="B240" s="2" t="s">
        <v>252</v>
      </c>
      <c r="C240" s="2" t="s">
        <v>6</v>
      </c>
      <c r="D240" s="2" t="s">
        <v>6</v>
      </c>
      <c r="E240" s="2" t="s">
        <v>6</v>
      </c>
      <c r="F240" s="2" t="s">
        <v>6</v>
      </c>
      <c r="G240" s="24" t="s">
        <v>6</v>
      </c>
      <c r="H240" s="2"/>
      <c r="I240" s="2"/>
      <c r="J240" s="2"/>
      <c r="K240" s="2"/>
    </row>
    <row r="241" spans="1:11">
      <c r="A241" s="2"/>
      <c r="B241" s="2" t="s">
        <v>253</v>
      </c>
      <c r="C241" s="2" t="s">
        <v>6</v>
      </c>
      <c r="D241" s="2" t="s">
        <v>6</v>
      </c>
      <c r="E241" s="2" t="s">
        <v>6</v>
      </c>
      <c r="F241" s="2" t="s">
        <v>6</v>
      </c>
      <c r="G241" s="24" t="s">
        <v>6</v>
      </c>
      <c r="H241" s="2"/>
      <c r="I241" s="2"/>
      <c r="J241" s="2"/>
      <c r="K241" s="2"/>
    </row>
    <row r="242" spans="1:11">
      <c r="A242" s="2"/>
      <c r="B242" s="2" t="s">
        <v>254</v>
      </c>
      <c r="C242" s="2" t="s">
        <v>6</v>
      </c>
      <c r="D242" s="2" t="s">
        <v>6</v>
      </c>
      <c r="E242" s="2" t="s">
        <v>6</v>
      </c>
      <c r="F242" s="2" t="s">
        <v>6</v>
      </c>
      <c r="G242" s="24" t="s">
        <v>6</v>
      </c>
      <c r="H242" s="2"/>
      <c r="I242" s="2"/>
      <c r="J242" s="2"/>
      <c r="K242" s="2"/>
    </row>
    <row r="243" spans="1:11">
      <c r="A243" s="2"/>
      <c r="B243" s="2" t="s">
        <v>255</v>
      </c>
      <c r="C243" s="2" t="s">
        <v>6</v>
      </c>
      <c r="D243" s="2" t="s">
        <v>6</v>
      </c>
      <c r="E243" s="2" t="s">
        <v>6</v>
      </c>
      <c r="F243" s="2" t="s">
        <v>6</v>
      </c>
      <c r="G243" s="24" t="s">
        <v>6</v>
      </c>
      <c r="H243" s="2"/>
      <c r="I243" s="2"/>
      <c r="J243" s="2"/>
      <c r="K243" s="2"/>
    </row>
    <row r="244" spans="1:11">
      <c r="A244" s="2"/>
      <c r="B244" s="2" t="s">
        <v>256</v>
      </c>
      <c r="C244" s="2" t="s">
        <v>6</v>
      </c>
      <c r="D244" s="2" t="s">
        <v>6</v>
      </c>
      <c r="E244" s="2" t="s">
        <v>6</v>
      </c>
      <c r="F244" s="2" t="s">
        <v>6</v>
      </c>
      <c r="G244" s="24" t="s">
        <v>6</v>
      </c>
      <c r="H244" s="2"/>
      <c r="I244" s="2"/>
      <c r="J244" s="2"/>
      <c r="K244" s="2"/>
    </row>
    <row r="245" spans="1:11">
      <c r="A245" s="2"/>
      <c r="B245" s="2" t="s">
        <v>257</v>
      </c>
      <c r="C245" s="2" t="s">
        <v>6</v>
      </c>
      <c r="D245" s="2" t="s">
        <v>6</v>
      </c>
      <c r="E245" s="2" t="s">
        <v>6</v>
      </c>
      <c r="F245" s="2" t="s">
        <v>6</v>
      </c>
      <c r="G245" s="24" t="s">
        <v>6</v>
      </c>
      <c r="H245" s="2"/>
      <c r="I245" s="2"/>
      <c r="J245" s="2"/>
      <c r="K245" s="2"/>
    </row>
    <row r="246" spans="1:11">
      <c r="A246" s="2"/>
      <c r="B246" s="2" t="s">
        <v>258</v>
      </c>
      <c r="C246" s="2" t="s">
        <v>6</v>
      </c>
      <c r="D246" s="2" t="s">
        <v>6</v>
      </c>
      <c r="E246" s="2" t="s">
        <v>6</v>
      </c>
      <c r="F246" s="2" t="s">
        <v>6</v>
      </c>
      <c r="G246" s="24" t="s">
        <v>6</v>
      </c>
      <c r="H246" s="2"/>
      <c r="I246" s="2"/>
      <c r="J246" s="2"/>
      <c r="K246" s="2"/>
    </row>
    <row r="247" spans="1:11">
      <c r="A247" s="2"/>
      <c r="B247" s="2" t="s">
        <v>259</v>
      </c>
      <c r="C247" s="2" t="s">
        <v>6</v>
      </c>
      <c r="D247" s="2" t="s">
        <v>6</v>
      </c>
      <c r="E247" s="2" t="s">
        <v>6</v>
      </c>
      <c r="F247" s="2" t="s">
        <v>6</v>
      </c>
      <c r="G247" s="24" t="s">
        <v>6</v>
      </c>
      <c r="H247" s="2"/>
      <c r="I247" s="2"/>
      <c r="J247" s="2"/>
      <c r="K247" s="2"/>
    </row>
    <row r="248" spans="1:11">
      <c r="A248" s="2"/>
      <c r="B248" s="2" t="s">
        <v>260</v>
      </c>
      <c r="C248" s="2" t="s">
        <v>6</v>
      </c>
      <c r="D248" s="2" t="s">
        <v>6</v>
      </c>
      <c r="E248" s="2" t="s">
        <v>6</v>
      </c>
      <c r="F248" s="2" t="s">
        <v>6</v>
      </c>
      <c r="G248" s="24" t="s">
        <v>6</v>
      </c>
      <c r="H248" s="2"/>
      <c r="I248" s="2"/>
      <c r="J248" s="2"/>
      <c r="K248" s="2"/>
    </row>
    <row r="249" spans="1:11">
      <c r="A249" s="2"/>
      <c r="B249" s="2" t="s">
        <v>261</v>
      </c>
      <c r="C249" s="2" t="s">
        <v>6</v>
      </c>
      <c r="D249" s="2" t="s">
        <v>6</v>
      </c>
      <c r="E249" s="2" t="s">
        <v>6</v>
      </c>
      <c r="F249" s="2" t="s">
        <v>6</v>
      </c>
      <c r="G249" s="24" t="s">
        <v>6</v>
      </c>
      <c r="H249" s="2"/>
      <c r="I249" s="2"/>
      <c r="J249" s="2"/>
      <c r="K249" s="2"/>
    </row>
    <row r="250" spans="1:11">
      <c r="A250" s="2"/>
      <c r="B250" s="2" t="s">
        <v>262</v>
      </c>
      <c r="C250" s="2" t="s">
        <v>6</v>
      </c>
      <c r="D250" s="2" t="s">
        <v>6</v>
      </c>
      <c r="E250" s="2" t="s">
        <v>6</v>
      </c>
      <c r="F250" s="2" t="s">
        <v>6</v>
      </c>
      <c r="G250" s="24" t="s">
        <v>6</v>
      </c>
      <c r="H250" s="2"/>
      <c r="I250" s="2"/>
      <c r="J250" s="2"/>
      <c r="K250" s="2"/>
    </row>
    <row r="251" spans="1:11">
      <c r="A251" s="2"/>
      <c r="B251" s="2" t="s">
        <v>263</v>
      </c>
      <c r="C251" s="2" t="s">
        <v>6</v>
      </c>
      <c r="D251" s="2" t="s">
        <v>6</v>
      </c>
      <c r="E251" s="2" t="s">
        <v>6</v>
      </c>
      <c r="F251" s="2" t="s">
        <v>6</v>
      </c>
      <c r="G251" s="24" t="s">
        <v>6</v>
      </c>
      <c r="H251" s="2"/>
      <c r="I251" s="2"/>
      <c r="J251" s="2"/>
      <c r="K251" s="2"/>
    </row>
    <row r="252" spans="1:11">
      <c r="A252" s="2"/>
      <c r="B252" s="2" t="s">
        <v>264</v>
      </c>
      <c r="C252" s="2" t="s">
        <v>6</v>
      </c>
      <c r="D252" s="2" t="s">
        <v>6</v>
      </c>
      <c r="E252" s="2" t="s">
        <v>6</v>
      </c>
      <c r="F252" s="2" t="s">
        <v>6</v>
      </c>
      <c r="G252" s="24" t="s">
        <v>6</v>
      </c>
      <c r="H252" s="2"/>
      <c r="I252" s="2"/>
      <c r="J252" s="2"/>
      <c r="K252" s="2"/>
    </row>
    <row r="253" spans="1:11">
      <c r="A253" s="2"/>
      <c r="B253" s="2" t="s">
        <v>265</v>
      </c>
      <c r="C253" s="2" t="s">
        <v>6</v>
      </c>
      <c r="D253" s="2" t="s">
        <v>6</v>
      </c>
      <c r="E253" s="2" t="s">
        <v>6</v>
      </c>
      <c r="F253" s="2" t="s">
        <v>6</v>
      </c>
      <c r="G253" s="24" t="s">
        <v>6</v>
      </c>
      <c r="H253" s="2"/>
      <c r="I253" s="2"/>
      <c r="J253" s="2"/>
      <c r="K253" s="2"/>
    </row>
    <row r="254" spans="1:11">
      <c r="A254" s="2"/>
      <c r="B254" s="2" t="s">
        <v>266</v>
      </c>
      <c r="C254" s="2" t="s">
        <v>6</v>
      </c>
      <c r="D254" s="2" t="s">
        <v>6</v>
      </c>
      <c r="E254" s="2" t="s">
        <v>6</v>
      </c>
      <c r="F254" s="2" t="s">
        <v>6</v>
      </c>
      <c r="G254" s="24" t="s">
        <v>6</v>
      </c>
      <c r="H254" s="2"/>
      <c r="I254" s="2"/>
      <c r="J254" s="2"/>
      <c r="K254" s="2"/>
    </row>
    <row r="255" spans="1:11">
      <c r="A255" s="2"/>
      <c r="B255" s="2" t="s">
        <v>267</v>
      </c>
      <c r="C255" s="2" t="s">
        <v>6</v>
      </c>
      <c r="D255" s="2" t="s">
        <v>6</v>
      </c>
      <c r="E255" s="2" t="s">
        <v>6</v>
      </c>
      <c r="F255" s="2" t="s">
        <v>6</v>
      </c>
      <c r="G255" s="24" t="s">
        <v>6</v>
      </c>
      <c r="H255" s="2"/>
      <c r="I255" s="2"/>
      <c r="J255" s="2"/>
      <c r="K255" s="2"/>
    </row>
    <row r="256" spans="1:11">
      <c r="A256" s="2"/>
      <c r="B256" s="2" t="s">
        <v>268</v>
      </c>
      <c r="C256" s="2" t="s">
        <v>6</v>
      </c>
      <c r="D256" s="2" t="s">
        <v>6</v>
      </c>
      <c r="E256" s="2" t="s">
        <v>6</v>
      </c>
      <c r="F256" s="2" t="s">
        <v>6</v>
      </c>
      <c r="G256" s="24" t="s">
        <v>6</v>
      </c>
      <c r="H256" s="2"/>
      <c r="I256" s="2"/>
      <c r="J256" s="2"/>
      <c r="K256" s="2"/>
    </row>
    <row r="257" spans="1:11">
      <c r="A257" s="2"/>
      <c r="B257" s="2" t="s">
        <v>269</v>
      </c>
      <c r="C257" s="2" t="s">
        <v>6</v>
      </c>
      <c r="D257" s="2" t="s">
        <v>6</v>
      </c>
      <c r="E257" s="2" t="s">
        <v>6</v>
      </c>
      <c r="F257" s="2" t="s">
        <v>6</v>
      </c>
      <c r="G257" s="24" t="s">
        <v>6</v>
      </c>
      <c r="H257" s="2"/>
      <c r="I257" s="2"/>
      <c r="J257" s="2"/>
      <c r="K257" s="2"/>
    </row>
    <row r="258" spans="1:11">
      <c r="A258" s="2"/>
      <c r="B258" s="2" t="s">
        <v>270</v>
      </c>
      <c r="C258" s="2" t="s">
        <v>6</v>
      </c>
      <c r="D258" s="2" t="s">
        <v>6</v>
      </c>
      <c r="E258" s="2" t="s">
        <v>6</v>
      </c>
      <c r="F258" s="2" t="s">
        <v>6</v>
      </c>
      <c r="G258" s="24" t="s">
        <v>6</v>
      </c>
      <c r="H258" s="2"/>
      <c r="I258" s="2"/>
      <c r="J258" s="2"/>
      <c r="K258" s="2"/>
    </row>
    <row r="259" spans="1:11">
      <c r="A259" s="2"/>
      <c r="B259" s="2" t="s">
        <v>271</v>
      </c>
      <c r="C259" s="2" t="s">
        <v>6</v>
      </c>
      <c r="D259" s="2" t="s">
        <v>6</v>
      </c>
      <c r="E259" s="2" t="s">
        <v>6</v>
      </c>
      <c r="F259" s="2" t="s">
        <v>6</v>
      </c>
      <c r="G259" s="24" t="s">
        <v>6</v>
      </c>
      <c r="H259" s="2"/>
      <c r="I259" s="2"/>
      <c r="J259" s="2"/>
      <c r="K259" s="2"/>
    </row>
    <row r="260" spans="1:11">
      <c r="A260" s="2"/>
      <c r="B260" s="2" t="s">
        <v>272</v>
      </c>
      <c r="C260" s="2" t="s">
        <v>6</v>
      </c>
      <c r="D260" s="2" t="s">
        <v>6</v>
      </c>
      <c r="E260" s="2" t="s">
        <v>6</v>
      </c>
      <c r="F260" s="2" t="s">
        <v>6</v>
      </c>
      <c r="G260" s="24" t="s">
        <v>6</v>
      </c>
      <c r="H260" s="2"/>
      <c r="I260" s="2"/>
      <c r="J260" s="2"/>
      <c r="K260" s="2"/>
    </row>
    <row r="261" spans="1:11">
      <c r="A261" s="2"/>
      <c r="B261" s="2" t="s">
        <v>273</v>
      </c>
      <c r="C261" s="2" t="s">
        <v>6</v>
      </c>
      <c r="D261" s="2" t="s">
        <v>6</v>
      </c>
      <c r="E261" s="2" t="s">
        <v>6</v>
      </c>
      <c r="F261" s="2" t="s">
        <v>6</v>
      </c>
      <c r="G261" s="24" t="s">
        <v>6</v>
      </c>
      <c r="H261" s="2"/>
      <c r="I261" s="2"/>
      <c r="J261" s="2"/>
      <c r="K261" s="2"/>
    </row>
    <row r="262" spans="1:11">
      <c r="A262" s="2"/>
      <c r="B262" s="2" t="s">
        <v>274</v>
      </c>
      <c r="C262" s="2" t="s">
        <v>6</v>
      </c>
      <c r="D262" s="2" t="s">
        <v>6</v>
      </c>
      <c r="E262" s="2" t="s">
        <v>6</v>
      </c>
      <c r="F262" s="2" t="s">
        <v>6</v>
      </c>
      <c r="G262" s="24" t="s">
        <v>6</v>
      </c>
      <c r="H262" s="2"/>
      <c r="I262" s="2"/>
      <c r="J262" s="2"/>
      <c r="K262" s="2"/>
    </row>
    <row r="263" spans="1:11">
      <c r="A263" s="2"/>
      <c r="B263" s="2" t="s">
        <v>275</v>
      </c>
      <c r="C263" s="2" t="s">
        <v>6</v>
      </c>
      <c r="D263" s="2" t="s">
        <v>6</v>
      </c>
      <c r="E263" s="2" t="s">
        <v>6</v>
      </c>
      <c r="F263" s="2" t="s">
        <v>6</v>
      </c>
      <c r="G263" s="24" t="s">
        <v>6</v>
      </c>
      <c r="H263" s="2"/>
      <c r="I263" s="2"/>
      <c r="J263" s="2"/>
      <c r="K263" s="2"/>
    </row>
    <row r="264" spans="1:11">
      <c r="A264" s="2"/>
      <c r="B264" s="2" t="s">
        <v>276</v>
      </c>
      <c r="C264" s="2" t="s">
        <v>6</v>
      </c>
      <c r="D264" s="2" t="s">
        <v>6</v>
      </c>
      <c r="E264" s="2" t="s">
        <v>6</v>
      </c>
      <c r="F264" s="2" t="s">
        <v>6</v>
      </c>
      <c r="G264" s="24" t="s">
        <v>6</v>
      </c>
      <c r="H264" s="2"/>
      <c r="I264" s="2"/>
      <c r="J264" s="2"/>
      <c r="K264" s="2"/>
    </row>
    <row r="265" spans="1:11">
      <c r="A265" s="2"/>
      <c r="B265" s="2" t="s">
        <v>277</v>
      </c>
      <c r="C265" s="2" t="s">
        <v>6</v>
      </c>
      <c r="D265" s="2" t="s">
        <v>6</v>
      </c>
      <c r="E265" s="2" t="s">
        <v>6</v>
      </c>
      <c r="F265" s="2" t="s">
        <v>6</v>
      </c>
      <c r="G265" s="24" t="s">
        <v>6</v>
      </c>
      <c r="H265" s="2"/>
      <c r="I265" s="2"/>
      <c r="J265" s="2"/>
      <c r="K265" s="2"/>
    </row>
    <row r="266" spans="1:11">
      <c r="A266" s="2"/>
      <c r="B266" s="2" t="s">
        <v>278</v>
      </c>
      <c r="C266" s="2" t="s">
        <v>6</v>
      </c>
      <c r="D266" s="2" t="s">
        <v>6</v>
      </c>
      <c r="E266" s="2" t="s">
        <v>6</v>
      </c>
      <c r="F266" s="2" t="s">
        <v>6</v>
      </c>
      <c r="G266" s="24" t="s">
        <v>6</v>
      </c>
      <c r="H266" s="2"/>
      <c r="I266" s="2"/>
      <c r="J266" s="2"/>
      <c r="K266" s="2"/>
    </row>
    <row r="267" spans="1:11">
      <c r="A267" s="2"/>
      <c r="B267" s="2" t="s">
        <v>279</v>
      </c>
      <c r="C267" s="2" t="s">
        <v>6</v>
      </c>
      <c r="D267" s="2" t="s">
        <v>6</v>
      </c>
      <c r="E267" s="2" t="s">
        <v>6</v>
      </c>
      <c r="F267" s="2" t="s">
        <v>6</v>
      </c>
      <c r="G267" s="24" t="s">
        <v>6</v>
      </c>
      <c r="H267" s="2"/>
      <c r="I267" s="2"/>
      <c r="J267" s="2"/>
      <c r="K267" s="2"/>
    </row>
    <row r="268" spans="1:11">
      <c r="A268" s="2"/>
      <c r="B268" s="2" t="s">
        <v>280</v>
      </c>
      <c r="C268" s="2" t="s">
        <v>6</v>
      </c>
      <c r="D268" s="2" t="s">
        <v>6</v>
      </c>
      <c r="E268" s="2" t="s">
        <v>6</v>
      </c>
      <c r="F268" s="2" t="s">
        <v>6</v>
      </c>
      <c r="G268" s="24" t="s">
        <v>6</v>
      </c>
      <c r="H268" s="2"/>
      <c r="I268" s="2"/>
      <c r="J268" s="2"/>
      <c r="K268" s="2"/>
    </row>
    <row r="269" spans="1:11">
      <c r="A269" s="2"/>
      <c r="B269" s="2" t="s">
        <v>281</v>
      </c>
      <c r="C269" s="2" t="s">
        <v>6</v>
      </c>
      <c r="D269" s="2" t="s">
        <v>6</v>
      </c>
      <c r="E269" s="2" t="s">
        <v>6</v>
      </c>
      <c r="F269" s="2" t="s">
        <v>6</v>
      </c>
      <c r="G269" s="24" t="s">
        <v>6</v>
      </c>
      <c r="H269" s="2"/>
      <c r="I269" s="2"/>
      <c r="J269" s="2"/>
      <c r="K269" s="2"/>
    </row>
    <row r="270" spans="1:11">
      <c r="A270" s="2"/>
      <c r="B270" s="2" t="s">
        <v>282</v>
      </c>
      <c r="C270" s="2" t="s">
        <v>6</v>
      </c>
      <c r="D270" s="2" t="s">
        <v>6</v>
      </c>
      <c r="E270" s="2" t="s">
        <v>6</v>
      </c>
      <c r="F270" s="2" t="s">
        <v>6</v>
      </c>
      <c r="G270" s="24" t="s">
        <v>6</v>
      </c>
      <c r="H270" s="2"/>
      <c r="I270" s="2"/>
      <c r="J270" s="2"/>
      <c r="K270" s="2"/>
    </row>
    <row r="271" spans="1:11">
      <c r="A271" s="2"/>
      <c r="B271" s="2" t="s">
        <v>283</v>
      </c>
      <c r="C271" s="2" t="s">
        <v>6</v>
      </c>
      <c r="D271" s="2" t="s">
        <v>6</v>
      </c>
      <c r="E271" s="2" t="s">
        <v>6</v>
      </c>
      <c r="F271" s="2" t="s">
        <v>6</v>
      </c>
      <c r="G271" s="24" t="s">
        <v>6</v>
      </c>
      <c r="H271" s="2"/>
      <c r="I271" s="2"/>
      <c r="J271" s="2"/>
      <c r="K271" s="2"/>
    </row>
    <row r="272" spans="1:11">
      <c r="A272" s="2"/>
      <c r="B272" s="2" t="s">
        <v>284</v>
      </c>
      <c r="C272" s="2" t="s">
        <v>6</v>
      </c>
      <c r="D272" s="2" t="s">
        <v>6</v>
      </c>
      <c r="E272" s="2" t="s">
        <v>6</v>
      </c>
      <c r="F272" s="2" t="s">
        <v>6</v>
      </c>
      <c r="G272" s="24" t="s">
        <v>6</v>
      </c>
      <c r="H272" s="2"/>
      <c r="I272" s="2"/>
      <c r="J272" s="2"/>
      <c r="K272" s="2"/>
    </row>
    <row r="273" spans="1:11">
      <c r="A273" s="2"/>
      <c r="B273" s="2" t="s">
        <v>285</v>
      </c>
      <c r="C273" s="2" t="s">
        <v>6</v>
      </c>
      <c r="D273" s="2" t="s">
        <v>6</v>
      </c>
      <c r="E273" s="2" t="s">
        <v>6</v>
      </c>
      <c r="F273" s="2" t="s">
        <v>6</v>
      </c>
      <c r="G273" s="24" t="s">
        <v>6</v>
      </c>
      <c r="H273" s="2"/>
      <c r="I273" s="2"/>
      <c r="J273" s="2"/>
      <c r="K273" s="2"/>
    </row>
    <row r="274" spans="1:11">
      <c r="A274" s="2"/>
      <c r="B274" s="2" t="s">
        <v>286</v>
      </c>
      <c r="C274" s="2" t="s">
        <v>6</v>
      </c>
      <c r="D274" s="2" t="s">
        <v>6</v>
      </c>
      <c r="E274" s="2" t="s">
        <v>6</v>
      </c>
      <c r="F274" s="2" t="s">
        <v>6</v>
      </c>
      <c r="G274" s="24" t="s">
        <v>6</v>
      </c>
      <c r="H274" s="2"/>
      <c r="I274" s="2"/>
      <c r="J274" s="2"/>
      <c r="K274" s="2"/>
    </row>
    <row r="275" spans="1:11">
      <c r="A275" s="2"/>
      <c r="B275" s="2" t="s">
        <v>287</v>
      </c>
      <c r="C275" s="2" t="s">
        <v>6</v>
      </c>
      <c r="D275" s="2" t="s">
        <v>6</v>
      </c>
      <c r="E275" s="2" t="s">
        <v>6</v>
      </c>
      <c r="F275" s="2" t="s">
        <v>6</v>
      </c>
      <c r="G275" s="24" t="s">
        <v>6</v>
      </c>
      <c r="H275" s="2"/>
      <c r="I275" s="2"/>
      <c r="J275" s="2"/>
      <c r="K275" s="2"/>
    </row>
    <row r="276" spans="1:11">
      <c r="A276" s="2"/>
      <c r="B276" s="2" t="s">
        <v>288</v>
      </c>
      <c r="C276" s="2" t="s">
        <v>6</v>
      </c>
      <c r="D276" s="2" t="s">
        <v>6</v>
      </c>
      <c r="E276" s="2" t="s">
        <v>6</v>
      </c>
      <c r="F276" s="2" t="s">
        <v>6</v>
      </c>
      <c r="G276" s="24" t="s">
        <v>6</v>
      </c>
      <c r="H276" s="2"/>
      <c r="I276" s="2"/>
      <c r="J276" s="2"/>
      <c r="K276" s="2"/>
    </row>
    <row r="277" spans="1:11">
      <c r="A277" s="2"/>
      <c r="B277" s="2" t="s">
        <v>289</v>
      </c>
      <c r="C277" s="2" t="s">
        <v>6</v>
      </c>
      <c r="D277" s="2" t="s">
        <v>6</v>
      </c>
      <c r="E277" s="2" t="s">
        <v>6</v>
      </c>
      <c r="F277" s="2" t="s">
        <v>6</v>
      </c>
      <c r="G277" s="24" t="s">
        <v>6</v>
      </c>
      <c r="H277" s="2"/>
      <c r="I277" s="2"/>
      <c r="J277" s="2"/>
      <c r="K277" s="2"/>
    </row>
    <row r="278" spans="1:11">
      <c r="A278" s="2"/>
      <c r="B278" s="2" t="s">
        <v>290</v>
      </c>
      <c r="C278" s="2" t="s">
        <v>6</v>
      </c>
      <c r="D278" s="2" t="s">
        <v>6</v>
      </c>
      <c r="E278" s="2" t="s">
        <v>6</v>
      </c>
      <c r="F278" s="2" t="s">
        <v>6</v>
      </c>
      <c r="G278" s="24" t="s">
        <v>6</v>
      </c>
      <c r="H278" s="2"/>
      <c r="I278" s="2"/>
      <c r="J278" s="2"/>
      <c r="K278" s="2"/>
    </row>
    <row r="279" spans="1:11">
      <c r="A279" s="2"/>
      <c r="B279" s="2" t="s">
        <v>291</v>
      </c>
      <c r="C279" s="2" t="s">
        <v>6</v>
      </c>
      <c r="D279" s="2" t="s">
        <v>6</v>
      </c>
      <c r="E279" s="2" t="s">
        <v>6</v>
      </c>
      <c r="F279" s="2" t="s">
        <v>6</v>
      </c>
      <c r="G279" s="24" t="s">
        <v>6</v>
      </c>
      <c r="H279" s="2"/>
      <c r="I279" s="2"/>
      <c r="J279" s="2"/>
      <c r="K279" s="2"/>
    </row>
    <row r="280" spans="1:11">
      <c r="A280" s="2"/>
      <c r="B280" s="2" t="s">
        <v>292</v>
      </c>
      <c r="C280" s="2" t="s">
        <v>6</v>
      </c>
      <c r="D280" s="2" t="s">
        <v>6</v>
      </c>
      <c r="E280" s="2" t="s">
        <v>6</v>
      </c>
      <c r="F280" s="2" t="s">
        <v>6</v>
      </c>
      <c r="G280" s="24" t="s">
        <v>6</v>
      </c>
      <c r="H280" s="2"/>
      <c r="I280" s="2"/>
      <c r="J280" s="2"/>
      <c r="K280" s="2"/>
    </row>
    <row r="281" spans="1:11">
      <c r="A281" s="2"/>
      <c r="B281" s="2" t="s">
        <v>293</v>
      </c>
      <c r="C281" s="2" t="s">
        <v>6</v>
      </c>
      <c r="D281" s="2" t="s">
        <v>6</v>
      </c>
      <c r="E281" s="2" t="s">
        <v>6</v>
      </c>
      <c r="F281" s="2" t="s">
        <v>6</v>
      </c>
      <c r="G281" s="24" t="s">
        <v>6</v>
      </c>
      <c r="H281" s="2"/>
      <c r="I281" s="2"/>
      <c r="J281" s="2"/>
      <c r="K281" s="2"/>
    </row>
    <row r="282" spans="1:11">
      <c r="A282" s="2"/>
      <c r="B282" s="2" t="s">
        <v>294</v>
      </c>
      <c r="C282" s="2" t="s">
        <v>6</v>
      </c>
      <c r="D282" s="2" t="s">
        <v>6</v>
      </c>
      <c r="E282" s="2" t="s">
        <v>6</v>
      </c>
      <c r="F282" s="2" t="s">
        <v>6</v>
      </c>
      <c r="G282" s="24" t="s">
        <v>6</v>
      </c>
      <c r="H282" s="2"/>
      <c r="I282" s="2"/>
      <c r="J282" s="2"/>
      <c r="K282" s="2"/>
    </row>
    <row r="283" spans="1:11">
      <c r="A283" s="2"/>
      <c r="B283" s="2" t="s">
        <v>295</v>
      </c>
      <c r="C283" s="2" t="s">
        <v>6</v>
      </c>
      <c r="D283" s="2" t="s">
        <v>6</v>
      </c>
      <c r="E283" s="2" t="s">
        <v>6</v>
      </c>
      <c r="F283" s="2" t="s">
        <v>6</v>
      </c>
      <c r="G283" s="24" t="s">
        <v>6</v>
      </c>
      <c r="H283" s="2"/>
      <c r="I283" s="2"/>
      <c r="J283" s="2"/>
      <c r="K283" s="2"/>
    </row>
    <row r="284" spans="1:11">
      <c r="A284" s="2"/>
      <c r="B284" s="2" t="s">
        <v>296</v>
      </c>
      <c r="C284" s="2" t="s">
        <v>6</v>
      </c>
      <c r="D284" s="2" t="s">
        <v>6</v>
      </c>
      <c r="E284" s="2" t="s">
        <v>6</v>
      </c>
      <c r="F284" s="2" t="s">
        <v>6</v>
      </c>
      <c r="G284" s="24" t="s">
        <v>6</v>
      </c>
      <c r="H284" s="2"/>
      <c r="I284" s="2"/>
      <c r="J284" s="2"/>
      <c r="K284" s="2"/>
    </row>
    <row r="285" spans="1:11">
      <c r="A285" s="2"/>
      <c r="B285" s="2" t="s">
        <v>297</v>
      </c>
      <c r="C285" s="2" t="s">
        <v>6</v>
      </c>
      <c r="D285" s="2" t="s">
        <v>6</v>
      </c>
      <c r="E285" s="2" t="s">
        <v>6</v>
      </c>
      <c r="F285" s="2" t="s">
        <v>6</v>
      </c>
      <c r="G285" s="24" t="s">
        <v>6</v>
      </c>
      <c r="H285" s="2"/>
      <c r="I285" s="2"/>
      <c r="J285" s="2"/>
      <c r="K285" s="2"/>
    </row>
    <row r="286" spans="1:11">
      <c r="A286" s="2"/>
      <c r="B286" s="2" t="s">
        <v>298</v>
      </c>
      <c r="C286" s="2" t="s">
        <v>6</v>
      </c>
      <c r="D286" s="2" t="s">
        <v>6</v>
      </c>
      <c r="E286" s="2" t="s">
        <v>6</v>
      </c>
      <c r="F286" s="2" t="s">
        <v>6</v>
      </c>
      <c r="G286" s="24" t="s">
        <v>6</v>
      </c>
      <c r="H286" s="2"/>
      <c r="I286" s="2"/>
      <c r="J286" s="2"/>
      <c r="K286" s="2"/>
    </row>
    <row r="287" spans="1:11">
      <c r="A287" s="2"/>
      <c r="B287" s="2" t="s">
        <v>299</v>
      </c>
      <c r="C287" s="2" t="s">
        <v>6</v>
      </c>
      <c r="D287" s="2" t="s">
        <v>6</v>
      </c>
      <c r="E287" s="2" t="s">
        <v>6</v>
      </c>
      <c r="F287" s="2" t="s">
        <v>6</v>
      </c>
      <c r="G287" s="24" t="s">
        <v>6</v>
      </c>
      <c r="H287" s="2"/>
      <c r="I287" s="2"/>
      <c r="J287" s="2"/>
      <c r="K287" s="2"/>
    </row>
    <row r="288" spans="1:11">
      <c r="A288" s="2"/>
      <c r="B288" s="2" t="s">
        <v>300</v>
      </c>
      <c r="C288" s="2" t="s">
        <v>6</v>
      </c>
      <c r="D288" s="2" t="s">
        <v>6</v>
      </c>
      <c r="E288" s="2" t="s">
        <v>6</v>
      </c>
      <c r="F288" s="2" t="s">
        <v>6</v>
      </c>
      <c r="G288" s="24" t="s">
        <v>6</v>
      </c>
      <c r="H288" s="2"/>
      <c r="I288" s="2"/>
      <c r="J288" s="2"/>
      <c r="K288" s="2"/>
    </row>
    <row r="289" spans="1:11">
      <c r="A289" s="2"/>
      <c r="B289" s="2" t="s">
        <v>301</v>
      </c>
      <c r="C289" s="2" t="s">
        <v>6</v>
      </c>
      <c r="D289" s="2" t="s">
        <v>6</v>
      </c>
      <c r="E289" s="2" t="s">
        <v>6</v>
      </c>
      <c r="F289" s="2" t="s">
        <v>6</v>
      </c>
      <c r="G289" s="24" t="s">
        <v>6</v>
      </c>
      <c r="H289" s="2"/>
      <c r="I289" s="2"/>
      <c r="J289" s="2"/>
      <c r="K289" s="2"/>
    </row>
    <row r="290" spans="1:11">
      <c r="A290" s="2"/>
      <c r="B290" s="2" t="s">
        <v>302</v>
      </c>
      <c r="C290" s="2" t="s">
        <v>6</v>
      </c>
      <c r="D290" s="2" t="s">
        <v>6</v>
      </c>
      <c r="E290" s="2" t="s">
        <v>6</v>
      </c>
      <c r="F290" s="2" t="s">
        <v>6</v>
      </c>
      <c r="G290" s="24" t="s">
        <v>6</v>
      </c>
      <c r="H290" s="2"/>
      <c r="I290" s="2"/>
      <c r="J290" s="2"/>
      <c r="K290" s="2"/>
    </row>
    <row r="291" spans="1:11">
      <c r="A291" s="2"/>
      <c r="B291" s="2" t="s">
        <v>303</v>
      </c>
      <c r="C291" s="2" t="s">
        <v>6</v>
      </c>
      <c r="D291" s="2" t="s">
        <v>6</v>
      </c>
      <c r="E291" s="2" t="s">
        <v>6</v>
      </c>
      <c r="F291" s="2" t="s">
        <v>6</v>
      </c>
      <c r="G291" s="24" t="s">
        <v>6</v>
      </c>
      <c r="H291" s="2"/>
      <c r="I291" s="2"/>
      <c r="J291" s="2"/>
      <c r="K291" s="2"/>
    </row>
    <row r="292" spans="1:11">
      <c r="A292" s="2"/>
      <c r="B292" s="2" t="s">
        <v>304</v>
      </c>
      <c r="C292" s="2" t="s">
        <v>6</v>
      </c>
      <c r="D292" s="2" t="s">
        <v>6</v>
      </c>
      <c r="E292" s="2" t="s">
        <v>6</v>
      </c>
      <c r="F292" s="2" t="s">
        <v>6</v>
      </c>
      <c r="G292" s="24" t="s">
        <v>6</v>
      </c>
      <c r="H292" s="2"/>
      <c r="I292" s="2"/>
      <c r="J292" s="2"/>
      <c r="K292" s="2"/>
    </row>
    <row r="293" spans="1:11">
      <c r="A293" s="2"/>
      <c r="B293" s="2" t="s">
        <v>305</v>
      </c>
      <c r="C293" s="2" t="s">
        <v>6</v>
      </c>
      <c r="D293" s="2" t="s">
        <v>6</v>
      </c>
      <c r="E293" s="2" t="s">
        <v>6</v>
      </c>
      <c r="F293" s="2" t="s">
        <v>6</v>
      </c>
      <c r="G293" s="24" t="s">
        <v>6</v>
      </c>
      <c r="H293" s="2"/>
      <c r="I293" s="2"/>
      <c r="J293" s="2"/>
      <c r="K293" s="2"/>
    </row>
    <row r="294" spans="1:11">
      <c r="A294" s="2"/>
      <c r="B294" s="2" t="s">
        <v>306</v>
      </c>
      <c r="C294" s="2" t="s">
        <v>6</v>
      </c>
      <c r="D294" s="2" t="s">
        <v>6</v>
      </c>
      <c r="E294" s="2" t="s">
        <v>6</v>
      </c>
      <c r="F294" s="2" t="s">
        <v>6</v>
      </c>
      <c r="G294" s="24" t="s">
        <v>6</v>
      </c>
      <c r="H294" s="2"/>
      <c r="I294" s="2"/>
      <c r="J294" s="2"/>
      <c r="K294" s="2"/>
    </row>
    <row r="295" spans="1:11">
      <c r="A295" s="2"/>
      <c r="B295" s="2" t="s">
        <v>307</v>
      </c>
      <c r="C295" s="2" t="s">
        <v>6</v>
      </c>
      <c r="D295" s="2" t="s">
        <v>6</v>
      </c>
      <c r="E295" s="2" t="s">
        <v>6</v>
      </c>
      <c r="F295" s="2" t="s">
        <v>6</v>
      </c>
      <c r="G295" s="24" t="s">
        <v>6</v>
      </c>
      <c r="H295" s="2"/>
      <c r="I295" s="2"/>
      <c r="J295" s="2"/>
      <c r="K295" s="2"/>
    </row>
    <row r="296" spans="1:11">
      <c r="A296" s="2"/>
      <c r="B296" s="2" t="s">
        <v>308</v>
      </c>
      <c r="C296" s="2" t="s">
        <v>6</v>
      </c>
      <c r="D296" s="2" t="s">
        <v>6</v>
      </c>
      <c r="E296" s="2" t="s">
        <v>6</v>
      </c>
      <c r="F296" s="2" t="s">
        <v>6</v>
      </c>
      <c r="G296" s="24" t="s">
        <v>6</v>
      </c>
      <c r="H296" s="2"/>
      <c r="I296" s="2"/>
      <c r="J296" s="2"/>
      <c r="K296" s="2"/>
    </row>
    <row r="297" spans="1:11">
      <c r="A297" s="2"/>
      <c r="B297" s="2" t="s">
        <v>309</v>
      </c>
      <c r="C297" s="2" t="s">
        <v>6</v>
      </c>
      <c r="D297" s="2" t="s">
        <v>6</v>
      </c>
      <c r="E297" s="2" t="s">
        <v>6</v>
      </c>
      <c r="F297" s="2" t="s">
        <v>6</v>
      </c>
      <c r="G297" s="24" t="s">
        <v>6</v>
      </c>
      <c r="H297" s="2"/>
      <c r="I297" s="2"/>
      <c r="J297" s="2"/>
      <c r="K297" s="2"/>
    </row>
    <row r="298" spans="1:11">
      <c r="A298" s="2"/>
      <c r="B298" s="2" t="s">
        <v>310</v>
      </c>
      <c r="C298" s="2" t="s">
        <v>6</v>
      </c>
      <c r="D298" s="2" t="s">
        <v>6</v>
      </c>
      <c r="E298" s="2" t="s">
        <v>6</v>
      </c>
      <c r="F298" s="2" t="s">
        <v>6</v>
      </c>
      <c r="G298" s="24" t="s">
        <v>6</v>
      </c>
      <c r="H298" s="2"/>
      <c r="I298" s="2"/>
      <c r="J298" s="2"/>
      <c r="K298" s="2"/>
    </row>
    <row r="299" spans="1:11">
      <c r="A299" s="2"/>
      <c r="B299" s="2" t="s">
        <v>311</v>
      </c>
      <c r="C299" s="2" t="s">
        <v>6</v>
      </c>
      <c r="D299" s="2" t="s">
        <v>6</v>
      </c>
      <c r="E299" s="2" t="s">
        <v>6</v>
      </c>
      <c r="F299" s="2" t="s">
        <v>6</v>
      </c>
      <c r="G299" s="24" t="s">
        <v>6</v>
      </c>
      <c r="H299" s="2"/>
      <c r="I299" s="2"/>
      <c r="J299" s="2"/>
      <c r="K299" s="2"/>
    </row>
    <row r="300" spans="1:11">
      <c r="A300" s="2"/>
      <c r="B300" s="2" t="s">
        <v>312</v>
      </c>
      <c r="C300" s="2" t="s">
        <v>6</v>
      </c>
      <c r="D300" s="2" t="s">
        <v>6</v>
      </c>
      <c r="E300" s="2" t="s">
        <v>6</v>
      </c>
      <c r="F300" s="2" t="s">
        <v>6</v>
      </c>
      <c r="G300" s="24" t="s">
        <v>6</v>
      </c>
      <c r="H300" s="2"/>
      <c r="I300" s="2"/>
      <c r="J300" s="2"/>
      <c r="K300" s="2"/>
    </row>
    <row r="301" spans="1:11">
      <c r="A301" s="2"/>
      <c r="B301" s="2" t="s">
        <v>313</v>
      </c>
      <c r="C301" s="2" t="s">
        <v>6</v>
      </c>
      <c r="D301" s="2" t="s">
        <v>6</v>
      </c>
      <c r="E301" s="2" t="s">
        <v>6</v>
      </c>
      <c r="F301" s="2" t="s">
        <v>6</v>
      </c>
      <c r="G301" s="24" t="s">
        <v>6</v>
      </c>
      <c r="H301" s="2"/>
      <c r="I301" s="2"/>
      <c r="J301" s="2"/>
      <c r="K301" s="2"/>
    </row>
    <row r="302" spans="1:11">
      <c r="A302" s="2"/>
      <c r="B302" s="2" t="s">
        <v>314</v>
      </c>
      <c r="C302" s="2" t="s">
        <v>6</v>
      </c>
      <c r="D302" s="2" t="s">
        <v>6</v>
      </c>
      <c r="E302" s="2" t="s">
        <v>6</v>
      </c>
      <c r="F302" s="2" t="s">
        <v>6</v>
      </c>
      <c r="G302" s="24" t="s">
        <v>6</v>
      </c>
      <c r="H302" s="2"/>
      <c r="I302" s="2"/>
      <c r="J302" s="2"/>
      <c r="K302" s="2"/>
    </row>
    <row r="303" spans="1:11">
      <c r="A303" s="2"/>
      <c r="B303" s="2" t="s">
        <v>315</v>
      </c>
      <c r="C303" s="2" t="s">
        <v>6</v>
      </c>
      <c r="D303" s="2" t="s">
        <v>6</v>
      </c>
      <c r="E303" s="2" t="s">
        <v>6</v>
      </c>
      <c r="F303" s="2" t="s">
        <v>6</v>
      </c>
      <c r="G303" s="24" t="s">
        <v>6</v>
      </c>
      <c r="H303" s="2"/>
      <c r="I303" s="2"/>
      <c r="J303" s="2"/>
      <c r="K303" s="2"/>
    </row>
    <row r="304" spans="1:11">
      <c r="A304" s="2"/>
      <c r="B304" s="2" t="s">
        <v>316</v>
      </c>
      <c r="C304" s="2" t="s">
        <v>6</v>
      </c>
      <c r="D304" s="2" t="s">
        <v>6</v>
      </c>
      <c r="E304" s="2" t="s">
        <v>6</v>
      </c>
      <c r="F304" s="2" t="s">
        <v>6</v>
      </c>
      <c r="G304" s="24" t="s">
        <v>6</v>
      </c>
      <c r="H304" s="2"/>
      <c r="I304" s="2"/>
      <c r="J304" s="2"/>
      <c r="K304" s="2"/>
    </row>
    <row r="305" spans="1:11">
      <c r="A305" s="2"/>
      <c r="B305" s="2" t="s">
        <v>317</v>
      </c>
      <c r="C305" s="2" t="s">
        <v>6</v>
      </c>
      <c r="D305" s="2" t="s">
        <v>6</v>
      </c>
      <c r="E305" s="2" t="s">
        <v>6</v>
      </c>
      <c r="F305" s="2" t="s">
        <v>6</v>
      </c>
      <c r="G305" s="24" t="s">
        <v>6</v>
      </c>
      <c r="H305" s="2"/>
      <c r="I305" s="2"/>
      <c r="J305" s="2"/>
      <c r="K305" s="2"/>
    </row>
    <row r="306" spans="1:11">
      <c r="A306" s="2"/>
      <c r="B306" s="2" t="s">
        <v>318</v>
      </c>
      <c r="C306" s="2" t="s">
        <v>6</v>
      </c>
      <c r="D306" s="2" t="s">
        <v>6</v>
      </c>
      <c r="E306" s="2" t="s">
        <v>6</v>
      </c>
      <c r="F306" s="2" t="s">
        <v>6</v>
      </c>
      <c r="G306" s="24" t="s">
        <v>6</v>
      </c>
      <c r="H306" s="2"/>
      <c r="I306" s="2"/>
      <c r="J306" s="2"/>
      <c r="K306" s="2"/>
    </row>
    <row r="307" spans="1:11">
      <c r="A307" s="2"/>
      <c r="B307" s="2" t="s">
        <v>319</v>
      </c>
      <c r="C307" s="2" t="s">
        <v>6</v>
      </c>
      <c r="D307" s="2" t="s">
        <v>6</v>
      </c>
      <c r="E307" s="2" t="s">
        <v>6</v>
      </c>
      <c r="F307" s="2" t="s">
        <v>6</v>
      </c>
      <c r="G307" s="24" t="s">
        <v>6</v>
      </c>
      <c r="H307" s="2"/>
      <c r="I307" s="2"/>
      <c r="J307" s="2"/>
      <c r="K307" s="2"/>
    </row>
    <row r="308" spans="1:11">
      <c r="A308" s="2"/>
      <c r="B308" s="2" t="s">
        <v>320</v>
      </c>
      <c r="C308" s="2" t="s">
        <v>6</v>
      </c>
      <c r="D308" s="2" t="s">
        <v>6</v>
      </c>
      <c r="E308" s="2" t="s">
        <v>6</v>
      </c>
      <c r="F308" s="2" t="s">
        <v>6</v>
      </c>
      <c r="G308" s="24" t="s">
        <v>6</v>
      </c>
      <c r="H308" s="2"/>
      <c r="I308" s="2"/>
      <c r="J308" s="2"/>
      <c r="K308" s="2"/>
    </row>
    <row r="309" spans="1:11">
      <c r="A309" s="2"/>
      <c r="B309" s="2" t="s">
        <v>321</v>
      </c>
      <c r="C309" s="2" t="s">
        <v>6</v>
      </c>
      <c r="D309" s="2" t="s">
        <v>6</v>
      </c>
      <c r="E309" s="2" t="s">
        <v>6</v>
      </c>
      <c r="F309" s="2" t="s">
        <v>6</v>
      </c>
      <c r="G309" s="24" t="s">
        <v>6</v>
      </c>
      <c r="H309" s="2"/>
      <c r="I309" s="2"/>
      <c r="J309" s="2"/>
      <c r="K309" s="2"/>
    </row>
    <row r="310" spans="1:11">
      <c r="A310" s="2"/>
      <c r="B310" s="2" t="s">
        <v>322</v>
      </c>
      <c r="C310" s="2" t="s">
        <v>6</v>
      </c>
      <c r="D310" s="2" t="s">
        <v>6</v>
      </c>
      <c r="E310" s="2" t="s">
        <v>6</v>
      </c>
      <c r="F310" s="2" t="s">
        <v>6</v>
      </c>
      <c r="G310" s="24" t="s">
        <v>6</v>
      </c>
      <c r="H310" s="2"/>
      <c r="I310" s="2"/>
      <c r="J310" s="2"/>
      <c r="K310" s="2"/>
    </row>
    <row r="311" spans="1:11">
      <c r="A311" s="2"/>
      <c r="B311" s="2" t="s">
        <v>323</v>
      </c>
      <c r="C311" s="2" t="s">
        <v>6</v>
      </c>
      <c r="D311" s="2" t="s">
        <v>6</v>
      </c>
      <c r="E311" s="2" t="s">
        <v>6</v>
      </c>
      <c r="F311" s="2" t="s">
        <v>6</v>
      </c>
      <c r="G311" s="24" t="s">
        <v>6</v>
      </c>
      <c r="H311" s="2"/>
      <c r="I311" s="2"/>
      <c r="J311" s="2"/>
      <c r="K311" s="2"/>
    </row>
    <row r="312" spans="1:11">
      <c r="A312" s="2"/>
      <c r="B312" s="2" t="s">
        <v>324</v>
      </c>
      <c r="C312" s="2" t="s">
        <v>6</v>
      </c>
      <c r="D312" s="2" t="s">
        <v>6</v>
      </c>
      <c r="E312" s="2" t="s">
        <v>6</v>
      </c>
      <c r="F312" s="2" t="s">
        <v>6</v>
      </c>
      <c r="G312" s="24" t="s">
        <v>6</v>
      </c>
      <c r="H312" s="2"/>
      <c r="I312" s="2"/>
      <c r="J312" s="2"/>
      <c r="K312" s="2"/>
    </row>
    <row r="313" spans="1:11">
      <c r="A313" s="2"/>
      <c r="B313" s="2" t="s">
        <v>325</v>
      </c>
      <c r="C313" s="2" t="s">
        <v>6</v>
      </c>
      <c r="D313" s="2" t="s">
        <v>6</v>
      </c>
      <c r="E313" s="2" t="s">
        <v>6</v>
      </c>
      <c r="F313" s="2" t="s">
        <v>6</v>
      </c>
      <c r="G313" s="24" t="s">
        <v>6</v>
      </c>
      <c r="H313" s="2"/>
      <c r="I313" s="2"/>
      <c r="J313" s="2"/>
      <c r="K313" s="2"/>
    </row>
    <row r="314" spans="1:11">
      <c r="A314" s="2"/>
      <c r="B314" s="2" t="s">
        <v>326</v>
      </c>
      <c r="C314" s="2" t="s">
        <v>6</v>
      </c>
      <c r="D314" s="2" t="s">
        <v>6</v>
      </c>
      <c r="E314" s="2" t="s">
        <v>6</v>
      </c>
      <c r="F314" s="2" t="s">
        <v>6</v>
      </c>
      <c r="G314" s="24" t="s">
        <v>6</v>
      </c>
      <c r="H314" s="2"/>
      <c r="I314" s="2"/>
      <c r="J314" s="2"/>
      <c r="K314" s="2"/>
    </row>
    <row r="315" spans="1:11">
      <c r="A315" s="2"/>
      <c r="B315" s="2" t="s">
        <v>327</v>
      </c>
      <c r="C315" s="2" t="s">
        <v>6</v>
      </c>
      <c r="D315" s="2" t="s">
        <v>6</v>
      </c>
      <c r="E315" s="2" t="s">
        <v>6</v>
      </c>
      <c r="F315" s="2" t="s">
        <v>6</v>
      </c>
      <c r="G315" s="24" t="s">
        <v>6</v>
      </c>
      <c r="H315" s="2"/>
      <c r="I315" s="2"/>
      <c r="J315" s="2"/>
      <c r="K315" s="2"/>
    </row>
    <row r="316" spans="1:11">
      <c r="A316" s="2"/>
      <c r="B316" s="2" t="s">
        <v>328</v>
      </c>
      <c r="C316" s="2" t="s">
        <v>6</v>
      </c>
      <c r="D316" s="2" t="s">
        <v>6</v>
      </c>
      <c r="E316" s="2" t="s">
        <v>6</v>
      </c>
      <c r="F316" s="2" t="s">
        <v>6</v>
      </c>
      <c r="G316" s="24" t="s">
        <v>6</v>
      </c>
      <c r="H316" s="2"/>
      <c r="I316" s="2"/>
      <c r="J316" s="2"/>
      <c r="K316" s="2"/>
    </row>
    <row r="317" spans="1:11">
      <c r="A317" s="2"/>
      <c r="B317" s="2" t="s">
        <v>329</v>
      </c>
      <c r="C317" s="2" t="s">
        <v>6</v>
      </c>
      <c r="D317" s="2" t="s">
        <v>6</v>
      </c>
      <c r="E317" s="2" t="s">
        <v>6</v>
      </c>
      <c r="F317" s="2" t="s">
        <v>6</v>
      </c>
      <c r="G317" s="24" t="s">
        <v>6</v>
      </c>
      <c r="H317" s="2"/>
      <c r="I317" s="2"/>
      <c r="J317" s="2"/>
      <c r="K317" s="2"/>
    </row>
    <row r="318" spans="1:11">
      <c r="A318" s="2"/>
      <c r="B318" s="2" t="s">
        <v>330</v>
      </c>
      <c r="C318" s="2" t="s">
        <v>6</v>
      </c>
      <c r="D318" s="2" t="s">
        <v>6</v>
      </c>
      <c r="E318" s="2" t="s">
        <v>6</v>
      </c>
      <c r="F318" s="2" t="s">
        <v>6</v>
      </c>
      <c r="G318" s="24" t="s">
        <v>6</v>
      </c>
      <c r="H318" s="2"/>
      <c r="I318" s="2"/>
      <c r="J318" s="2"/>
      <c r="K318" s="2"/>
    </row>
    <row r="319" spans="1:11">
      <c r="A319" s="2"/>
      <c r="B319" s="2" t="s">
        <v>331</v>
      </c>
      <c r="C319" s="2" t="s">
        <v>6</v>
      </c>
      <c r="D319" s="2" t="s">
        <v>6</v>
      </c>
      <c r="E319" s="2" t="s">
        <v>6</v>
      </c>
      <c r="F319" s="2" t="s">
        <v>6</v>
      </c>
      <c r="G319" s="24" t="s">
        <v>6</v>
      </c>
      <c r="H319" s="2"/>
      <c r="I319" s="2"/>
      <c r="J319" s="2"/>
      <c r="K319" s="2"/>
    </row>
    <row r="320" spans="1:11">
      <c r="A320" s="2"/>
      <c r="B320" s="2" t="s">
        <v>332</v>
      </c>
      <c r="C320" s="2" t="s">
        <v>6</v>
      </c>
      <c r="D320" s="2" t="s">
        <v>6</v>
      </c>
      <c r="E320" s="2" t="s">
        <v>6</v>
      </c>
      <c r="F320" s="2" t="s">
        <v>6</v>
      </c>
      <c r="G320" s="24" t="s">
        <v>6</v>
      </c>
      <c r="H320" s="2"/>
      <c r="I320" s="2"/>
      <c r="J320" s="2"/>
      <c r="K320" s="2"/>
    </row>
    <row r="321" spans="1:11">
      <c r="A321" s="2"/>
      <c r="B321" s="2" t="s">
        <v>333</v>
      </c>
      <c r="C321" s="2" t="s">
        <v>6</v>
      </c>
      <c r="D321" s="2" t="s">
        <v>6</v>
      </c>
      <c r="E321" s="2" t="s">
        <v>6</v>
      </c>
      <c r="F321" s="2" t="s">
        <v>6</v>
      </c>
      <c r="G321" s="24" t="s">
        <v>6</v>
      </c>
      <c r="H321" s="2"/>
      <c r="I321" s="2"/>
      <c r="J321" s="2"/>
      <c r="K321" s="2"/>
    </row>
    <row r="322" spans="1:11">
      <c r="A322" s="2"/>
      <c r="B322" s="2" t="s">
        <v>334</v>
      </c>
      <c r="C322" s="2" t="s">
        <v>6</v>
      </c>
      <c r="D322" s="2" t="s">
        <v>6</v>
      </c>
      <c r="E322" s="2" t="s">
        <v>6</v>
      </c>
      <c r="F322" s="2" t="s">
        <v>6</v>
      </c>
      <c r="G322" s="24" t="s">
        <v>6</v>
      </c>
      <c r="H322" s="2"/>
      <c r="I322" s="2"/>
      <c r="J322" s="2"/>
      <c r="K322" s="2"/>
    </row>
    <row r="323" spans="1:11">
      <c r="A323" s="2"/>
      <c r="B323" s="2" t="s">
        <v>335</v>
      </c>
      <c r="C323" s="2" t="s">
        <v>6</v>
      </c>
      <c r="D323" s="2" t="s">
        <v>6</v>
      </c>
      <c r="E323" s="2" t="s">
        <v>6</v>
      </c>
      <c r="F323" s="2" t="s">
        <v>6</v>
      </c>
      <c r="G323" s="24" t="s">
        <v>6</v>
      </c>
      <c r="H323" s="2"/>
      <c r="I323" s="2"/>
      <c r="J323" s="2"/>
      <c r="K323" s="2"/>
    </row>
    <row r="324" spans="1:11">
      <c r="A324" s="2"/>
      <c r="B324" s="2" t="s">
        <v>336</v>
      </c>
      <c r="C324" s="2" t="s">
        <v>6</v>
      </c>
      <c r="D324" s="2" t="s">
        <v>6</v>
      </c>
      <c r="E324" s="2" t="s">
        <v>6</v>
      </c>
      <c r="F324" s="2" t="s">
        <v>6</v>
      </c>
      <c r="G324" s="24" t="s">
        <v>6</v>
      </c>
      <c r="H324" s="2"/>
      <c r="I324" s="2"/>
      <c r="J324" s="2"/>
      <c r="K324" s="2"/>
    </row>
    <row r="325" spans="1:11">
      <c r="A325" s="2"/>
      <c r="B325" s="2" t="s">
        <v>337</v>
      </c>
      <c r="C325" s="2" t="s">
        <v>6</v>
      </c>
      <c r="D325" s="2" t="s">
        <v>6</v>
      </c>
      <c r="E325" s="2" t="s">
        <v>6</v>
      </c>
      <c r="F325" s="2" t="s">
        <v>6</v>
      </c>
      <c r="G325" s="24" t="s">
        <v>6</v>
      </c>
      <c r="H325" s="2"/>
      <c r="I325" s="2"/>
      <c r="J325" s="2"/>
      <c r="K325" s="2"/>
    </row>
    <row r="326" spans="1:11">
      <c r="A326" s="2"/>
      <c r="B326" s="2" t="s">
        <v>338</v>
      </c>
      <c r="C326" s="2" t="s">
        <v>6</v>
      </c>
      <c r="D326" s="2" t="s">
        <v>6</v>
      </c>
      <c r="E326" s="2" t="s">
        <v>6</v>
      </c>
      <c r="F326" s="2" t="s">
        <v>6</v>
      </c>
      <c r="G326" s="24" t="s">
        <v>6</v>
      </c>
      <c r="H326" s="2"/>
      <c r="I326" s="2"/>
      <c r="J326" s="2"/>
      <c r="K326" s="2"/>
    </row>
    <row r="327" spans="1:11">
      <c r="A327" s="2"/>
      <c r="B327" s="2" t="s">
        <v>339</v>
      </c>
      <c r="C327" s="2" t="s">
        <v>6</v>
      </c>
      <c r="D327" s="2" t="s">
        <v>6</v>
      </c>
      <c r="E327" s="2" t="s">
        <v>6</v>
      </c>
      <c r="F327" s="2" t="s">
        <v>6</v>
      </c>
      <c r="G327" s="24" t="s">
        <v>6</v>
      </c>
      <c r="H327" s="2"/>
      <c r="I327" s="2"/>
      <c r="J327" s="2"/>
      <c r="K327" s="2"/>
    </row>
    <row r="328" spans="1:11">
      <c r="A328" s="2"/>
      <c r="B328" s="2" t="s">
        <v>340</v>
      </c>
      <c r="C328" s="2" t="s">
        <v>6</v>
      </c>
      <c r="D328" s="2" t="s">
        <v>6</v>
      </c>
      <c r="E328" s="2" t="s">
        <v>6</v>
      </c>
      <c r="F328" s="2" t="s">
        <v>6</v>
      </c>
      <c r="G328" s="24" t="s">
        <v>6</v>
      </c>
      <c r="H328" s="2"/>
      <c r="I328" s="2"/>
      <c r="J328" s="2"/>
      <c r="K328" s="2"/>
    </row>
    <row r="329" spans="1:11">
      <c r="A329" s="2"/>
      <c r="B329" s="2" t="s">
        <v>341</v>
      </c>
      <c r="C329" s="2" t="s">
        <v>6</v>
      </c>
      <c r="D329" s="2" t="s">
        <v>6</v>
      </c>
      <c r="E329" s="2" t="s">
        <v>6</v>
      </c>
      <c r="F329" s="2" t="s">
        <v>6</v>
      </c>
      <c r="G329" s="24" t="s">
        <v>6</v>
      </c>
      <c r="H329" s="2"/>
      <c r="I329" s="2"/>
      <c r="J329" s="2"/>
      <c r="K329" s="2"/>
    </row>
    <row r="330" spans="1:11">
      <c r="A330" s="2"/>
      <c r="B330" s="2" t="s">
        <v>342</v>
      </c>
      <c r="C330" s="2" t="s">
        <v>6</v>
      </c>
      <c r="D330" s="2" t="s">
        <v>6</v>
      </c>
      <c r="E330" s="2" t="s">
        <v>6</v>
      </c>
      <c r="F330" s="2" t="s">
        <v>6</v>
      </c>
      <c r="G330" s="24" t="s">
        <v>6</v>
      </c>
      <c r="H330" s="2"/>
      <c r="I330" s="2"/>
      <c r="J330" s="2"/>
      <c r="K330" s="2"/>
    </row>
    <row r="331" spans="1:11">
      <c r="A331" s="2"/>
      <c r="B331" s="2" t="s">
        <v>343</v>
      </c>
      <c r="C331" s="2" t="s">
        <v>6</v>
      </c>
      <c r="D331" s="2" t="s">
        <v>6</v>
      </c>
      <c r="E331" s="2" t="s">
        <v>6</v>
      </c>
      <c r="F331" s="2" t="s">
        <v>6</v>
      </c>
      <c r="G331" s="24" t="s">
        <v>6</v>
      </c>
      <c r="H331" s="2"/>
      <c r="I331" s="2"/>
      <c r="J331" s="2"/>
      <c r="K331" s="2"/>
    </row>
    <row r="332" spans="1:11">
      <c r="A332" s="2"/>
      <c r="B332" s="2" t="s">
        <v>344</v>
      </c>
      <c r="C332" s="2" t="s">
        <v>6</v>
      </c>
      <c r="D332" s="2" t="s">
        <v>6</v>
      </c>
      <c r="E332" s="2" t="s">
        <v>6</v>
      </c>
      <c r="F332" s="2" t="s">
        <v>6</v>
      </c>
      <c r="G332" s="24" t="s">
        <v>6</v>
      </c>
      <c r="H332" s="2"/>
      <c r="I332" s="2"/>
      <c r="J332" s="2"/>
      <c r="K332" s="2"/>
    </row>
    <row r="333" spans="1:11">
      <c r="A333" s="2"/>
      <c r="B333" s="2" t="s">
        <v>345</v>
      </c>
      <c r="C333" s="2" t="s">
        <v>6</v>
      </c>
      <c r="D333" s="2" t="s">
        <v>6</v>
      </c>
      <c r="E333" s="2" t="s">
        <v>6</v>
      </c>
      <c r="F333" s="2" t="s">
        <v>6</v>
      </c>
      <c r="G333" s="24" t="s">
        <v>6</v>
      </c>
      <c r="H333" s="2"/>
      <c r="I333" s="2"/>
      <c r="J333" s="2"/>
      <c r="K333" s="2"/>
    </row>
    <row r="334" spans="1:11">
      <c r="A334" s="2"/>
      <c r="B334" s="2" t="s">
        <v>346</v>
      </c>
      <c r="C334" s="2" t="s">
        <v>6</v>
      </c>
      <c r="D334" s="2" t="s">
        <v>6</v>
      </c>
      <c r="E334" s="2" t="s">
        <v>6</v>
      </c>
      <c r="F334" s="2" t="s">
        <v>6</v>
      </c>
      <c r="G334" s="24" t="s">
        <v>6</v>
      </c>
      <c r="H334" s="2"/>
      <c r="I334" s="2"/>
      <c r="J334" s="2"/>
      <c r="K334" s="2"/>
    </row>
    <row r="335" spans="1:11">
      <c r="A335" s="2"/>
      <c r="B335" s="2" t="s">
        <v>347</v>
      </c>
      <c r="C335" s="2" t="s">
        <v>6</v>
      </c>
      <c r="D335" s="2" t="s">
        <v>6</v>
      </c>
      <c r="E335" s="2" t="s">
        <v>6</v>
      </c>
      <c r="F335" s="2" t="s">
        <v>6</v>
      </c>
      <c r="G335" s="24" t="s">
        <v>6</v>
      </c>
      <c r="H335" s="2"/>
      <c r="I335" s="2"/>
      <c r="J335" s="2"/>
      <c r="K335" s="2"/>
    </row>
    <row r="336" spans="1:11">
      <c r="A336" s="2"/>
      <c r="B336" s="2" t="s">
        <v>348</v>
      </c>
      <c r="C336" s="2" t="s">
        <v>6</v>
      </c>
      <c r="D336" s="2" t="s">
        <v>6</v>
      </c>
      <c r="E336" s="2" t="s">
        <v>6</v>
      </c>
      <c r="F336" s="2" t="s">
        <v>6</v>
      </c>
      <c r="G336" s="24" t="s">
        <v>6</v>
      </c>
      <c r="H336" s="2"/>
      <c r="I336" s="2"/>
      <c r="J336" s="2"/>
      <c r="K336" s="2"/>
    </row>
    <row r="337" spans="1:11">
      <c r="A337" s="2"/>
      <c r="B337" s="2" t="s">
        <v>349</v>
      </c>
      <c r="C337" s="2" t="s">
        <v>6</v>
      </c>
      <c r="D337" s="2" t="s">
        <v>6</v>
      </c>
      <c r="E337" s="2" t="s">
        <v>6</v>
      </c>
      <c r="F337" s="2" t="s">
        <v>6</v>
      </c>
      <c r="G337" s="24" t="s">
        <v>6</v>
      </c>
      <c r="H337" s="2"/>
      <c r="I337" s="2"/>
      <c r="J337" s="2"/>
      <c r="K337" s="2"/>
    </row>
    <row r="338" spans="1:11">
      <c r="A338" s="2"/>
      <c r="B338" s="2" t="s">
        <v>350</v>
      </c>
      <c r="C338" s="2" t="s">
        <v>6</v>
      </c>
      <c r="D338" s="2" t="s">
        <v>6</v>
      </c>
      <c r="E338" s="2" t="s">
        <v>6</v>
      </c>
      <c r="F338" s="2" t="s">
        <v>6</v>
      </c>
      <c r="G338" s="24" t="s">
        <v>6</v>
      </c>
      <c r="H338" s="2"/>
      <c r="I338" s="2"/>
      <c r="J338" s="2"/>
      <c r="K338" s="2"/>
    </row>
    <row r="339" spans="1:11">
      <c r="A339" s="2"/>
      <c r="B339" s="2" t="s">
        <v>351</v>
      </c>
      <c r="C339" s="2" t="s">
        <v>6</v>
      </c>
      <c r="D339" s="2" t="s">
        <v>6</v>
      </c>
      <c r="E339" s="2" t="s">
        <v>6</v>
      </c>
      <c r="F339" s="2" t="s">
        <v>6</v>
      </c>
      <c r="G339" s="24" t="s">
        <v>6</v>
      </c>
      <c r="H339" s="2"/>
      <c r="I339" s="2"/>
      <c r="J339" s="2"/>
      <c r="K339" s="2"/>
    </row>
    <row r="340" spans="1:11">
      <c r="A340" s="2"/>
      <c r="B340" s="2" t="s">
        <v>352</v>
      </c>
      <c r="C340" s="2" t="s">
        <v>6</v>
      </c>
      <c r="D340" s="2" t="s">
        <v>6</v>
      </c>
      <c r="E340" s="2" t="s">
        <v>6</v>
      </c>
      <c r="F340" s="2" t="s">
        <v>6</v>
      </c>
      <c r="G340" s="24" t="s">
        <v>6</v>
      </c>
      <c r="H340" s="2"/>
      <c r="I340" s="2"/>
      <c r="J340" s="2"/>
      <c r="K340" s="2"/>
    </row>
    <row r="341" spans="1:11">
      <c r="A341" s="2"/>
      <c r="B341" s="2" t="s">
        <v>353</v>
      </c>
      <c r="C341" s="2" t="s">
        <v>6</v>
      </c>
      <c r="D341" s="2" t="s">
        <v>6</v>
      </c>
      <c r="E341" s="2" t="s">
        <v>6</v>
      </c>
      <c r="F341" s="2" t="s">
        <v>6</v>
      </c>
      <c r="G341" s="24" t="s">
        <v>6</v>
      </c>
      <c r="H341" s="2"/>
      <c r="I341" s="2"/>
      <c r="J341" s="2"/>
      <c r="K341" s="2"/>
    </row>
    <row r="342" spans="1:11">
      <c r="A342" s="2"/>
      <c r="B342" s="2" t="s">
        <v>354</v>
      </c>
      <c r="C342" s="2" t="s">
        <v>6</v>
      </c>
      <c r="D342" s="2" t="s">
        <v>6</v>
      </c>
      <c r="E342" s="2" t="s">
        <v>6</v>
      </c>
      <c r="F342" s="2" t="s">
        <v>6</v>
      </c>
      <c r="G342" s="24" t="s">
        <v>6</v>
      </c>
      <c r="H342" s="2"/>
      <c r="I342" s="2"/>
      <c r="J342" s="2"/>
      <c r="K342" s="2"/>
    </row>
    <row r="343" spans="1:11">
      <c r="A343" s="2"/>
      <c r="B343" s="2" t="s">
        <v>355</v>
      </c>
      <c r="C343" s="2" t="s">
        <v>6</v>
      </c>
      <c r="D343" s="2" t="s">
        <v>6</v>
      </c>
      <c r="E343" s="2" t="s">
        <v>6</v>
      </c>
      <c r="F343" s="2" t="s">
        <v>6</v>
      </c>
      <c r="G343" s="24" t="s">
        <v>6</v>
      </c>
      <c r="H343" s="2"/>
      <c r="I343" s="2"/>
      <c r="J343" s="2"/>
      <c r="K343" s="2"/>
    </row>
    <row r="344" spans="1:11">
      <c r="A344" s="2"/>
      <c r="B344" s="2" t="s">
        <v>356</v>
      </c>
      <c r="C344" s="2" t="s">
        <v>6</v>
      </c>
      <c r="D344" s="2" t="s">
        <v>6</v>
      </c>
      <c r="E344" s="2" t="s">
        <v>6</v>
      </c>
      <c r="F344" s="2" t="s">
        <v>6</v>
      </c>
      <c r="G344" s="24" t="s">
        <v>6</v>
      </c>
      <c r="H344" s="2"/>
      <c r="I344" s="2"/>
      <c r="J344" s="2"/>
      <c r="K344" s="2"/>
    </row>
    <row r="345" spans="1:11">
      <c r="A345" s="2"/>
      <c r="B345" s="2" t="s">
        <v>357</v>
      </c>
      <c r="C345" s="2" t="s">
        <v>6</v>
      </c>
      <c r="D345" s="2" t="s">
        <v>6</v>
      </c>
      <c r="E345" s="2" t="s">
        <v>6</v>
      </c>
      <c r="F345" s="2" t="s">
        <v>6</v>
      </c>
      <c r="G345" s="24" t="s">
        <v>6</v>
      </c>
      <c r="H345" s="2"/>
      <c r="I345" s="2"/>
      <c r="J345" s="2"/>
      <c r="K345" s="2"/>
    </row>
    <row r="346" spans="1:11">
      <c r="A346" s="2"/>
      <c r="B346" s="2" t="s">
        <v>358</v>
      </c>
      <c r="C346" s="2" t="s">
        <v>6</v>
      </c>
      <c r="D346" s="2" t="s">
        <v>6</v>
      </c>
      <c r="E346" s="2" t="s">
        <v>6</v>
      </c>
      <c r="F346" s="2" t="s">
        <v>6</v>
      </c>
      <c r="G346" s="24" t="s">
        <v>6</v>
      </c>
      <c r="H346" s="2"/>
      <c r="I346" s="2"/>
      <c r="J346" s="2"/>
      <c r="K346" s="2"/>
    </row>
    <row r="347" spans="1:11">
      <c r="A347" s="2"/>
      <c r="B347" s="2" t="s">
        <v>359</v>
      </c>
      <c r="C347" s="2" t="s">
        <v>6</v>
      </c>
      <c r="D347" s="2" t="s">
        <v>6</v>
      </c>
      <c r="E347" s="2" t="s">
        <v>6</v>
      </c>
      <c r="F347" s="2" t="s">
        <v>6</v>
      </c>
      <c r="G347" s="24" t="s">
        <v>6</v>
      </c>
      <c r="H347" s="2"/>
      <c r="I347" s="2"/>
      <c r="J347" s="2"/>
      <c r="K347" s="2"/>
    </row>
    <row r="348" spans="1:11">
      <c r="A348" s="2"/>
      <c r="B348" s="2" t="s">
        <v>360</v>
      </c>
      <c r="C348" s="2" t="s">
        <v>6</v>
      </c>
      <c r="D348" s="2" t="s">
        <v>6</v>
      </c>
      <c r="E348" s="2" t="s">
        <v>6</v>
      </c>
      <c r="F348" s="2" t="s">
        <v>6</v>
      </c>
      <c r="G348" s="24" t="s">
        <v>6</v>
      </c>
      <c r="H348" s="2"/>
      <c r="I348" s="2"/>
      <c r="J348" s="2"/>
      <c r="K348" s="2"/>
    </row>
    <row r="349" spans="1:11">
      <c r="A349" s="2"/>
      <c r="B349" s="2" t="s">
        <v>361</v>
      </c>
      <c r="C349" s="2" t="s">
        <v>6</v>
      </c>
      <c r="D349" s="2" t="s">
        <v>6</v>
      </c>
      <c r="E349" s="2" t="s">
        <v>6</v>
      </c>
      <c r="F349" s="2" t="s">
        <v>6</v>
      </c>
      <c r="G349" s="24" t="s">
        <v>6</v>
      </c>
      <c r="H349" s="2"/>
      <c r="I349" s="2"/>
      <c r="J349" s="2"/>
      <c r="K349" s="2"/>
    </row>
    <row r="350" spans="1:11">
      <c r="A350" s="2"/>
      <c r="B350" s="2" t="s">
        <v>362</v>
      </c>
      <c r="C350" s="2" t="s">
        <v>6</v>
      </c>
      <c r="D350" s="2" t="s">
        <v>6</v>
      </c>
      <c r="E350" s="2" t="s">
        <v>6</v>
      </c>
      <c r="F350" s="2" t="s">
        <v>6</v>
      </c>
      <c r="G350" s="24" t="s">
        <v>6</v>
      </c>
      <c r="H350" s="2"/>
      <c r="I350" s="2"/>
      <c r="J350" s="2"/>
      <c r="K350" s="2"/>
    </row>
    <row r="351" spans="1:11">
      <c r="A351" s="2"/>
      <c r="B351" s="2" t="s">
        <v>363</v>
      </c>
      <c r="C351" s="2" t="s">
        <v>6</v>
      </c>
      <c r="D351" s="2" t="s">
        <v>6</v>
      </c>
      <c r="E351" s="2" t="s">
        <v>6</v>
      </c>
      <c r="F351" s="2" t="s">
        <v>6</v>
      </c>
      <c r="G351" s="24" t="s">
        <v>6</v>
      </c>
      <c r="H351" s="2"/>
      <c r="I351" s="2"/>
      <c r="J351" s="2"/>
      <c r="K351" s="2"/>
    </row>
    <row r="352" spans="1:11">
      <c r="A352" s="2"/>
      <c r="B352" s="2" t="s">
        <v>364</v>
      </c>
      <c r="C352" s="2" t="s">
        <v>6</v>
      </c>
      <c r="D352" s="2" t="s">
        <v>6</v>
      </c>
      <c r="E352" s="2" t="s">
        <v>6</v>
      </c>
      <c r="F352" s="2" t="s">
        <v>6</v>
      </c>
      <c r="G352" s="24" t="s">
        <v>6</v>
      </c>
      <c r="H352" s="2"/>
      <c r="I352" s="2"/>
      <c r="J352" s="2"/>
      <c r="K352" s="2"/>
    </row>
    <row r="353" spans="1:11">
      <c r="A353" s="2"/>
      <c r="B353" s="2" t="s">
        <v>365</v>
      </c>
      <c r="C353" s="2" t="s">
        <v>6</v>
      </c>
      <c r="D353" s="2" t="s">
        <v>6</v>
      </c>
      <c r="E353" s="2" t="s">
        <v>6</v>
      </c>
      <c r="F353" s="2" t="s">
        <v>6</v>
      </c>
      <c r="G353" s="24" t="s">
        <v>6</v>
      </c>
      <c r="H353" s="2"/>
      <c r="I353" s="2"/>
      <c r="J353" s="2"/>
      <c r="K353" s="2"/>
    </row>
    <row r="354" spans="1:11">
      <c r="A354" s="2"/>
      <c r="B354" s="2" t="s">
        <v>366</v>
      </c>
      <c r="C354" s="2" t="s">
        <v>6</v>
      </c>
      <c r="D354" s="2" t="s">
        <v>6</v>
      </c>
      <c r="E354" s="2" t="s">
        <v>6</v>
      </c>
      <c r="F354" s="2" t="s">
        <v>6</v>
      </c>
      <c r="G354" s="24" t="s">
        <v>6</v>
      </c>
      <c r="H354" s="2"/>
      <c r="I354" s="2"/>
      <c r="J354" s="2"/>
      <c r="K354" s="2"/>
    </row>
    <row r="355" spans="1:11">
      <c r="A355" s="2"/>
      <c r="B355" s="2" t="s">
        <v>367</v>
      </c>
      <c r="C355" s="2" t="s">
        <v>6</v>
      </c>
      <c r="D355" s="2" t="s">
        <v>6</v>
      </c>
      <c r="E355" s="2" t="s">
        <v>6</v>
      </c>
      <c r="F355" s="2" t="s">
        <v>6</v>
      </c>
      <c r="G355" s="24" t="s">
        <v>6</v>
      </c>
      <c r="H355" s="2"/>
      <c r="I355" s="2"/>
      <c r="J355" s="2"/>
      <c r="K355" s="2"/>
    </row>
    <row r="356" spans="1:11">
      <c r="A356" s="2"/>
      <c r="B356" s="2" t="s">
        <v>368</v>
      </c>
      <c r="C356" s="2" t="s">
        <v>6</v>
      </c>
      <c r="D356" s="2" t="s">
        <v>6</v>
      </c>
      <c r="E356" s="2" t="s">
        <v>6</v>
      </c>
      <c r="F356" s="2" t="s">
        <v>6</v>
      </c>
      <c r="G356" s="24" t="s">
        <v>6</v>
      </c>
      <c r="H356" s="2"/>
      <c r="I356" s="2"/>
      <c r="J356" s="2"/>
      <c r="K356" s="2"/>
    </row>
    <row r="357" spans="1:11">
      <c r="A357" s="2"/>
      <c r="B357" s="2" t="s">
        <v>369</v>
      </c>
      <c r="C357" s="2" t="s">
        <v>6</v>
      </c>
      <c r="D357" s="2" t="s">
        <v>6</v>
      </c>
      <c r="E357" s="2" t="s">
        <v>6</v>
      </c>
      <c r="F357" s="2" t="s">
        <v>6</v>
      </c>
      <c r="G357" s="24" t="s">
        <v>6</v>
      </c>
      <c r="H357" s="2"/>
      <c r="I357" s="2"/>
      <c r="J357" s="2"/>
      <c r="K357" s="2"/>
    </row>
    <row r="358" spans="1:11">
      <c r="A358" s="2"/>
      <c r="B358" s="2" t="s">
        <v>370</v>
      </c>
      <c r="C358" s="2" t="s">
        <v>6</v>
      </c>
      <c r="D358" s="2" t="s">
        <v>6</v>
      </c>
      <c r="E358" s="2" t="s">
        <v>6</v>
      </c>
      <c r="F358" s="2" t="s">
        <v>6</v>
      </c>
      <c r="G358" s="24" t="s">
        <v>6</v>
      </c>
      <c r="H358" s="2"/>
      <c r="I358" s="2"/>
      <c r="J358" s="2"/>
      <c r="K358" s="2"/>
    </row>
    <row r="359" spans="1:11">
      <c r="A359" s="2"/>
      <c r="B359" s="2" t="s">
        <v>371</v>
      </c>
      <c r="C359" s="2" t="s">
        <v>6</v>
      </c>
      <c r="D359" s="2" t="s">
        <v>6</v>
      </c>
      <c r="E359" s="2" t="s">
        <v>6</v>
      </c>
      <c r="F359" s="2" t="s">
        <v>6</v>
      </c>
      <c r="G359" s="24" t="s">
        <v>6</v>
      </c>
      <c r="H359" s="2"/>
      <c r="I359" s="2"/>
      <c r="J359" s="2"/>
      <c r="K359" s="2"/>
    </row>
    <row r="360" spans="1:11">
      <c r="A360" s="2"/>
      <c r="B360" s="2" t="s">
        <v>372</v>
      </c>
      <c r="C360" s="2" t="s">
        <v>6</v>
      </c>
      <c r="D360" s="2" t="s">
        <v>6</v>
      </c>
      <c r="E360" s="2" t="s">
        <v>6</v>
      </c>
      <c r="F360" s="2" t="s">
        <v>6</v>
      </c>
      <c r="G360" s="24" t="s">
        <v>6</v>
      </c>
      <c r="H360" s="2"/>
      <c r="I360" s="2"/>
      <c r="J360" s="2"/>
      <c r="K360" s="2"/>
    </row>
    <row r="361" spans="1:11">
      <c r="A361" s="2"/>
      <c r="B361" s="2" t="s">
        <v>373</v>
      </c>
      <c r="C361" s="2" t="s">
        <v>6</v>
      </c>
      <c r="D361" s="2" t="s">
        <v>6</v>
      </c>
      <c r="E361" s="2" t="s">
        <v>6</v>
      </c>
      <c r="F361" s="2" t="s">
        <v>6</v>
      </c>
      <c r="G361" s="24" t="s">
        <v>6</v>
      </c>
      <c r="H361" s="2"/>
      <c r="I361" s="2"/>
      <c r="J361" s="2"/>
      <c r="K361" s="2"/>
    </row>
    <row r="362" spans="1:11">
      <c r="A362" s="2"/>
      <c r="B362" s="2" t="s">
        <v>374</v>
      </c>
      <c r="C362" s="2" t="s">
        <v>6</v>
      </c>
      <c r="D362" s="2" t="s">
        <v>6</v>
      </c>
      <c r="E362" s="2" t="s">
        <v>6</v>
      </c>
      <c r="F362" s="2" t="s">
        <v>6</v>
      </c>
      <c r="G362" s="24" t="s">
        <v>6</v>
      </c>
      <c r="H362" s="2"/>
      <c r="I362" s="2"/>
      <c r="J362" s="2"/>
      <c r="K362" s="2"/>
    </row>
    <row r="363" spans="1:11">
      <c r="A363" s="2"/>
      <c r="B363" s="2" t="s">
        <v>375</v>
      </c>
      <c r="C363" s="2" t="s">
        <v>6</v>
      </c>
      <c r="D363" s="2" t="s">
        <v>6</v>
      </c>
      <c r="E363" s="2" t="s">
        <v>6</v>
      </c>
      <c r="F363" s="2" t="s">
        <v>6</v>
      </c>
      <c r="G363" s="24" t="s">
        <v>6</v>
      </c>
      <c r="H363" s="2"/>
      <c r="I363" s="2"/>
      <c r="J363" s="2"/>
      <c r="K363" s="2"/>
    </row>
    <row r="364" spans="1:11">
      <c r="A364" s="2"/>
      <c r="B364" s="2" t="s">
        <v>376</v>
      </c>
      <c r="C364" s="2" t="s">
        <v>6</v>
      </c>
      <c r="D364" s="2" t="s">
        <v>6</v>
      </c>
      <c r="E364" s="2" t="s">
        <v>6</v>
      </c>
      <c r="F364" s="2" t="s">
        <v>6</v>
      </c>
      <c r="G364" s="24" t="s">
        <v>6</v>
      </c>
      <c r="H364" s="2"/>
      <c r="I364" s="2"/>
      <c r="J364" s="2"/>
      <c r="K364" s="2"/>
    </row>
    <row r="365" spans="1:11">
      <c r="A365" s="2"/>
      <c r="B365" s="2" t="s">
        <v>377</v>
      </c>
      <c r="C365" s="2" t="s">
        <v>6</v>
      </c>
      <c r="D365" s="2" t="s">
        <v>6</v>
      </c>
      <c r="E365" s="2" t="s">
        <v>6</v>
      </c>
      <c r="F365" s="2" t="s">
        <v>6</v>
      </c>
      <c r="G365" s="24" t="s">
        <v>6</v>
      </c>
      <c r="H365" s="2"/>
      <c r="I365" s="2"/>
      <c r="J365" s="2"/>
      <c r="K365" s="2"/>
    </row>
    <row r="366" spans="1:11">
      <c r="A366" s="2"/>
      <c r="B366" s="2" t="s">
        <v>378</v>
      </c>
      <c r="C366" s="2" t="s">
        <v>6</v>
      </c>
      <c r="D366" s="2" t="s">
        <v>6</v>
      </c>
      <c r="E366" s="2" t="s">
        <v>6</v>
      </c>
      <c r="F366" s="2" t="s">
        <v>6</v>
      </c>
      <c r="G366" s="24" t="s">
        <v>6</v>
      </c>
      <c r="H366" s="2"/>
      <c r="I366" s="2"/>
      <c r="J366" s="2"/>
      <c r="K366" s="2"/>
    </row>
    <row r="367" spans="1:11">
      <c r="A367" s="2"/>
      <c r="B367" s="2" t="s">
        <v>379</v>
      </c>
      <c r="C367" s="2" t="s">
        <v>6</v>
      </c>
      <c r="D367" s="2" t="s">
        <v>6</v>
      </c>
      <c r="E367" s="2" t="s">
        <v>6</v>
      </c>
      <c r="F367" s="2" t="s">
        <v>6</v>
      </c>
      <c r="G367" s="24" t="s">
        <v>6</v>
      </c>
      <c r="H367" s="2"/>
      <c r="I367" s="2"/>
      <c r="J367" s="2"/>
      <c r="K367" s="2"/>
    </row>
    <row r="368" spans="1:11">
      <c r="A368" s="2"/>
      <c r="B368" s="2" t="s">
        <v>380</v>
      </c>
      <c r="C368" s="2" t="s">
        <v>6</v>
      </c>
      <c r="D368" s="2" t="s">
        <v>6</v>
      </c>
      <c r="E368" s="2" t="s">
        <v>6</v>
      </c>
      <c r="F368" s="2" t="s">
        <v>6</v>
      </c>
      <c r="G368" s="24" t="s">
        <v>6</v>
      </c>
      <c r="H368" s="2"/>
      <c r="I368" s="2"/>
      <c r="J368" s="2"/>
      <c r="K368" s="2"/>
    </row>
    <row r="369" spans="1:11">
      <c r="A369" s="2"/>
      <c r="B369" s="2" t="s">
        <v>381</v>
      </c>
      <c r="C369" s="2" t="s">
        <v>6</v>
      </c>
      <c r="D369" s="2" t="s">
        <v>6</v>
      </c>
      <c r="E369" s="2" t="s">
        <v>6</v>
      </c>
      <c r="F369" s="2" t="s">
        <v>6</v>
      </c>
      <c r="G369" s="24" t="s">
        <v>6</v>
      </c>
      <c r="H369" s="2"/>
      <c r="I369" s="2"/>
      <c r="J369" s="2"/>
      <c r="K369" s="2"/>
    </row>
    <row r="370" spans="1:11">
      <c r="A370" s="2"/>
      <c r="B370" s="2" t="s">
        <v>382</v>
      </c>
      <c r="C370" s="2" t="s">
        <v>6</v>
      </c>
      <c r="D370" s="2" t="s">
        <v>6</v>
      </c>
      <c r="E370" s="2" t="s">
        <v>6</v>
      </c>
      <c r="F370" s="2" t="s">
        <v>6</v>
      </c>
      <c r="G370" s="24" t="s">
        <v>6</v>
      </c>
      <c r="H370" s="2"/>
      <c r="I370" s="2"/>
      <c r="J370" s="2"/>
      <c r="K370" s="2"/>
    </row>
    <row r="371" spans="1:11">
      <c r="A371" s="2"/>
      <c r="B371" s="2" t="s">
        <v>383</v>
      </c>
      <c r="C371" s="2" t="s">
        <v>6</v>
      </c>
      <c r="D371" s="2" t="s">
        <v>6</v>
      </c>
      <c r="E371" s="2" t="s">
        <v>6</v>
      </c>
      <c r="F371" s="2" t="s">
        <v>6</v>
      </c>
      <c r="G371" s="24" t="s">
        <v>6</v>
      </c>
      <c r="H371" s="2"/>
      <c r="I371" s="2"/>
      <c r="J371" s="2"/>
      <c r="K371" s="2"/>
    </row>
    <row r="372" spans="1:11">
      <c r="A372" s="2"/>
      <c r="B372" s="2" t="s">
        <v>384</v>
      </c>
      <c r="C372" s="2" t="s">
        <v>6</v>
      </c>
      <c r="D372" s="2" t="s">
        <v>6</v>
      </c>
      <c r="E372" s="2" t="s">
        <v>6</v>
      </c>
      <c r="F372" s="2" t="s">
        <v>6</v>
      </c>
      <c r="G372" s="24" t="s">
        <v>6</v>
      </c>
      <c r="H372" s="2"/>
      <c r="I372" s="2"/>
      <c r="J372" s="2"/>
      <c r="K372" s="2"/>
    </row>
    <row r="373" spans="1:11">
      <c r="A373" s="2"/>
      <c r="B373" s="2" t="s">
        <v>385</v>
      </c>
      <c r="C373" s="2" t="s">
        <v>6</v>
      </c>
      <c r="D373" s="2" t="s">
        <v>6</v>
      </c>
      <c r="E373" s="2" t="s">
        <v>6</v>
      </c>
      <c r="F373" s="2" t="s">
        <v>6</v>
      </c>
      <c r="G373" s="24" t="s">
        <v>6</v>
      </c>
      <c r="H373" s="2"/>
      <c r="I373" s="2"/>
      <c r="J373" s="2"/>
      <c r="K373" s="2"/>
    </row>
    <row r="374" spans="1:11">
      <c r="A374" s="2"/>
      <c r="B374" s="2" t="s">
        <v>386</v>
      </c>
      <c r="C374" s="2" t="s">
        <v>6</v>
      </c>
      <c r="D374" s="2" t="s">
        <v>6</v>
      </c>
      <c r="E374" s="2" t="s">
        <v>6</v>
      </c>
      <c r="F374" s="2" t="s">
        <v>6</v>
      </c>
      <c r="G374" s="24" t="s">
        <v>6</v>
      </c>
      <c r="H374" s="2"/>
      <c r="I374" s="2"/>
      <c r="J374" s="2"/>
      <c r="K374" s="2"/>
    </row>
    <row r="375" spans="1:11">
      <c r="A375" s="2"/>
      <c r="B375" s="2" t="s">
        <v>387</v>
      </c>
      <c r="C375" s="2" t="s">
        <v>6</v>
      </c>
      <c r="D375" s="2" t="s">
        <v>6</v>
      </c>
      <c r="E375" s="2" t="s">
        <v>6</v>
      </c>
      <c r="F375" s="2" t="s">
        <v>6</v>
      </c>
      <c r="G375" s="24" t="s">
        <v>6</v>
      </c>
      <c r="H375" s="2"/>
      <c r="I375" s="2"/>
      <c r="J375" s="2"/>
      <c r="K375" s="2"/>
    </row>
    <row r="376" spans="1:11">
      <c r="A376" s="2"/>
      <c r="B376" s="2" t="s">
        <v>388</v>
      </c>
      <c r="C376" s="2" t="s">
        <v>6</v>
      </c>
      <c r="D376" s="2" t="s">
        <v>6</v>
      </c>
      <c r="E376" s="2" t="s">
        <v>6</v>
      </c>
      <c r="F376" s="2" t="s">
        <v>6</v>
      </c>
      <c r="G376" s="24" t="s">
        <v>6</v>
      </c>
      <c r="H376" s="2"/>
      <c r="I376" s="2"/>
      <c r="J376" s="2"/>
      <c r="K376" s="2"/>
    </row>
    <row r="377" spans="1:11">
      <c r="A377" s="2"/>
      <c r="B377" s="2" t="s">
        <v>389</v>
      </c>
      <c r="C377" s="2" t="s">
        <v>6</v>
      </c>
      <c r="D377" s="2" t="s">
        <v>6</v>
      </c>
      <c r="E377" s="2" t="s">
        <v>6</v>
      </c>
      <c r="F377" s="2" t="s">
        <v>6</v>
      </c>
      <c r="G377" s="24" t="s">
        <v>6</v>
      </c>
      <c r="H377" s="2"/>
      <c r="I377" s="2"/>
      <c r="J377" s="2"/>
      <c r="K377" s="2"/>
    </row>
    <row r="378" spans="1:11">
      <c r="A378" s="2"/>
      <c r="B378" s="2" t="s">
        <v>390</v>
      </c>
      <c r="C378" s="2" t="s">
        <v>6</v>
      </c>
      <c r="D378" s="2" t="s">
        <v>6</v>
      </c>
      <c r="E378" s="2" t="s">
        <v>6</v>
      </c>
      <c r="F378" s="2" t="s">
        <v>6</v>
      </c>
      <c r="G378" s="24" t="s">
        <v>6</v>
      </c>
      <c r="H378" s="2"/>
      <c r="I378" s="2"/>
      <c r="J378" s="2"/>
      <c r="K378" s="2"/>
    </row>
    <row r="379" spans="1:11">
      <c r="A379" s="2"/>
      <c r="B379" s="2" t="s">
        <v>391</v>
      </c>
      <c r="C379" s="2" t="s">
        <v>6</v>
      </c>
      <c r="D379" s="2" t="s">
        <v>6</v>
      </c>
      <c r="E379" s="2" t="s">
        <v>6</v>
      </c>
      <c r="F379" s="2" t="s">
        <v>6</v>
      </c>
      <c r="G379" s="24" t="s">
        <v>6</v>
      </c>
      <c r="H379" s="2"/>
      <c r="I379" s="2"/>
      <c r="J379" s="2"/>
      <c r="K379" s="2"/>
    </row>
    <row r="380" spans="1:11">
      <c r="A380" s="2"/>
      <c r="B380" s="2" t="s">
        <v>392</v>
      </c>
      <c r="C380" s="2" t="s">
        <v>6</v>
      </c>
      <c r="D380" s="2" t="s">
        <v>6</v>
      </c>
      <c r="E380" s="2" t="s">
        <v>6</v>
      </c>
      <c r="F380" s="2" t="s">
        <v>6</v>
      </c>
      <c r="G380" s="24" t="s">
        <v>6</v>
      </c>
      <c r="H380" s="2"/>
      <c r="I380" s="2"/>
      <c r="J380" s="2"/>
      <c r="K380" s="2"/>
    </row>
    <row r="381" spans="1:11">
      <c r="A381" s="2"/>
      <c r="B381" s="2" t="s">
        <v>393</v>
      </c>
      <c r="C381" s="2" t="s">
        <v>6</v>
      </c>
      <c r="D381" s="2" t="s">
        <v>6</v>
      </c>
      <c r="E381" s="2" t="s">
        <v>6</v>
      </c>
      <c r="F381" s="2" t="s">
        <v>6</v>
      </c>
      <c r="G381" s="24" t="s">
        <v>6</v>
      </c>
      <c r="H381" s="2"/>
      <c r="I381" s="2"/>
      <c r="J381" s="2"/>
      <c r="K381" s="2"/>
    </row>
    <row r="382" spans="1:11">
      <c r="A382" s="2"/>
      <c r="B382" s="2" t="s">
        <v>394</v>
      </c>
      <c r="C382" s="2" t="s">
        <v>6</v>
      </c>
      <c r="D382" s="2" t="s">
        <v>6</v>
      </c>
      <c r="E382" s="2" t="s">
        <v>6</v>
      </c>
      <c r="F382" s="2" t="s">
        <v>6</v>
      </c>
      <c r="G382" s="24" t="s">
        <v>6</v>
      </c>
      <c r="H382" s="2"/>
      <c r="I382" s="2"/>
      <c r="J382" s="2"/>
      <c r="K382" s="2"/>
    </row>
    <row r="383" spans="1:11">
      <c r="A383" s="2"/>
      <c r="B383" s="2" t="s">
        <v>395</v>
      </c>
      <c r="C383" s="2" t="s">
        <v>6</v>
      </c>
      <c r="D383" s="2" t="s">
        <v>6</v>
      </c>
      <c r="E383" s="2" t="s">
        <v>6</v>
      </c>
      <c r="F383" s="2" t="s">
        <v>6</v>
      </c>
      <c r="G383" s="24" t="s">
        <v>6</v>
      </c>
      <c r="H383" s="2"/>
      <c r="I383" s="2"/>
      <c r="J383" s="2"/>
      <c r="K383" s="2"/>
    </row>
    <row r="384" spans="1:11">
      <c r="A384" s="2"/>
      <c r="B384" s="2" t="s">
        <v>396</v>
      </c>
      <c r="C384" s="2" t="s">
        <v>6</v>
      </c>
      <c r="D384" s="2" t="s">
        <v>6</v>
      </c>
      <c r="E384" s="2" t="s">
        <v>6</v>
      </c>
      <c r="F384" s="2" t="s">
        <v>6</v>
      </c>
      <c r="G384" s="24" t="s">
        <v>6</v>
      </c>
      <c r="H384" s="2"/>
      <c r="I384" s="2"/>
      <c r="J384" s="2"/>
      <c r="K384" s="2"/>
    </row>
    <row r="385" spans="1:11">
      <c r="A385" s="2"/>
      <c r="B385" s="2" t="s">
        <v>397</v>
      </c>
      <c r="C385" s="2" t="s">
        <v>6</v>
      </c>
      <c r="D385" s="2" t="s">
        <v>6</v>
      </c>
      <c r="E385" s="2" t="s">
        <v>6</v>
      </c>
      <c r="F385" s="2" t="s">
        <v>6</v>
      </c>
      <c r="G385" s="24" t="s">
        <v>6</v>
      </c>
      <c r="H385" s="2"/>
      <c r="I385" s="2"/>
      <c r="J385" s="2"/>
      <c r="K385" s="2"/>
    </row>
    <row r="386" spans="1:11">
      <c r="A386" s="2"/>
      <c r="B386" s="2" t="s">
        <v>398</v>
      </c>
      <c r="C386" s="2" t="s">
        <v>6</v>
      </c>
      <c r="D386" s="2" t="s">
        <v>6</v>
      </c>
      <c r="E386" s="2" t="s">
        <v>6</v>
      </c>
      <c r="F386" s="2" t="s">
        <v>6</v>
      </c>
      <c r="G386" s="24" t="s">
        <v>6</v>
      </c>
      <c r="H386" s="2"/>
      <c r="I386" s="2"/>
      <c r="J386" s="2"/>
      <c r="K386" s="2"/>
    </row>
    <row r="387" spans="1:11">
      <c r="A387" s="2"/>
      <c r="B387" s="2" t="s">
        <v>399</v>
      </c>
      <c r="C387" s="2" t="s">
        <v>6</v>
      </c>
      <c r="D387" s="2" t="s">
        <v>6</v>
      </c>
      <c r="E387" s="2" t="s">
        <v>6</v>
      </c>
      <c r="F387" s="2" t="s">
        <v>6</v>
      </c>
      <c r="G387" s="24" t="s">
        <v>6</v>
      </c>
      <c r="H387" s="2"/>
      <c r="I387" s="2"/>
      <c r="J387" s="2"/>
      <c r="K387" s="2"/>
    </row>
    <row r="388" spans="1:11">
      <c r="A388" s="2"/>
      <c r="B388" s="2" t="s">
        <v>400</v>
      </c>
      <c r="C388" s="2" t="s">
        <v>6</v>
      </c>
      <c r="D388" s="2" t="s">
        <v>6</v>
      </c>
      <c r="E388" s="2" t="s">
        <v>6</v>
      </c>
      <c r="F388" s="2" t="s">
        <v>6</v>
      </c>
      <c r="G388" s="24" t="s">
        <v>6</v>
      </c>
      <c r="H388" s="2"/>
      <c r="I388" s="2"/>
      <c r="J388" s="2"/>
      <c r="K388" s="2"/>
    </row>
    <row r="389" spans="1:11">
      <c r="A389" s="2"/>
      <c r="B389" s="2" t="s">
        <v>401</v>
      </c>
      <c r="C389" s="2" t="s">
        <v>6</v>
      </c>
      <c r="D389" s="2" t="s">
        <v>6</v>
      </c>
      <c r="E389" s="2" t="s">
        <v>6</v>
      </c>
      <c r="F389" s="2" t="s">
        <v>6</v>
      </c>
      <c r="G389" s="24" t="s">
        <v>6</v>
      </c>
      <c r="H389" s="2"/>
      <c r="I389" s="2"/>
      <c r="J389" s="2"/>
      <c r="K389" s="2"/>
    </row>
    <row r="390" spans="1:11">
      <c r="A390" s="2"/>
      <c r="B390" s="2" t="s">
        <v>402</v>
      </c>
      <c r="C390" s="2" t="s">
        <v>6</v>
      </c>
      <c r="D390" s="2" t="s">
        <v>6</v>
      </c>
      <c r="E390" s="2" t="s">
        <v>6</v>
      </c>
      <c r="F390" s="2" t="s">
        <v>6</v>
      </c>
      <c r="G390" s="24" t="s">
        <v>6</v>
      </c>
      <c r="H390" s="2"/>
      <c r="I390" s="2"/>
      <c r="J390" s="2"/>
      <c r="K390" s="2"/>
    </row>
    <row r="391" spans="1:11">
      <c r="A391" s="2"/>
      <c r="B391" s="2" t="s">
        <v>403</v>
      </c>
      <c r="C391" s="2" t="s">
        <v>6</v>
      </c>
      <c r="D391" s="2" t="s">
        <v>6</v>
      </c>
      <c r="E391" s="2" t="s">
        <v>6</v>
      </c>
      <c r="F391" s="2" t="s">
        <v>6</v>
      </c>
      <c r="G391" s="24" t="s">
        <v>6</v>
      </c>
      <c r="H391" s="2"/>
      <c r="I391" s="2"/>
      <c r="J391" s="2"/>
      <c r="K391" s="2"/>
    </row>
    <row r="392" spans="1:11">
      <c r="A392" s="2"/>
      <c r="B392" s="2" t="s">
        <v>404</v>
      </c>
      <c r="C392" s="2" t="s">
        <v>6</v>
      </c>
      <c r="D392" s="2" t="s">
        <v>6</v>
      </c>
      <c r="E392" s="2" t="s">
        <v>6</v>
      </c>
      <c r="F392" s="2" t="s">
        <v>6</v>
      </c>
      <c r="G392" s="24" t="s">
        <v>6</v>
      </c>
      <c r="H392" s="2"/>
      <c r="I392" s="2"/>
      <c r="J392" s="2"/>
      <c r="K392" s="2"/>
    </row>
    <row r="393" spans="1:11">
      <c r="A393" s="2"/>
      <c r="B393" s="2" t="s">
        <v>405</v>
      </c>
      <c r="C393" s="2" t="s">
        <v>6</v>
      </c>
      <c r="D393" s="2" t="s">
        <v>6</v>
      </c>
      <c r="E393" s="2" t="s">
        <v>6</v>
      </c>
      <c r="F393" s="2" t="s">
        <v>6</v>
      </c>
      <c r="G393" s="24" t="s">
        <v>6</v>
      </c>
      <c r="H393" s="2"/>
      <c r="I393" s="2"/>
      <c r="J393" s="2"/>
      <c r="K393" s="2"/>
    </row>
    <row r="394" spans="1:11">
      <c r="A394" s="2"/>
      <c r="B394" s="2" t="s">
        <v>406</v>
      </c>
      <c r="C394" s="2" t="s">
        <v>6</v>
      </c>
      <c r="D394" s="2" t="s">
        <v>6</v>
      </c>
      <c r="E394" s="2" t="s">
        <v>6</v>
      </c>
      <c r="F394" s="2" t="s">
        <v>6</v>
      </c>
      <c r="G394" s="24" t="s">
        <v>6</v>
      </c>
      <c r="H394" s="2"/>
      <c r="I394" s="2"/>
      <c r="J394" s="2"/>
      <c r="K394" s="2"/>
    </row>
    <row r="395" spans="1:11">
      <c r="A395" s="2"/>
      <c r="B395" s="2" t="s">
        <v>407</v>
      </c>
      <c r="C395" s="2" t="s">
        <v>6</v>
      </c>
      <c r="D395" s="2" t="s">
        <v>6</v>
      </c>
      <c r="E395" s="2" t="s">
        <v>6</v>
      </c>
      <c r="F395" s="2" t="s">
        <v>6</v>
      </c>
      <c r="G395" s="24" t="s">
        <v>6</v>
      </c>
      <c r="H395" s="2"/>
      <c r="I395" s="2"/>
      <c r="J395" s="2"/>
      <c r="K395" s="2"/>
    </row>
    <row r="396" spans="1:11">
      <c r="A396" s="2"/>
      <c r="B396" s="2" t="s">
        <v>408</v>
      </c>
      <c r="C396" s="2" t="s">
        <v>6</v>
      </c>
      <c r="D396" s="2" t="s">
        <v>6</v>
      </c>
      <c r="E396" s="2" t="s">
        <v>6</v>
      </c>
      <c r="F396" s="2" t="s">
        <v>6</v>
      </c>
      <c r="G396" s="24" t="s">
        <v>6</v>
      </c>
      <c r="H396" s="2"/>
      <c r="I396" s="2"/>
      <c r="J396" s="2"/>
      <c r="K396" s="2"/>
    </row>
    <row r="397" spans="1:11">
      <c r="A397" s="2"/>
      <c r="B397" s="2" t="s">
        <v>409</v>
      </c>
      <c r="C397" s="2" t="s">
        <v>6</v>
      </c>
      <c r="D397" s="2" t="s">
        <v>6</v>
      </c>
      <c r="E397" s="2" t="s">
        <v>6</v>
      </c>
      <c r="F397" s="2" t="s">
        <v>6</v>
      </c>
      <c r="G397" s="24" t="s">
        <v>6</v>
      </c>
      <c r="H397" s="2"/>
      <c r="I397" s="2"/>
      <c r="J397" s="2"/>
      <c r="K397" s="2"/>
    </row>
    <row r="398" spans="1:11">
      <c r="A398" s="2"/>
      <c r="B398" s="2" t="s">
        <v>410</v>
      </c>
      <c r="C398" s="2" t="s">
        <v>6</v>
      </c>
      <c r="D398" s="2" t="s">
        <v>6</v>
      </c>
      <c r="E398" s="2" t="s">
        <v>6</v>
      </c>
      <c r="F398" s="2" t="s">
        <v>6</v>
      </c>
      <c r="G398" s="24" t="s">
        <v>6</v>
      </c>
      <c r="H398" s="2"/>
      <c r="I398" s="2"/>
      <c r="J398" s="2"/>
      <c r="K398" s="2"/>
    </row>
    <row r="399" spans="1:11">
      <c r="A399" s="2"/>
      <c r="B399" s="2" t="s">
        <v>411</v>
      </c>
      <c r="C399" s="2" t="s">
        <v>6</v>
      </c>
      <c r="D399" s="2" t="s">
        <v>6</v>
      </c>
      <c r="E399" s="2" t="s">
        <v>6</v>
      </c>
      <c r="F399" s="2" t="s">
        <v>6</v>
      </c>
      <c r="G399" s="24" t="s">
        <v>6</v>
      </c>
      <c r="H399" s="2"/>
      <c r="I399" s="2"/>
      <c r="J399" s="2"/>
      <c r="K399" s="2"/>
    </row>
    <row r="400" spans="1:11">
      <c r="A400" s="2"/>
      <c r="B400" s="2" t="s">
        <v>412</v>
      </c>
      <c r="C400" s="2" t="s">
        <v>6</v>
      </c>
      <c r="D400" s="2" t="s">
        <v>6</v>
      </c>
      <c r="E400" s="2" t="s">
        <v>6</v>
      </c>
      <c r="F400" s="2" t="s">
        <v>6</v>
      </c>
      <c r="G400" s="24" t="s">
        <v>6</v>
      </c>
      <c r="H400" s="2"/>
      <c r="I400" s="2"/>
      <c r="J400" s="2"/>
      <c r="K400" s="2"/>
    </row>
    <row r="401" spans="1:11">
      <c r="A401" s="2"/>
      <c r="B401" s="2" t="s">
        <v>413</v>
      </c>
      <c r="C401" s="2" t="s">
        <v>6</v>
      </c>
      <c r="D401" s="2" t="s">
        <v>6</v>
      </c>
      <c r="E401" s="2" t="s">
        <v>6</v>
      </c>
      <c r="F401" s="2" t="s">
        <v>6</v>
      </c>
      <c r="G401" s="24" t="s">
        <v>6</v>
      </c>
      <c r="H401" s="2"/>
      <c r="I401" s="2"/>
      <c r="J401" s="2"/>
      <c r="K401" s="2"/>
    </row>
    <row r="402" spans="1:11">
      <c r="A402" s="2"/>
      <c r="B402" s="2" t="s">
        <v>414</v>
      </c>
      <c r="C402" s="2" t="s">
        <v>6</v>
      </c>
      <c r="D402" s="2" t="s">
        <v>6</v>
      </c>
      <c r="E402" s="2" t="s">
        <v>6</v>
      </c>
      <c r="F402" s="2" t="s">
        <v>6</v>
      </c>
      <c r="G402" s="24" t="s">
        <v>6</v>
      </c>
      <c r="H402" s="2"/>
      <c r="I402" s="2"/>
      <c r="J402" s="2"/>
      <c r="K402" s="2"/>
    </row>
    <row r="403" spans="1:11">
      <c r="A403" s="2"/>
      <c r="B403" s="2" t="s">
        <v>415</v>
      </c>
      <c r="C403" s="2" t="s">
        <v>6</v>
      </c>
      <c r="D403" s="2" t="s">
        <v>6</v>
      </c>
      <c r="E403" s="2" t="s">
        <v>6</v>
      </c>
      <c r="F403" s="2" t="s">
        <v>6</v>
      </c>
      <c r="G403" s="24" t="s">
        <v>6</v>
      </c>
      <c r="H403" s="2"/>
      <c r="I403" s="2"/>
      <c r="J403" s="2"/>
      <c r="K403" s="2"/>
    </row>
    <row r="404" spans="1:11">
      <c r="A404" s="2"/>
      <c r="B404" s="2" t="s">
        <v>416</v>
      </c>
      <c r="C404" s="2" t="s">
        <v>6</v>
      </c>
      <c r="D404" s="2" t="s">
        <v>6</v>
      </c>
      <c r="E404" s="2" t="s">
        <v>6</v>
      </c>
      <c r="F404" s="2" t="s">
        <v>6</v>
      </c>
      <c r="G404" s="24" t="s">
        <v>6</v>
      </c>
      <c r="H404" s="2"/>
      <c r="I404" s="2"/>
      <c r="J404" s="2"/>
      <c r="K404" s="2"/>
    </row>
    <row r="405" spans="1:11">
      <c r="A405" s="2"/>
      <c r="B405" s="2" t="s">
        <v>417</v>
      </c>
      <c r="C405" s="2" t="s">
        <v>6</v>
      </c>
      <c r="D405" s="2" t="s">
        <v>6</v>
      </c>
      <c r="E405" s="2" t="s">
        <v>6</v>
      </c>
      <c r="F405" s="2" t="s">
        <v>6</v>
      </c>
      <c r="G405" s="24" t="s">
        <v>6</v>
      </c>
      <c r="H405" s="2"/>
      <c r="I405" s="2"/>
      <c r="J405" s="2"/>
      <c r="K405" s="2"/>
    </row>
    <row r="406" spans="1:11">
      <c r="A406" s="2"/>
      <c r="B406" s="2" t="s">
        <v>418</v>
      </c>
      <c r="C406" s="2" t="s">
        <v>6</v>
      </c>
      <c r="D406" s="2" t="s">
        <v>6</v>
      </c>
      <c r="E406" s="2" t="s">
        <v>6</v>
      </c>
      <c r="F406" s="2" t="s">
        <v>6</v>
      </c>
      <c r="G406" s="24" t="s">
        <v>6</v>
      </c>
      <c r="H406" s="2"/>
      <c r="I406" s="2"/>
      <c r="J406" s="2"/>
      <c r="K406" s="2"/>
    </row>
    <row r="407" spans="1:11">
      <c r="A407" s="2"/>
      <c r="B407" s="2" t="s">
        <v>419</v>
      </c>
      <c r="C407" s="2" t="s">
        <v>6</v>
      </c>
      <c r="D407" s="2" t="s">
        <v>6</v>
      </c>
      <c r="E407" s="2" t="s">
        <v>6</v>
      </c>
      <c r="F407" s="2" t="s">
        <v>6</v>
      </c>
      <c r="G407" s="24" t="s">
        <v>6</v>
      </c>
      <c r="H407" s="2"/>
      <c r="I407" s="2"/>
      <c r="J407" s="2"/>
      <c r="K407" s="2"/>
    </row>
    <row r="408" spans="1:11">
      <c r="A408" s="2"/>
      <c r="B408" s="2" t="s">
        <v>420</v>
      </c>
      <c r="C408" s="2" t="s">
        <v>6</v>
      </c>
      <c r="D408" s="2" t="s">
        <v>6</v>
      </c>
      <c r="E408" s="2" t="s">
        <v>6</v>
      </c>
      <c r="F408" s="2" t="s">
        <v>6</v>
      </c>
      <c r="G408" s="24" t="s">
        <v>6</v>
      </c>
      <c r="H408" s="2"/>
      <c r="I408" s="2"/>
      <c r="J408" s="2"/>
      <c r="K408" s="2"/>
    </row>
    <row r="409" spans="1:11">
      <c r="A409" s="2"/>
      <c r="B409" s="2" t="s">
        <v>421</v>
      </c>
      <c r="C409" s="2" t="s">
        <v>6</v>
      </c>
      <c r="D409" s="2" t="s">
        <v>6</v>
      </c>
      <c r="E409" s="2" t="s">
        <v>6</v>
      </c>
      <c r="F409" s="2" t="s">
        <v>6</v>
      </c>
      <c r="G409" s="24" t="s">
        <v>6</v>
      </c>
      <c r="H409" s="2"/>
      <c r="I409" s="2"/>
      <c r="J409" s="2"/>
      <c r="K409" s="2"/>
    </row>
    <row r="410" spans="1:11">
      <c r="A410" s="2"/>
      <c r="B410" s="2" t="s">
        <v>422</v>
      </c>
      <c r="C410" s="2" t="s">
        <v>6</v>
      </c>
      <c r="D410" s="2" t="s">
        <v>6</v>
      </c>
      <c r="E410" s="2" t="s">
        <v>6</v>
      </c>
      <c r="F410" s="2" t="s">
        <v>6</v>
      </c>
      <c r="G410" s="24" t="s">
        <v>6</v>
      </c>
      <c r="H410" s="2"/>
      <c r="I410" s="2"/>
      <c r="J410" s="2"/>
      <c r="K410" s="2"/>
    </row>
    <row r="411" spans="1:11">
      <c r="A411" s="2"/>
      <c r="B411" s="2" t="s">
        <v>423</v>
      </c>
      <c r="C411" s="2" t="s">
        <v>6</v>
      </c>
      <c r="D411" s="2" t="s">
        <v>6</v>
      </c>
      <c r="E411" s="2" t="s">
        <v>6</v>
      </c>
      <c r="F411" s="2" t="s">
        <v>6</v>
      </c>
      <c r="G411" s="24" t="s">
        <v>6</v>
      </c>
      <c r="H411" s="2"/>
      <c r="I411" s="2"/>
      <c r="J411" s="2"/>
      <c r="K411" s="2"/>
    </row>
    <row r="412" spans="1:11">
      <c r="A412" s="2"/>
      <c r="B412" s="2" t="s">
        <v>424</v>
      </c>
      <c r="C412" s="2" t="s">
        <v>6</v>
      </c>
      <c r="D412" s="2" t="s">
        <v>6</v>
      </c>
      <c r="E412" s="2" t="s">
        <v>6</v>
      </c>
      <c r="F412" s="2" t="s">
        <v>6</v>
      </c>
      <c r="G412" s="24" t="s">
        <v>6</v>
      </c>
      <c r="H412" s="2"/>
      <c r="I412" s="2"/>
      <c r="J412" s="2"/>
      <c r="K412" s="2"/>
    </row>
    <row r="413" spans="1:11">
      <c r="A413" s="2"/>
      <c r="B413" s="2" t="s">
        <v>425</v>
      </c>
      <c r="C413" s="2" t="s">
        <v>6</v>
      </c>
      <c r="D413" s="2" t="s">
        <v>6</v>
      </c>
      <c r="E413" s="2" t="s">
        <v>6</v>
      </c>
      <c r="F413" s="2" t="s">
        <v>6</v>
      </c>
      <c r="G413" s="24" t="s">
        <v>6</v>
      </c>
      <c r="H413" s="2"/>
      <c r="I413" s="2"/>
      <c r="J413" s="2"/>
      <c r="K413" s="2"/>
    </row>
    <row r="414" spans="1:11">
      <c r="A414" s="2"/>
      <c r="B414" s="2" t="s">
        <v>426</v>
      </c>
      <c r="C414" s="2" t="s">
        <v>6</v>
      </c>
      <c r="D414" s="2" t="s">
        <v>6</v>
      </c>
      <c r="E414" s="2" t="s">
        <v>6</v>
      </c>
      <c r="F414" s="2" t="s">
        <v>6</v>
      </c>
      <c r="G414" s="24" t="s">
        <v>6</v>
      </c>
      <c r="H414" s="2"/>
      <c r="I414" s="2"/>
      <c r="J414" s="2"/>
      <c r="K414" s="2"/>
    </row>
    <row r="415" spans="1:11">
      <c r="A415" s="2"/>
      <c r="B415" s="2" t="s">
        <v>427</v>
      </c>
      <c r="C415" s="2" t="s">
        <v>6</v>
      </c>
      <c r="D415" s="2" t="s">
        <v>6</v>
      </c>
      <c r="E415" s="2" t="s">
        <v>6</v>
      </c>
      <c r="F415" s="2" t="s">
        <v>6</v>
      </c>
      <c r="G415" s="24" t="s">
        <v>6</v>
      </c>
      <c r="H415" s="2"/>
      <c r="I415" s="2"/>
      <c r="J415" s="2"/>
      <c r="K415" s="2"/>
    </row>
    <row r="416" spans="1:11">
      <c r="A416" s="2"/>
      <c r="B416" s="2" t="s">
        <v>428</v>
      </c>
      <c r="C416" s="2" t="s">
        <v>6</v>
      </c>
      <c r="D416" s="2" t="s">
        <v>6</v>
      </c>
      <c r="E416" s="2" t="s">
        <v>6</v>
      </c>
      <c r="F416" s="2" t="s">
        <v>6</v>
      </c>
      <c r="G416" s="24" t="s">
        <v>6</v>
      </c>
      <c r="H416" s="2"/>
      <c r="I416" s="2"/>
      <c r="J416" s="2"/>
      <c r="K416" s="2"/>
    </row>
    <row r="417" spans="1:11">
      <c r="A417" s="2"/>
      <c r="B417" s="2" t="s">
        <v>429</v>
      </c>
      <c r="C417" s="2" t="s">
        <v>6</v>
      </c>
      <c r="D417" s="2" t="s">
        <v>6</v>
      </c>
      <c r="E417" s="2" t="s">
        <v>6</v>
      </c>
      <c r="F417" s="2" t="s">
        <v>6</v>
      </c>
      <c r="G417" s="24" t="s">
        <v>6</v>
      </c>
      <c r="H417" s="2"/>
      <c r="I417" s="2"/>
      <c r="J417" s="2"/>
      <c r="K417" s="2"/>
    </row>
    <row r="418" spans="1:11">
      <c r="A418" s="2"/>
      <c r="B418" s="2" t="s">
        <v>430</v>
      </c>
      <c r="C418" s="2" t="s">
        <v>6</v>
      </c>
      <c r="D418" s="2" t="s">
        <v>6</v>
      </c>
      <c r="E418" s="2" t="s">
        <v>6</v>
      </c>
      <c r="F418" s="2" t="s">
        <v>6</v>
      </c>
      <c r="G418" s="24" t="s">
        <v>6</v>
      </c>
      <c r="H418" s="2"/>
      <c r="I418" s="2"/>
      <c r="J418" s="2"/>
      <c r="K418" s="2"/>
    </row>
    <row r="419" spans="1:11">
      <c r="A419" s="2"/>
      <c r="B419" s="2" t="s">
        <v>431</v>
      </c>
      <c r="C419" s="2" t="s">
        <v>6</v>
      </c>
      <c r="D419" s="2" t="s">
        <v>6</v>
      </c>
      <c r="E419" s="2" t="s">
        <v>6</v>
      </c>
      <c r="F419" s="2" t="s">
        <v>6</v>
      </c>
      <c r="G419" s="24" t="s">
        <v>6</v>
      </c>
      <c r="H419" s="2"/>
      <c r="I419" s="2"/>
      <c r="J419" s="2"/>
      <c r="K419" s="2"/>
    </row>
    <row r="420" spans="1:11">
      <c r="A420" s="2"/>
      <c r="B420" s="2" t="s">
        <v>432</v>
      </c>
      <c r="C420" s="2" t="s">
        <v>6</v>
      </c>
      <c r="D420" s="2" t="s">
        <v>6</v>
      </c>
      <c r="E420" s="2" t="s">
        <v>6</v>
      </c>
      <c r="F420" s="2" t="s">
        <v>6</v>
      </c>
      <c r="G420" s="24" t="s">
        <v>6</v>
      </c>
      <c r="H420" s="2"/>
      <c r="I420" s="2"/>
      <c r="J420" s="2"/>
      <c r="K420" s="2"/>
    </row>
    <row r="421" spans="1:11">
      <c r="A421" s="2"/>
      <c r="B421" s="2" t="s">
        <v>433</v>
      </c>
      <c r="C421" s="2" t="s">
        <v>6</v>
      </c>
      <c r="D421" s="2" t="s">
        <v>6</v>
      </c>
      <c r="E421" s="2" t="s">
        <v>6</v>
      </c>
      <c r="F421" s="2" t="s">
        <v>6</v>
      </c>
      <c r="G421" s="24" t="s">
        <v>6</v>
      </c>
      <c r="H421" s="2"/>
      <c r="I421" s="2"/>
      <c r="J421" s="2"/>
      <c r="K421" s="2"/>
    </row>
    <row r="422" spans="1:11">
      <c r="A422" s="2"/>
      <c r="B422" s="2" t="s">
        <v>434</v>
      </c>
      <c r="C422" s="2" t="s">
        <v>6</v>
      </c>
      <c r="D422" s="2" t="s">
        <v>6</v>
      </c>
      <c r="E422" s="2" t="s">
        <v>6</v>
      </c>
      <c r="F422" s="2" t="s">
        <v>6</v>
      </c>
      <c r="G422" s="24" t="s">
        <v>6</v>
      </c>
      <c r="H422" s="2"/>
      <c r="I422" s="2"/>
      <c r="J422" s="2"/>
      <c r="K422" s="2"/>
    </row>
    <row r="423" spans="1:11">
      <c r="A423" s="2"/>
      <c r="B423" s="2" t="s">
        <v>435</v>
      </c>
      <c r="C423" s="2" t="s">
        <v>6</v>
      </c>
      <c r="D423" s="2" t="s">
        <v>6</v>
      </c>
      <c r="E423" s="2" t="s">
        <v>6</v>
      </c>
      <c r="F423" s="2" t="s">
        <v>6</v>
      </c>
      <c r="G423" s="24" t="s">
        <v>6</v>
      </c>
      <c r="H423" s="2"/>
      <c r="I423" s="2"/>
      <c r="J423" s="2"/>
      <c r="K423" s="2"/>
    </row>
    <row r="424" spans="1:11">
      <c r="A424" s="2"/>
      <c r="B424" s="2" t="s">
        <v>436</v>
      </c>
      <c r="C424" s="2" t="s">
        <v>6</v>
      </c>
      <c r="D424" s="2" t="s">
        <v>6</v>
      </c>
      <c r="E424" s="2" t="s">
        <v>6</v>
      </c>
      <c r="F424" s="2" t="s">
        <v>6</v>
      </c>
      <c r="G424" s="24" t="s">
        <v>6</v>
      </c>
      <c r="H424" s="2"/>
      <c r="I424" s="2"/>
      <c r="J424" s="2"/>
      <c r="K424" s="2"/>
    </row>
    <row r="425" spans="1:11">
      <c r="A425" s="2"/>
      <c r="B425" s="2" t="s">
        <v>437</v>
      </c>
      <c r="C425" s="2" t="s">
        <v>6</v>
      </c>
      <c r="D425" s="2" t="s">
        <v>6</v>
      </c>
      <c r="E425" s="2" t="s">
        <v>6</v>
      </c>
      <c r="F425" s="2" t="s">
        <v>6</v>
      </c>
      <c r="G425" s="24" t="s">
        <v>6</v>
      </c>
      <c r="H425" s="2"/>
      <c r="I425" s="2"/>
      <c r="J425" s="2"/>
      <c r="K425" s="2"/>
    </row>
    <row r="426" spans="1:11">
      <c r="A426" s="2"/>
      <c r="B426" s="2" t="s">
        <v>438</v>
      </c>
      <c r="C426" s="2" t="s">
        <v>6</v>
      </c>
      <c r="D426" s="2" t="s">
        <v>6</v>
      </c>
      <c r="E426" s="2" t="s">
        <v>6</v>
      </c>
      <c r="F426" s="2" t="s">
        <v>6</v>
      </c>
      <c r="G426" s="24" t="s">
        <v>6</v>
      </c>
      <c r="H426" s="2"/>
      <c r="I426" s="2"/>
      <c r="J426" s="2"/>
      <c r="K426" s="2"/>
    </row>
    <row r="427" spans="1:11">
      <c r="A427" s="2"/>
      <c r="B427" s="2" t="s">
        <v>439</v>
      </c>
      <c r="C427" s="2" t="s">
        <v>6</v>
      </c>
      <c r="D427" s="2" t="s">
        <v>6</v>
      </c>
      <c r="E427" s="2" t="s">
        <v>6</v>
      </c>
      <c r="F427" s="2" t="s">
        <v>6</v>
      </c>
      <c r="G427" s="24" t="s">
        <v>6</v>
      </c>
      <c r="H427" s="2"/>
      <c r="I427" s="2"/>
      <c r="J427" s="2"/>
      <c r="K427" s="2"/>
    </row>
    <row r="428" spans="1:11">
      <c r="A428" s="2"/>
      <c r="B428" s="2" t="s">
        <v>440</v>
      </c>
      <c r="C428" s="2" t="s">
        <v>6</v>
      </c>
      <c r="D428" s="2" t="s">
        <v>6</v>
      </c>
      <c r="E428" s="2" t="s">
        <v>6</v>
      </c>
      <c r="F428" s="2" t="s">
        <v>6</v>
      </c>
      <c r="G428" s="24" t="s">
        <v>6</v>
      </c>
      <c r="H428" s="2"/>
      <c r="I428" s="2"/>
      <c r="J428" s="2"/>
      <c r="K428" s="2"/>
    </row>
    <row r="429" spans="1:11">
      <c r="A429" s="2"/>
      <c r="B429" s="2" t="s">
        <v>441</v>
      </c>
      <c r="C429" s="2" t="s">
        <v>6</v>
      </c>
      <c r="D429" s="2" t="s">
        <v>6</v>
      </c>
      <c r="E429" s="2" t="s">
        <v>6</v>
      </c>
      <c r="F429" s="2" t="s">
        <v>6</v>
      </c>
      <c r="G429" s="24" t="s">
        <v>6</v>
      </c>
      <c r="H429" s="2"/>
      <c r="I429" s="2"/>
      <c r="J429" s="2"/>
      <c r="K429" s="2"/>
    </row>
    <row r="430" spans="1:11">
      <c r="A430" s="2"/>
      <c r="B430" s="2" t="s">
        <v>442</v>
      </c>
      <c r="C430" s="2" t="s">
        <v>6</v>
      </c>
      <c r="D430" s="2" t="s">
        <v>6</v>
      </c>
      <c r="E430" s="2" t="s">
        <v>6</v>
      </c>
      <c r="F430" s="2" t="s">
        <v>6</v>
      </c>
      <c r="G430" s="24" t="s">
        <v>6</v>
      </c>
      <c r="H430" s="2"/>
      <c r="I430" s="2"/>
      <c r="J430" s="2"/>
      <c r="K430" s="2"/>
    </row>
    <row r="431" spans="1:11">
      <c r="A431" s="2"/>
      <c r="B431" s="2" t="s">
        <v>443</v>
      </c>
      <c r="C431" s="2" t="s">
        <v>6</v>
      </c>
      <c r="D431" s="2" t="s">
        <v>6</v>
      </c>
      <c r="E431" s="2" t="s">
        <v>6</v>
      </c>
      <c r="F431" s="2" t="s">
        <v>6</v>
      </c>
      <c r="G431" s="24" t="s">
        <v>6</v>
      </c>
      <c r="H431" s="2"/>
      <c r="I431" s="2"/>
      <c r="J431" s="2"/>
      <c r="K431" s="2"/>
    </row>
    <row r="432" spans="1:11">
      <c r="A432" s="2"/>
      <c r="B432" s="2" t="s">
        <v>444</v>
      </c>
      <c r="C432" s="2" t="s">
        <v>6</v>
      </c>
      <c r="D432" s="2" t="s">
        <v>6</v>
      </c>
      <c r="E432" s="2" t="s">
        <v>6</v>
      </c>
      <c r="F432" s="2" t="s">
        <v>6</v>
      </c>
      <c r="G432" s="24" t="s">
        <v>6</v>
      </c>
      <c r="H432" s="2"/>
      <c r="I432" s="2"/>
      <c r="J432" s="2"/>
      <c r="K432" s="2"/>
    </row>
    <row r="433" spans="1:11">
      <c r="A433" s="2"/>
      <c r="B433" s="2" t="s">
        <v>445</v>
      </c>
      <c r="C433" s="2" t="s">
        <v>6</v>
      </c>
      <c r="D433" s="2" t="s">
        <v>6</v>
      </c>
      <c r="E433" s="2" t="s">
        <v>6</v>
      </c>
      <c r="F433" s="2" t="s">
        <v>6</v>
      </c>
      <c r="G433" s="24" t="s">
        <v>6</v>
      </c>
      <c r="H433" s="2"/>
      <c r="I433" s="2"/>
      <c r="J433" s="2"/>
      <c r="K433" s="2"/>
    </row>
    <row r="434" spans="1:11">
      <c r="A434" s="2"/>
      <c r="B434" s="2" t="s">
        <v>446</v>
      </c>
      <c r="C434" s="2" t="s">
        <v>6</v>
      </c>
      <c r="D434" s="2" t="s">
        <v>6</v>
      </c>
      <c r="E434" s="2" t="s">
        <v>6</v>
      </c>
      <c r="F434" s="2" t="s">
        <v>6</v>
      </c>
      <c r="G434" s="24" t="s">
        <v>6</v>
      </c>
      <c r="H434" s="2"/>
      <c r="I434" s="2"/>
      <c r="J434" s="2"/>
      <c r="K434" s="2"/>
    </row>
    <row r="435" spans="1:11">
      <c r="A435" s="2"/>
      <c r="B435" s="2" t="s">
        <v>447</v>
      </c>
      <c r="C435" s="2" t="s">
        <v>6</v>
      </c>
      <c r="D435" s="2" t="s">
        <v>6</v>
      </c>
      <c r="E435" s="2" t="s">
        <v>6</v>
      </c>
      <c r="F435" s="2" t="s">
        <v>6</v>
      </c>
      <c r="G435" s="24" t="s">
        <v>6</v>
      </c>
      <c r="H435" s="2"/>
      <c r="I435" s="2"/>
      <c r="J435" s="2"/>
      <c r="K435" s="2"/>
    </row>
    <row r="436" spans="1:11">
      <c r="A436" s="2"/>
      <c r="B436" s="2" t="s">
        <v>448</v>
      </c>
      <c r="C436" s="2" t="s">
        <v>6</v>
      </c>
      <c r="D436" s="2" t="s">
        <v>6</v>
      </c>
      <c r="E436" s="2" t="s">
        <v>6</v>
      </c>
      <c r="F436" s="2" t="s">
        <v>6</v>
      </c>
      <c r="G436" s="24" t="s">
        <v>6</v>
      </c>
      <c r="H436" s="2"/>
      <c r="I436" s="2"/>
      <c r="J436" s="2"/>
      <c r="K436" s="2"/>
    </row>
    <row r="437" spans="1:11">
      <c r="A437" s="2"/>
      <c r="B437" s="2" t="s">
        <v>449</v>
      </c>
      <c r="C437" s="2" t="s">
        <v>6</v>
      </c>
      <c r="D437" s="2" t="s">
        <v>6</v>
      </c>
      <c r="E437" s="2" t="s">
        <v>6</v>
      </c>
      <c r="F437" s="2" t="s">
        <v>6</v>
      </c>
      <c r="G437" s="24" t="s">
        <v>6</v>
      </c>
      <c r="H437" s="2"/>
      <c r="I437" s="2"/>
      <c r="J437" s="2"/>
      <c r="K437" s="2"/>
    </row>
    <row r="438" spans="1:11">
      <c r="A438" s="2"/>
      <c r="B438" s="2" t="s">
        <v>450</v>
      </c>
      <c r="C438" s="2" t="s">
        <v>6</v>
      </c>
      <c r="D438" s="2" t="s">
        <v>6</v>
      </c>
      <c r="E438" s="2" t="s">
        <v>6</v>
      </c>
      <c r="F438" s="2" t="s">
        <v>6</v>
      </c>
      <c r="G438" s="24" t="s">
        <v>6</v>
      </c>
      <c r="H438" s="2"/>
      <c r="I438" s="2"/>
      <c r="J438" s="2"/>
      <c r="K438" s="2"/>
    </row>
    <row r="439" spans="1:11">
      <c r="A439" s="2"/>
      <c r="B439" s="2" t="s">
        <v>451</v>
      </c>
      <c r="C439" s="2" t="s">
        <v>6</v>
      </c>
      <c r="D439" s="2" t="s">
        <v>6</v>
      </c>
      <c r="E439" s="2" t="s">
        <v>6</v>
      </c>
      <c r="F439" s="2" t="s">
        <v>6</v>
      </c>
      <c r="G439" s="24" t="s">
        <v>6</v>
      </c>
      <c r="H439" s="2"/>
      <c r="I439" s="2"/>
      <c r="J439" s="2"/>
      <c r="K439" s="2"/>
    </row>
    <row r="440" spans="1:11">
      <c r="A440" s="2"/>
      <c r="B440" s="2" t="s">
        <v>452</v>
      </c>
      <c r="C440" s="2" t="s">
        <v>6</v>
      </c>
      <c r="D440" s="2" t="s">
        <v>6</v>
      </c>
      <c r="E440" s="2" t="s">
        <v>6</v>
      </c>
      <c r="F440" s="2" t="s">
        <v>6</v>
      </c>
      <c r="G440" s="24" t="s">
        <v>6</v>
      </c>
      <c r="H440" s="2"/>
      <c r="I440" s="2"/>
      <c r="J440" s="2"/>
      <c r="K440" s="2"/>
    </row>
    <row r="441" spans="1:11">
      <c r="A441" s="2"/>
      <c r="B441" s="2" t="s">
        <v>453</v>
      </c>
      <c r="C441" s="2" t="s">
        <v>6</v>
      </c>
      <c r="D441" s="2" t="s">
        <v>6</v>
      </c>
      <c r="E441" s="2" t="s">
        <v>6</v>
      </c>
      <c r="F441" s="2" t="s">
        <v>6</v>
      </c>
      <c r="G441" s="24" t="s">
        <v>6</v>
      </c>
      <c r="H441" s="2"/>
      <c r="I441" s="2"/>
      <c r="J441" s="2"/>
      <c r="K441" s="2"/>
    </row>
    <row r="442" spans="1:11">
      <c r="A442" s="2"/>
      <c r="B442" s="2" t="s">
        <v>454</v>
      </c>
      <c r="C442" s="2" t="s">
        <v>6</v>
      </c>
      <c r="D442" s="2" t="s">
        <v>6</v>
      </c>
      <c r="E442" s="2" t="s">
        <v>6</v>
      </c>
      <c r="F442" s="2" t="s">
        <v>6</v>
      </c>
      <c r="G442" s="24" t="s">
        <v>6</v>
      </c>
      <c r="H442" s="2"/>
      <c r="I442" s="2"/>
      <c r="J442" s="2"/>
      <c r="K442" s="2"/>
    </row>
    <row r="443" spans="1:11">
      <c r="A443" s="2"/>
      <c r="B443" s="2" t="s">
        <v>455</v>
      </c>
      <c r="C443" s="2" t="s">
        <v>6</v>
      </c>
      <c r="D443" s="2" t="s">
        <v>6</v>
      </c>
      <c r="E443" s="2" t="s">
        <v>6</v>
      </c>
      <c r="F443" s="2" t="s">
        <v>6</v>
      </c>
      <c r="G443" s="24" t="s">
        <v>6</v>
      </c>
      <c r="H443" s="2"/>
      <c r="I443" s="2"/>
      <c r="J443" s="2"/>
      <c r="K443" s="2"/>
    </row>
    <row r="444" spans="1:11">
      <c r="A444" s="2"/>
      <c r="B444" s="2" t="s">
        <v>456</v>
      </c>
      <c r="C444" s="2" t="s">
        <v>6</v>
      </c>
      <c r="D444" s="2" t="s">
        <v>6</v>
      </c>
      <c r="E444" s="2" t="s">
        <v>6</v>
      </c>
      <c r="F444" s="2" t="s">
        <v>6</v>
      </c>
      <c r="G444" s="24" t="s">
        <v>6</v>
      </c>
      <c r="H444" s="2"/>
      <c r="I444" s="2"/>
      <c r="J444" s="2"/>
      <c r="K444" s="2"/>
    </row>
    <row r="445" spans="1:11">
      <c r="A445" s="2"/>
      <c r="B445" s="2" t="s">
        <v>457</v>
      </c>
      <c r="C445" s="2" t="s">
        <v>6</v>
      </c>
      <c r="D445" s="2" t="s">
        <v>6</v>
      </c>
      <c r="E445" s="2" t="s">
        <v>6</v>
      </c>
      <c r="F445" s="2" t="s">
        <v>6</v>
      </c>
      <c r="G445" s="24" t="s">
        <v>6</v>
      </c>
      <c r="H445" s="2"/>
      <c r="I445" s="2"/>
      <c r="J445" s="2"/>
      <c r="K445" s="2"/>
    </row>
    <row r="446" spans="1:11">
      <c r="A446" s="2"/>
      <c r="B446" s="2" t="s">
        <v>458</v>
      </c>
      <c r="C446" s="2" t="s">
        <v>6</v>
      </c>
      <c r="D446" s="2" t="s">
        <v>6</v>
      </c>
      <c r="E446" s="2" t="s">
        <v>6</v>
      </c>
      <c r="F446" s="2" t="s">
        <v>6</v>
      </c>
      <c r="G446" s="24" t="s">
        <v>6</v>
      </c>
      <c r="H446" s="2"/>
      <c r="I446" s="2"/>
      <c r="J446" s="2"/>
      <c r="K446" s="2"/>
    </row>
    <row r="447" spans="1:11">
      <c r="A447" s="2"/>
      <c r="B447" s="2" t="s">
        <v>459</v>
      </c>
      <c r="C447" s="2" t="s">
        <v>6</v>
      </c>
      <c r="D447" s="2" t="s">
        <v>6</v>
      </c>
      <c r="E447" s="2" t="s">
        <v>6</v>
      </c>
      <c r="F447" s="2" t="s">
        <v>6</v>
      </c>
      <c r="G447" s="24" t="s">
        <v>6</v>
      </c>
      <c r="H447" s="2"/>
      <c r="I447" s="2"/>
      <c r="J447" s="2"/>
      <c r="K447" s="2"/>
    </row>
    <row r="448" spans="1:11">
      <c r="A448" s="2"/>
      <c r="B448" s="2" t="s">
        <v>460</v>
      </c>
      <c r="C448" s="2" t="s">
        <v>6</v>
      </c>
      <c r="D448" s="2" t="s">
        <v>6</v>
      </c>
      <c r="E448" s="2" t="s">
        <v>6</v>
      </c>
      <c r="F448" s="2" t="s">
        <v>6</v>
      </c>
      <c r="G448" s="24" t="s">
        <v>6</v>
      </c>
      <c r="H448" s="2"/>
      <c r="I448" s="2"/>
      <c r="J448" s="2"/>
      <c r="K448" s="2"/>
    </row>
    <row r="449" spans="1:11">
      <c r="A449" s="2"/>
      <c r="B449" s="2" t="s">
        <v>461</v>
      </c>
      <c r="C449" s="2" t="s">
        <v>6</v>
      </c>
      <c r="D449" s="2" t="s">
        <v>6</v>
      </c>
      <c r="E449" s="2" t="s">
        <v>6</v>
      </c>
      <c r="F449" s="2" t="s">
        <v>6</v>
      </c>
      <c r="G449" s="24" t="s">
        <v>6</v>
      </c>
      <c r="H449" s="2"/>
      <c r="I449" s="2"/>
      <c r="J449" s="2"/>
      <c r="K449" s="2"/>
    </row>
    <row r="450" spans="1:11">
      <c r="A450" s="2"/>
      <c r="B450" s="2" t="s">
        <v>462</v>
      </c>
      <c r="C450" s="2" t="s">
        <v>6</v>
      </c>
      <c r="D450" s="2" t="s">
        <v>6</v>
      </c>
      <c r="E450" s="2" t="s">
        <v>6</v>
      </c>
      <c r="F450" s="2" t="s">
        <v>6</v>
      </c>
      <c r="G450" s="24" t="s">
        <v>6</v>
      </c>
      <c r="H450" s="2"/>
      <c r="I450" s="2"/>
      <c r="J450" s="2"/>
      <c r="K450" s="2"/>
    </row>
    <row r="451" spans="1:11">
      <c r="A451" s="2"/>
      <c r="B451" s="2" t="s">
        <v>463</v>
      </c>
      <c r="C451" s="2" t="s">
        <v>6</v>
      </c>
      <c r="D451" s="2" t="s">
        <v>6</v>
      </c>
      <c r="E451" s="2" t="s">
        <v>6</v>
      </c>
      <c r="F451" s="2" t="s">
        <v>6</v>
      </c>
      <c r="G451" s="24" t="s">
        <v>6</v>
      </c>
      <c r="H451" s="2"/>
      <c r="I451" s="2"/>
      <c r="J451" s="2"/>
      <c r="K451" s="2"/>
    </row>
    <row r="452" spans="1:11">
      <c r="A452" s="2"/>
      <c r="B452" s="2" t="s">
        <v>464</v>
      </c>
      <c r="C452" s="2" t="s">
        <v>6</v>
      </c>
      <c r="D452" s="2" t="s">
        <v>6</v>
      </c>
      <c r="E452" s="2" t="s">
        <v>6</v>
      </c>
      <c r="F452" s="2" t="s">
        <v>6</v>
      </c>
      <c r="G452" s="24" t="s">
        <v>6</v>
      </c>
      <c r="H452" s="2"/>
      <c r="I452" s="2"/>
      <c r="J452" s="2"/>
      <c r="K452" s="2"/>
    </row>
    <row r="453" spans="1:11">
      <c r="A453" s="2"/>
      <c r="B453" s="2" t="s">
        <v>465</v>
      </c>
      <c r="C453" s="2" t="s">
        <v>6</v>
      </c>
      <c r="D453" s="2" t="s">
        <v>6</v>
      </c>
      <c r="E453" s="2" t="s">
        <v>6</v>
      </c>
      <c r="F453" s="2" t="s">
        <v>6</v>
      </c>
      <c r="G453" s="24" t="s">
        <v>6</v>
      </c>
      <c r="H453" s="2"/>
      <c r="I453" s="2"/>
      <c r="J453" s="2"/>
      <c r="K453" s="2"/>
    </row>
    <row r="454" spans="1:11">
      <c r="A454" s="2"/>
      <c r="B454" s="2" t="s">
        <v>466</v>
      </c>
      <c r="C454" s="2" t="s">
        <v>6</v>
      </c>
      <c r="D454" s="2" t="s">
        <v>6</v>
      </c>
      <c r="E454" s="2" t="s">
        <v>6</v>
      </c>
      <c r="F454" s="2" t="s">
        <v>6</v>
      </c>
      <c r="G454" s="24" t="s">
        <v>6</v>
      </c>
      <c r="H454" s="2"/>
      <c r="I454" s="2"/>
      <c r="J454" s="2"/>
      <c r="K454" s="2"/>
    </row>
    <row r="455" spans="1:11">
      <c r="A455" s="2"/>
      <c r="B455" s="2" t="s">
        <v>467</v>
      </c>
      <c r="C455" s="2" t="s">
        <v>6</v>
      </c>
      <c r="D455" s="2" t="s">
        <v>6</v>
      </c>
      <c r="E455" s="2" t="s">
        <v>6</v>
      </c>
      <c r="F455" s="2" t="s">
        <v>6</v>
      </c>
      <c r="G455" s="24" t="s">
        <v>6</v>
      </c>
      <c r="H455" s="2"/>
      <c r="I455" s="2"/>
      <c r="J455" s="2"/>
      <c r="K455" s="2"/>
    </row>
    <row r="456" spans="1:11">
      <c r="A456" s="2"/>
      <c r="B456" s="2" t="s">
        <v>468</v>
      </c>
      <c r="C456" s="2" t="s">
        <v>6</v>
      </c>
      <c r="D456" s="2" t="s">
        <v>6</v>
      </c>
      <c r="E456" s="2" t="s">
        <v>6</v>
      </c>
      <c r="F456" s="2" t="s">
        <v>6</v>
      </c>
      <c r="G456" s="24" t="s">
        <v>6</v>
      </c>
      <c r="H456" s="2"/>
      <c r="I456" s="2"/>
      <c r="J456" s="2"/>
      <c r="K456" s="2"/>
    </row>
    <row r="457" spans="1:11">
      <c r="A457" s="2"/>
      <c r="B457" s="2" t="s">
        <v>469</v>
      </c>
      <c r="C457" s="2" t="s">
        <v>6</v>
      </c>
      <c r="D457" s="2" t="s">
        <v>6</v>
      </c>
      <c r="E457" s="2" t="s">
        <v>6</v>
      </c>
      <c r="F457" s="2" t="s">
        <v>6</v>
      </c>
      <c r="G457" s="24" t="s">
        <v>6</v>
      </c>
      <c r="H457" s="2"/>
      <c r="I457" s="2"/>
      <c r="J457" s="2"/>
      <c r="K457" s="2"/>
    </row>
    <row r="458" spans="1:11">
      <c r="A458" s="2"/>
      <c r="B458" s="2" t="s">
        <v>470</v>
      </c>
      <c r="C458" s="2" t="s">
        <v>6</v>
      </c>
      <c r="D458" s="2" t="s">
        <v>6</v>
      </c>
      <c r="E458" s="2" t="s">
        <v>6</v>
      </c>
      <c r="F458" s="2" t="s">
        <v>6</v>
      </c>
      <c r="G458" s="24" t="s">
        <v>6</v>
      </c>
      <c r="H458" s="2"/>
      <c r="I458" s="2"/>
      <c r="J458" s="2"/>
      <c r="K458" s="2"/>
    </row>
    <row r="459" spans="1:11">
      <c r="A459" s="2"/>
      <c r="B459" s="2" t="s">
        <v>471</v>
      </c>
      <c r="C459" s="2" t="s">
        <v>6</v>
      </c>
      <c r="D459" s="2" t="s">
        <v>6</v>
      </c>
      <c r="E459" s="2" t="s">
        <v>6</v>
      </c>
      <c r="F459" s="2" t="s">
        <v>6</v>
      </c>
      <c r="G459" s="24" t="s">
        <v>6</v>
      </c>
      <c r="H459" s="2"/>
      <c r="I459" s="2"/>
      <c r="J459" s="2"/>
      <c r="K459" s="2"/>
    </row>
    <row r="460" spans="1:11">
      <c r="A460" s="2"/>
      <c r="B460" s="2" t="s">
        <v>472</v>
      </c>
      <c r="C460" s="2" t="s">
        <v>6</v>
      </c>
      <c r="D460" s="2" t="s">
        <v>6</v>
      </c>
      <c r="E460" s="2" t="s">
        <v>6</v>
      </c>
      <c r="F460" s="2" t="s">
        <v>6</v>
      </c>
      <c r="G460" s="24" t="s">
        <v>6</v>
      </c>
      <c r="H460" s="2"/>
      <c r="I460" s="2"/>
      <c r="J460" s="2"/>
      <c r="K460" s="2"/>
    </row>
    <row r="461" spans="1:11">
      <c r="A461" s="2"/>
      <c r="B461" s="2" t="s">
        <v>473</v>
      </c>
      <c r="C461" s="2" t="s">
        <v>6</v>
      </c>
      <c r="D461" s="2" t="s">
        <v>6</v>
      </c>
      <c r="E461" s="2" t="s">
        <v>6</v>
      </c>
      <c r="F461" s="2" t="s">
        <v>6</v>
      </c>
      <c r="G461" s="24" t="s">
        <v>6</v>
      </c>
      <c r="H461" s="2"/>
      <c r="I461" s="2"/>
      <c r="J461" s="2"/>
      <c r="K461" s="2"/>
    </row>
    <row r="462" spans="1:11">
      <c r="A462" s="2"/>
      <c r="B462" s="2" t="s">
        <v>474</v>
      </c>
      <c r="C462" s="2" t="s">
        <v>6</v>
      </c>
      <c r="D462" s="2" t="s">
        <v>6</v>
      </c>
      <c r="E462" s="2" t="s">
        <v>6</v>
      </c>
      <c r="F462" s="2" t="s">
        <v>6</v>
      </c>
      <c r="G462" s="24" t="s">
        <v>6</v>
      </c>
      <c r="H462" s="2"/>
      <c r="I462" s="2"/>
      <c r="J462" s="2"/>
      <c r="K462" s="2"/>
    </row>
    <row r="463" spans="1:11">
      <c r="A463" s="2"/>
      <c r="B463" s="2" t="s">
        <v>475</v>
      </c>
      <c r="C463" s="2" t="s">
        <v>6</v>
      </c>
      <c r="D463" s="2" t="s">
        <v>6</v>
      </c>
      <c r="E463" s="2" t="s">
        <v>6</v>
      </c>
      <c r="F463" s="2" t="s">
        <v>6</v>
      </c>
      <c r="G463" s="24" t="s">
        <v>6</v>
      </c>
      <c r="H463" s="2"/>
      <c r="I463" s="2"/>
      <c r="J463" s="2"/>
      <c r="K463" s="2"/>
    </row>
    <row r="464" spans="1:11">
      <c r="A464" s="2"/>
      <c r="B464" s="2" t="s">
        <v>476</v>
      </c>
      <c r="C464" s="2" t="s">
        <v>6</v>
      </c>
      <c r="D464" s="2" t="s">
        <v>6</v>
      </c>
      <c r="E464" s="2" t="s">
        <v>6</v>
      </c>
      <c r="F464" s="2" t="s">
        <v>6</v>
      </c>
      <c r="G464" s="24" t="s">
        <v>6</v>
      </c>
      <c r="H464" s="2"/>
      <c r="I464" s="2"/>
      <c r="J464" s="2"/>
      <c r="K464" s="2"/>
    </row>
    <row r="465" spans="1:11">
      <c r="A465" s="2"/>
      <c r="B465" s="2" t="s">
        <v>477</v>
      </c>
      <c r="C465" s="2" t="s">
        <v>6</v>
      </c>
      <c r="D465" s="2" t="s">
        <v>6</v>
      </c>
      <c r="E465" s="2" t="s">
        <v>6</v>
      </c>
      <c r="F465" s="2" t="s">
        <v>6</v>
      </c>
      <c r="G465" s="24" t="s">
        <v>6</v>
      </c>
      <c r="H465" s="2"/>
      <c r="I465" s="2"/>
      <c r="J465" s="2"/>
      <c r="K465" s="2"/>
    </row>
    <row r="466" spans="1:11">
      <c r="A466" s="2"/>
      <c r="B466" s="2" t="s">
        <v>478</v>
      </c>
      <c r="C466" s="2" t="s">
        <v>6</v>
      </c>
      <c r="D466" s="2" t="s">
        <v>6</v>
      </c>
      <c r="E466" s="2" t="s">
        <v>6</v>
      </c>
      <c r="F466" s="2" t="s">
        <v>6</v>
      </c>
      <c r="G466" s="24" t="s">
        <v>6</v>
      </c>
      <c r="H466" s="2"/>
      <c r="I466" s="2"/>
      <c r="J466" s="2"/>
      <c r="K466" s="2"/>
    </row>
    <row r="467" spans="1:11">
      <c r="A467" s="2"/>
      <c r="B467" s="2" t="s">
        <v>479</v>
      </c>
      <c r="C467" s="2" t="s">
        <v>6</v>
      </c>
      <c r="D467" s="2" t="s">
        <v>6</v>
      </c>
      <c r="E467" s="2" t="s">
        <v>6</v>
      </c>
      <c r="F467" s="2" t="s">
        <v>6</v>
      </c>
      <c r="G467" s="24" t="s">
        <v>6</v>
      </c>
      <c r="H467" s="2"/>
      <c r="I467" s="2"/>
      <c r="J467" s="2"/>
      <c r="K467" s="2"/>
    </row>
    <row r="468" spans="1:11">
      <c r="A468" s="2"/>
      <c r="B468" s="2" t="s">
        <v>480</v>
      </c>
      <c r="C468" s="2" t="s">
        <v>6</v>
      </c>
      <c r="D468" s="2" t="s">
        <v>6</v>
      </c>
      <c r="E468" s="2" t="s">
        <v>6</v>
      </c>
      <c r="F468" s="2" t="s">
        <v>6</v>
      </c>
      <c r="G468" s="24" t="s">
        <v>6</v>
      </c>
      <c r="H468" s="2"/>
      <c r="I468" s="2"/>
      <c r="J468" s="2"/>
      <c r="K468" s="2"/>
    </row>
    <row r="469" spans="1:11">
      <c r="A469" s="2"/>
      <c r="B469" s="2" t="s">
        <v>481</v>
      </c>
      <c r="C469" s="2" t="s">
        <v>6</v>
      </c>
      <c r="D469" s="2" t="s">
        <v>6</v>
      </c>
      <c r="E469" s="2" t="s">
        <v>6</v>
      </c>
      <c r="F469" s="2" t="s">
        <v>6</v>
      </c>
      <c r="G469" s="24" t="s">
        <v>6</v>
      </c>
      <c r="H469" s="2"/>
      <c r="I469" s="2"/>
      <c r="J469" s="2"/>
      <c r="K469" s="2"/>
    </row>
    <row r="470" spans="1:11">
      <c r="A470" s="2"/>
      <c r="B470" s="2" t="s">
        <v>482</v>
      </c>
      <c r="C470" s="2" t="s">
        <v>6</v>
      </c>
      <c r="D470" s="2" t="s">
        <v>6</v>
      </c>
      <c r="E470" s="2" t="s">
        <v>6</v>
      </c>
      <c r="F470" s="2" t="s">
        <v>6</v>
      </c>
      <c r="G470" s="24" t="s">
        <v>6</v>
      </c>
      <c r="H470" s="2"/>
      <c r="I470" s="2"/>
      <c r="J470" s="2"/>
      <c r="K470" s="2"/>
    </row>
    <row r="471" spans="1:11">
      <c r="A471" s="2"/>
      <c r="B471" s="2" t="s">
        <v>483</v>
      </c>
      <c r="C471" s="2" t="s">
        <v>6</v>
      </c>
      <c r="D471" s="2" t="s">
        <v>6</v>
      </c>
      <c r="E471" s="2" t="s">
        <v>6</v>
      </c>
      <c r="F471" s="2" t="s">
        <v>6</v>
      </c>
      <c r="G471" s="24" t="s">
        <v>6</v>
      </c>
      <c r="H471" s="2"/>
      <c r="I471" s="2"/>
      <c r="J471" s="2"/>
      <c r="K471" s="2"/>
    </row>
    <row r="472" spans="1:11">
      <c r="A472" s="2"/>
      <c r="B472" s="2" t="s">
        <v>484</v>
      </c>
      <c r="C472" s="2" t="s">
        <v>6</v>
      </c>
      <c r="D472" s="2" t="s">
        <v>6</v>
      </c>
      <c r="E472" s="2" t="s">
        <v>6</v>
      </c>
      <c r="F472" s="2" t="s">
        <v>6</v>
      </c>
      <c r="G472" s="24" t="s">
        <v>6</v>
      </c>
      <c r="H472" s="2"/>
      <c r="I472" s="2"/>
      <c r="J472" s="2"/>
      <c r="K472" s="2"/>
    </row>
    <row r="473" spans="1:11">
      <c r="A473" s="2"/>
      <c r="B473" s="2" t="s">
        <v>485</v>
      </c>
      <c r="C473" s="2" t="s">
        <v>6</v>
      </c>
      <c r="D473" s="2" t="s">
        <v>6</v>
      </c>
      <c r="E473" s="2" t="s">
        <v>6</v>
      </c>
      <c r="F473" s="2" t="s">
        <v>6</v>
      </c>
      <c r="G473" s="24" t="s">
        <v>6</v>
      </c>
      <c r="H473" s="2"/>
      <c r="I473" s="2"/>
      <c r="J473" s="2"/>
      <c r="K473" s="2"/>
    </row>
    <row r="474" spans="1:11">
      <c r="A474" s="2"/>
      <c r="B474" s="2" t="s">
        <v>486</v>
      </c>
      <c r="C474" s="2" t="s">
        <v>6</v>
      </c>
      <c r="D474" s="2" t="s">
        <v>6</v>
      </c>
      <c r="E474" s="2" t="s">
        <v>6</v>
      </c>
      <c r="F474" s="2" t="s">
        <v>6</v>
      </c>
      <c r="G474" s="24" t="s">
        <v>6</v>
      </c>
      <c r="H474" s="2"/>
      <c r="I474" s="2"/>
      <c r="J474" s="2"/>
      <c r="K474" s="2"/>
    </row>
    <row r="475" spans="1:11">
      <c r="A475" s="2"/>
      <c r="B475" s="2" t="s">
        <v>487</v>
      </c>
      <c r="C475" s="2" t="s">
        <v>6</v>
      </c>
      <c r="D475" s="2" t="s">
        <v>6</v>
      </c>
      <c r="E475" s="2" t="s">
        <v>6</v>
      </c>
      <c r="F475" s="2" t="s">
        <v>6</v>
      </c>
      <c r="G475" s="24" t="s">
        <v>6</v>
      </c>
      <c r="H475" s="2"/>
      <c r="I475" s="2"/>
      <c r="J475" s="2"/>
      <c r="K475" s="2"/>
    </row>
    <row r="476" spans="1:11">
      <c r="A476" s="2"/>
      <c r="B476" s="2" t="s">
        <v>488</v>
      </c>
      <c r="C476" s="2" t="s">
        <v>6</v>
      </c>
      <c r="D476" s="2" t="s">
        <v>6</v>
      </c>
      <c r="E476" s="2" t="s">
        <v>6</v>
      </c>
      <c r="F476" s="2" t="s">
        <v>6</v>
      </c>
      <c r="G476" s="24" t="s">
        <v>6</v>
      </c>
      <c r="H476" s="2"/>
      <c r="I476" s="2"/>
      <c r="J476" s="2"/>
      <c r="K476" s="2"/>
    </row>
    <row r="477" spans="1:11">
      <c r="A477" s="2"/>
      <c r="B477" s="2" t="s">
        <v>489</v>
      </c>
      <c r="C477" s="2" t="s">
        <v>6</v>
      </c>
      <c r="D477" s="2" t="s">
        <v>6</v>
      </c>
      <c r="E477" s="2" t="s">
        <v>6</v>
      </c>
      <c r="F477" s="2" t="s">
        <v>6</v>
      </c>
      <c r="G477" s="24" t="s">
        <v>6</v>
      </c>
      <c r="H477" s="2"/>
      <c r="I477" s="2"/>
      <c r="J477" s="2"/>
      <c r="K477" s="2"/>
    </row>
    <row r="478" spans="1:11">
      <c r="A478" s="2"/>
      <c r="B478" s="2" t="s">
        <v>490</v>
      </c>
      <c r="C478" s="2" t="s">
        <v>6</v>
      </c>
      <c r="D478" s="2" t="s">
        <v>6</v>
      </c>
      <c r="E478" s="2" t="s">
        <v>6</v>
      </c>
      <c r="F478" s="2" t="s">
        <v>6</v>
      </c>
      <c r="G478" s="24" t="s">
        <v>6</v>
      </c>
      <c r="H478" s="2"/>
      <c r="I478" s="2"/>
      <c r="J478" s="2"/>
      <c r="K478" s="2"/>
    </row>
    <row r="479" spans="1:11">
      <c r="A479" s="2"/>
      <c r="B479" s="2" t="s">
        <v>491</v>
      </c>
      <c r="C479" s="2" t="s">
        <v>6</v>
      </c>
      <c r="D479" s="2" t="s">
        <v>6</v>
      </c>
      <c r="E479" s="2" t="s">
        <v>6</v>
      </c>
      <c r="F479" s="2" t="s">
        <v>6</v>
      </c>
      <c r="G479" s="24" t="s">
        <v>6</v>
      </c>
      <c r="H479" s="2"/>
      <c r="I479" s="2"/>
      <c r="J479" s="2"/>
      <c r="K479" s="2"/>
    </row>
    <row r="480" spans="1:11">
      <c r="A480" s="2"/>
      <c r="B480" s="2" t="s">
        <v>492</v>
      </c>
      <c r="C480" s="2" t="s">
        <v>6</v>
      </c>
      <c r="D480" s="2" t="s">
        <v>6</v>
      </c>
      <c r="E480" s="2" t="s">
        <v>6</v>
      </c>
      <c r="F480" s="2" t="s">
        <v>6</v>
      </c>
      <c r="G480" s="24" t="s">
        <v>6</v>
      </c>
      <c r="H480" s="2"/>
      <c r="I480" s="2"/>
      <c r="J480" s="2"/>
      <c r="K480" s="2"/>
    </row>
    <row r="481" spans="1:11">
      <c r="A481" s="2"/>
      <c r="B481" s="2" t="s">
        <v>493</v>
      </c>
      <c r="C481" s="2" t="s">
        <v>6</v>
      </c>
      <c r="D481" s="2" t="s">
        <v>6</v>
      </c>
      <c r="E481" s="2" t="s">
        <v>6</v>
      </c>
      <c r="F481" s="2" t="s">
        <v>6</v>
      </c>
      <c r="G481" s="24" t="s">
        <v>6</v>
      </c>
      <c r="H481" s="2"/>
      <c r="I481" s="2"/>
      <c r="J481" s="2"/>
      <c r="K481" s="2"/>
    </row>
    <row r="482" spans="1:11">
      <c r="A482" s="2"/>
      <c r="B482" s="2" t="s">
        <v>494</v>
      </c>
      <c r="C482" s="2" t="s">
        <v>6</v>
      </c>
      <c r="D482" s="2" t="s">
        <v>6</v>
      </c>
      <c r="E482" s="2" t="s">
        <v>6</v>
      </c>
      <c r="F482" s="2" t="s">
        <v>6</v>
      </c>
      <c r="G482" s="24" t="s">
        <v>6</v>
      </c>
      <c r="H482" s="2"/>
      <c r="I482" s="2"/>
      <c r="J482" s="2"/>
      <c r="K482" s="2"/>
    </row>
    <row r="483" spans="1:11">
      <c r="A483" s="2"/>
      <c r="B483" s="2" t="s">
        <v>495</v>
      </c>
      <c r="C483" s="2" t="s">
        <v>6</v>
      </c>
      <c r="D483" s="2" t="s">
        <v>6</v>
      </c>
      <c r="E483" s="2" t="s">
        <v>6</v>
      </c>
      <c r="F483" s="2" t="s">
        <v>6</v>
      </c>
      <c r="G483" s="24" t="s">
        <v>6</v>
      </c>
      <c r="H483" s="2"/>
      <c r="I483" s="2"/>
      <c r="J483" s="2"/>
      <c r="K483" s="2"/>
    </row>
    <row r="484" spans="1:11">
      <c r="A484" s="2"/>
      <c r="B484" s="2" t="s">
        <v>496</v>
      </c>
      <c r="C484" s="2" t="s">
        <v>6</v>
      </c>
      <c r="D484" s="2" t="s">
        <v>6</v>
      </c>
      <c r="E484" s="2" t="s">
        <v>6</v>
      </c>
      <c r="F484" s="2" t="s">
        <v>6</v>
      </c>
      <c r="G484" s="24" t="s">
        <v>6</v>
      </c>
      <c r="H484" s="2"/>
      <c r="I484" s="2"/>
      <c r="J484" s="2"/>
      <c r="K484" s="2"/>
    </row>
    <row r="485" spans="1:11">
      <c r="A485" s="2"/>
      <c r="B485" s="2" t="s">
        <v>497</v>
      </c>
      <c r="C485" s="2" t="s">
        <v>6</v>
      </c>
      <c r="D485" s="2" t="s">
        <v>6</v>
      </c>
      <c r="E485" s="2" t="s">
        <v>6</v>
      </c>
      <c r="F485" s="2" t="s">
        <v>6</v>
      </c>
      <c r="G485" s="24" t="s">
        <v>6</v>
      </c>
      <c r="H485" s="2"/>
      <c r="I485" s="2"/>
      <c r="J485" s="2"/>
      <c r="K485" s="2"/>
    </row>
    <row r="486" spans="1:11">
      <c r="A486" s="2"/>
      <c r="B486" s="2" t="s">
        <v>498</v>
      </c>
      <c r="C486" s="2" t="s">
        <v>6</v>
      </c>
      <c r="D486" s="2" t="s">
        <v>6</v>
      </c>
      <c r="E486" s="2" t="s">
        <v>6</v>
      </c>
      <c r="F486" s="2" t="s">
        <v>6</v>
      </c>
      <c r="G486" s="24" t="s">
        <v>6</v>
      </c>
      <c r="H486" s="2"/>
      <c r="I486" s="2"/>
      <c r="J486" s="2"/>
      <c r="K486" s="2"/>
    </row>
    <row r="487" spans="1:11">
      <c r="A487" s="2"/>
      <c r="B487" s="2" t="s">
        <v>499</v>
      </c>
      <c r="C487" s="2" t="s">
        <v>6</v>
      </c>
      <c r="D487" s="2" t="s">
        <v>6</v>
      </c>
      <c r="E487" s="2" t="s">
        <v>6</v>
      </c>
      <c r="F487" s="2" t="s">
        <v>6</v>
      </c>
      <c r="G487" s="24" t="s">
        <v>6</v>
      </c>
      <c r="H487" s="2"/>
      <c r="I487" s="2"/>
      <c r="J487" s="2"/>
      <c r="K487" s="2"/>
    </row>
    <row r="488" spans="1:11">
      <c r="A488" s="2"/>
      <c r="B488" s="2" t="s">
        <v>500</v>
      </c>
      <c r="C488" s="2" t="s">
        <v>6</v>
      </c>
      <c r="D488" s="2" t="s">
        <v>6</v>
      </c>
      <c r="E488" s="2" t="s">
        <v>6</v>
      </c>
      <c r="F488" s="2" t="s">
        <v>6</v>
      </c>
      <c r="G488" s="24" t="s">
        <v>6</v>
      </c>
      <c r="H488" s="2"/>
      <c r="I488" s="2"/>
      <c r="J488" s="2"/>
      <c r="K488" s="2"/>
    </row>
    <row r="489" spans="1:11">
      <c r="A489" s="2"/>
      <c r="B489" s="2" t="s">
        <v>501</v>
      </c>
      <c r="C489" s="2" t="s">
        <v>6</v>
      </c>
      <c r="D489" s="2" t="s">
        <v>6</v>
      </c>
      <c r="E489" s="2" t="s">
        <v>6</v>
      </c>
      <c r="F489" s="2" t="s">
        <v>6</v>
      </c>
      <c r="G489" s="24" t="s">
        <v>6</v>
      </c>
      <c r="H489" s="2"/>
      <c r="I489" s="2"/>
      <c r="J489" s="2"/>
      <c r="K489" s="2"/>
    </row>
    <row r="490" spans="1:11">
      <c r="A490" s="2"/>
      <c r="B490" s="2" t="s">
        <v>502</v>
      </c>
      <c r="C490" s="2" t="s">
        <v>6</v>
      </c>
      <c r="D490" s="2" t="s">
        <v>6</v>
      </c>
      <c r="E490" s="2" t="s">
        <v>6</v>
      </c>
      <c r="F490" s="2" t="s">
        <v>6</v>
      </c>
      <c r="G490" s="24" t="s">
        <v>6</v>
      </c>
      <c r="H490" s="2"/>
      <c r="I490" s="2"/>
      <c r="J490" s="2"/>
      <c r="K490" s="2"/>
    </row>
    <row r="491" spans="1:11">
      <c r="A491" s="2"/>
      <c r="B491" s="2" t="s">
        <v>503</v>
      </c>
      <c r="C491" s="2" t="s">
        <v>6</v>
      </c>
      <c r="D491" s="2" t="s">
        <v>6</v>
      </c>
      <c r="E491" s="2" t="s">
        <v>6</v>
      </c>
      <c r="F491" s="2" t="s">
        <v>6</v>
      </c>
      <c r="G491" s="24" t="s">
        <v>6</v>
      </c>
      <c r="H491" s="2"/>
      <c r="I491" s="2"/>
      <c r="J491" s="2"/>
      <c r="K491" s="2"/>
    </row>
    <row r="492" spans="1:11">
      <c r="A492" s="2"/>
      <c r="B492" s="2" t="s">
        <v>504</v>
      </c>
      <c r="C492" s="2" t="s">
        <v>6</v>
      </c>
      <c r="D492" s="2" t="s">
        <v>6</v>
      </c>
      <c r="E492" s="2" t="s">
        <v>6</v>
      </c>
      <c r="F492" s="2" t="s">
        <v>6</v>
      </c>
      <c r="G492" s="24" t="s">
        <v>6</v>
      </c>
      <c r="H492" s="2"/>
      <c r="I492" s="2"/>
      <c r="J492" s="2"/>
      <c r="K492" s="2"/>
    </row>
    <row r="493" spans="1:11">
      <c r="A493" s="2"/>
      <c r="B493" s="2" t="s">
        <v>505</v>
      </c>
      <c r="C493" s="2" t="s">
        <v>6</v>
      </c>
      <c r="D493" s="2" t="s">
        <v>6</v>
      </c>
      <c r="E493" s="2" t="s">
        <v>6</v>
      </c>
      <c r="F493" s="2" t="s">
        <v>6</v>
      </c>
      <c r="G493" s="24" t="s">
        <v>6</v>
      </c>
      <c r="H493" s="2"/>
      <c r="I493" s="2"/>
      <c r="J493" s="2"/>
      <c r="K493" s="2"/>
    </row>
    <row r="494" spans="1:11">
      <c r="A494" s="2"/>
      <c r="B494" s="2" t="s">
        <v>506</v>
      </c>
      <c r="C494" s="2" t="s">
        <v>6</v>
      </c>
      <c r="D494" s="2" t="s">
        <v>6</v>
      </c>
      <c r="E494" s="2" t="s">
        <v>6</v>
      </c>
      <c r="F494" s="2" t="s">
        <v>6</v>
      </c>
      <c r="G494" s="24" t="s">
        <v>6</v>
      </c>
      <c r="H494" s="2"/>
      <c r="I494" s="2"/>
      <c r="J494" s="2"/>
      <c r="K494" s="2"/>
    </row>
    <row r="495" spans="1:11">
      <c r="A495" s="2"/>
      <c r="B495" s="2" t="s">
        <v>507</v>
      </c>
      <c r="C495" s="2" t="s">
        <v>6</v>
      </c>
      <c r="D495" s="2" t="s">
        <v>6</v>
      </c>
      <c r="E495" s="2" t="s">
        <v>6</v>
      </c>
      <c r="F495" s="2" t="s">
        <v>6</v>
      </c>
      <c r="G495" s="24" t="s">
        <v>6</v>
      </c>
      <c r="H495" s="2"/>
      <c r="I495" s="2"/>
      <c r="J495" s="2"/>
      <c r="K495" s="2"/>
    </row>
    <row r="496" spans="1:11">
      <c r="A496" s="2"/>
      <c r="B496" s="2" t="s">
        <v>508</v>
      </c>
      <c r="C496" s="2" t="s">
        <v>6</v>
      </c>
      <c r="D496" s="2" t="s">
        <v>6</v>
      </c>
      <c r="E496" s="2" t="s">
        <v>6</v>
      </c>
      <c r="F496" s="2" t="s">
        <v>6</v>
      </c>
      <c r="G496" s="24" t="s">
        <v>6</v>
      </c>
      <c r="H496" s="2"/>
      <c r="I496" s="2"/>
      <c r="J496" s="2"/>
      <c r="K496" s="2"/>
    </row>
    <row r="497" spans="1:11">
      <c r="A497" s="2"/>
      <c r="B497" s="2" t="s">
        <v>509</v>
      </c>
      <c r="C497" s="2" t="s">
        <v>6</v>
      </c>
      <c r="D497" s="2" t="s">
        <v>6</v>
      </c>
      <c r="E497" s="2" t="s">
        <v>6</v>
      </c>
      <c r="F497" s="2" t="s">
        <v>6</v>
      </c>
      <c r="G497" s="24" t="s">
        <v>6</v>
      </c>
      <c r="H497" s="2"/>
      <c r="I497" s="2"/>
      <c r="J497" s="2"/>
      <c r="K497" s="2"/>
    </row>
    <row r="498" spans="1:11">
      <c r="A498" s="2"/>
      <c r="B498" s="2" t="s">
        <v>510</v>
      </c>
      <c r="C498" s="2" t="s">
        <v>6</v>
      </c>
      <c r="D498" s="2" t="s">
        <v>6</v>
      </c>
      <c r="E498" s="2" t="s">
        <v>6</v>
      </c>
      <c r="F498" s="2" t="s">
        <v>6</v>
      </c>
      <c r="G498" s="24" t="s">
        <v>6</v>
      </c>
      <c r="H498" s="2"/>
      <c r="I498" s="2"/>
      <c r="J498" s="2"/>
      <c r="K498" s="2"/>
    </row>
    <row r="499" spans="1:11">
      <c r="A499" s="2"/>
      <c r="B499" s="2" t="s">
        <v>511</v>
      </c>
      <c r="C499" s="2" t="s">
        <v>6</v>
      </c>
      <c r="D499" s="2" t="s">
        <v>6</v>
      </c>
      <c r="E499" s="2" t="s">
        <v>6</v>
      </c>
      <c r="F499" s="2" t="s">
        <v>6</v>
      </c>
      <c r="G499" s="24" t="s">
        <v>6</v>
      </c>
      <c r="H499" s="2"/>
      <c r="I499" s="2"/>
      <c r="J499" s="2"/>
      <c r="K499" s="2"/>
    </row>
    <row r="500" spans="1:11">
      <c r="A500" s="2"/>
      <c r="B500" s="2" t="s">
        <v>512</v>
      </c>
      <c r="C500" s="2" t="s">
        <v>6</v>
      </c>
      <c r="D500" s="2" t="s">
        <v>6</v>
      </c>
      <c r="E500" s="2" t="s">
        <v>6</v>
      </c>
      <c r="F500" s="2" t="s">
        <v>6</v>
      </c>
      <c r="G500" s="24" t="s">
        <v>6</v>
      </c>
      <c r="H500" s="2"/>
      <c r="I500" s="2"/>
      <c r="J500" s="2"/>
      <c r="K500" s="2"/>
    </row>
  </sheetData>
  <phoneticPr fontId="3"/>
  <dataValidations count="3">
    <dataValidation type="list" allowBlank="1" showInputMessage="1" showErrorMessage="1" sqref="D2:D1048576" xr:uid="{15B38229-58C5-4F8E-B4E0-A3925376FC7D}">
      <formula1>"メイド,アイドル"</formula1>
    </dataValidation>
    <dataValidation type="list" allowBlank="1" showInputMessage="1" showErrorMessage="1" sqref="E2:E1048576" xr:uid="{5BAA23E7-0BE9-40A2-9455-F9744E647F4E}">
      <formula1>"在庫,貸出中,洗濯中,廃棄"</formula1>
    </dataValidation>
    <dataValidation type="list" allowBlank="1" showInputMessage="1" showErrorMessage="1" sqref="C2:C1048576" xr:uid="{AACE3848-A8F5-49BC-99F2-5D3D1F463143}">
      <formula1>"服,小物1,小物2"</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00"/>
  <sheetViews>
    <sheetView showGridLines="0" zoomScale="85" zoomScaleNormal="85" workbookViewId="0">
      <selection activeCell="A3" sqref="A3"/>
    </sheetView>
  </sheetViews>
  <sheetFormatPr defaultRowHeight="15.6"/>
  <cols>
    <col min="1" max="1" width="17.33203125" style="21" bestFit="1" customWidth="1"/>
    <col min="2" max="2" width="122.77734375" bestFit="1" customWidth="1"/>
    <col min="3" max="3" width="26.6640625" bestFit="1" customWidth="1"/>
    <col min="4" max="4" width="24.6640625" bestFit="1" customWidth="1"/>
    <col min="5" max="5" width="21.88671875" bestFit="1" customWidth="1"/>
    <col min="6" max="6" width="16.6640625" bestFit="1" customWidth="1"/>
    <col min="7" max="7" width="15.6640625" bestFit="1" customWidth="1"/>
    <col min="8" max="8" width="29" bestFit="1" customWidth="1"/>
    <col min="9" max="9" width="10.77734375" bestFit="1" customWidth="1"/>
  </cols>
  <sheetData>
    <row r="1" spans="1:10" ht="28.8">
      <c r="A1" s="1" t="s">
        <v>7</v>
      </c>
      <c r="B1" s="9" t="s">
        <v>518</v>
      </c>
      <c r="C1" s="9" t="s">
        <v>520</v>
      </c>
      <c r="D1" s="9" t="s">
        <v>519</v>
      </c>
      <c r="E1" s="9" t="s">
        <v>523</v>
      </c>
      <c r="F1" s="9" t="s">
        <v>522</v>
      </c>
      <c r="G1" s="1" t="s">
        <v>3</v>
      </c>
      <c r="H1" s="1" t="s">
        <v>8</v>
      </c>
      <c r="I1" s="1" t="s">
        <v>5</v>
      </c>
    </row>
    <row r="2" spans="1:10">
      <c r="A2" s="28" t="s">
        <v>1164</v>
      </c>
      <c r="B2" t="str">
        <f t="array" ref="B2">IF(TRIM(A2)="","",
_xlfn.TEXTJOIN(" , ",TRUE,
IF((個体台帳!$A$2:$A$1000=TRIM(A2))*(個体台帳!$C$2:$C$1000="服"),
個体台帳!$B$2:$B$1000,
"")))</f>
        <v>ITM-0001 , ITM-0002 , ITM-0003 , ITM-0004 , ITM-0005 , ITM-0006 , ITM-0007 , ITM-0008 , ITM-0009 , ITM-0010 , ITM-0011 , ITM-0012</v>
      </c>
      <c r="C2" t="str">
        <f t="array" ref="C2">IF(TRIM(A2)="","",
_xlfn.TEXTJOIN(" , ",TRUE,
IF((個体台帳!$A$2:$A$1000=TRIM(A2))*(個体台帳!$C$2:$C$1000="小物1"),
個体台帳!$B$2:$B$1000,
"")))</f>
        <v/>
      </c>
      <c r="D2" t="str">
        <f t="array" ref="D2">IF(TRIM(A2)="","",
_xlfn.TEXTJOIN(" , ",TRUE,
IF((個体台帳!$A$2:$A$1000=TRIM(A2))*(個体台帳!$C$2:$C$1000="小物2"),
個体台帳!$B$2:$B$1000,
"")))</f>
        <v/>
      </c>
      <c r="E2" s="8" t="str">
        <f t="array" ref="E2">IF($A2="","",
INDEX(個体台帳!$D$2:$D$1000,
MATCH(1,
(個体台帳!$A$2:$A$1000=$A2)*
(個体台帳!$C$2:$C$1000="服"),
0)))</f>
        <v>メイド</v>
      </c>
      <c r="F2" t="str">
        <f t="array" ref="F2">IF($A2="","",
IF(COUNTIFS(貸出記録!$B:$B,$A2,貸出記録!$E:$E,"")&gt;0,
"貸出中","在庫"))</f>
        <v>在庫</v>
      </c>
      <c r="H2" t="s">
        <v>6</v>
      </c>
      <c r="I2" t="s">
        <v>6</v>
      </c>
      <c r="J2" s="8"/>
    </row>
    <row r="3" spans="1:10">
      <c r="B3" t="str">
        <f t="array" ref="B3">IF(TRIM(A3)="","",
_xlfn.TEXTJOIN(" , ",TRUE,
IF((個体台帳!$A$2:$A$1000=TRIM(A3))*(個体台帳!$C$2:$C$1000="服"),
個体台帳!$B$2:$B$1000,
"")))</f>
        <v/>
      </c>
      <c r="C3" t="str">
        <f t="array" ref="C3">IF(TRIM(A3)="","",
_xlfn.TEXTJOIN(" , ",TRUE,
IF((個体台帳!$A$2:$A$1000=TRIM(A3))*(個体台帳!$C$2:$C$1000="小物1"),
個体台帳!$B$2:$B$1000,
"")))</f>
        <v/>
      </c>
      <c r="D3" t="str">
        <f t="array" ref="D3">IF(TRIM(A3)="","",
_xlfn.TEXTJOIN(" , ",TRUE,
IF((個体台帳!$A$2:$A$1000=TRIM(A3))*(個体台帳!$C$2:$C$1000="小物2"),
個体台帳!$B$2:$B$1000,
"")))</f>
        <v/>
      </c>
      <c r="E3" s="8" t="str">
        <f t="array" ref="E3">IF($A3="","",
INDEX(個体台帳!$D$2:$D$1000,
MATCH(1,
(個体台帳!$A$2:$A$1000=$A3)*
(個体台帳!$C$2:$C$1000="服"),
0)))</f>
        <v/>
      </c>
      <c r="F3" t="str">
        <f t="array" ref="F3">IF($A3="","",
IF(COUNTIFS(貸出記録!$B:$B,$A3,貸出記録!$E:$E,"")&gt;0,
"貸出中","在庫"))</f>
        <v/>
      </c>
      <c r="G3" t="s">
        <v>6</v>
      </c>
      <c r="H3" t="s">
        <v>6</v>
      </c>
      <c r="I3" t="s">
        <v>6</v>
      </c>
    </row>
    <row r="4" spans="1:10">
      <c r="A4" s="21" t="s">
        <v>6</v>
      </c>
      <c r="B4" t="str">
        <f t="array" ref="B4">IF(TRIM(A4)="","",
_xlfn.TEXTJOIN(" , ",TRUE,
IF((個体台帳!$A$2:$A$1000=TRIM(A4))*(個体台帳!$C$2:$C$1000="服"),
個体台帳!$B$2:$B$1000,
"")))</f>
        <v/>
      </c>
      <c r="C4" t="str">
        <f t="array" ref="C4">IF(TRIM(A4)="","",
_xlfn.TEXTJOIN(" , ",TRUE,
IF((個体台帳!$A$2:$A$1000=TRIM(A4))*(個体台帳!$C$2:$C$1000="小物1"),
個体台帳!$B$2:$B$1000,
"")))</f>
        <v/>
      </c>
      <c r="D4" t="str">
        <f t="array" ref="D4">IF(TRIM(A4)="","",
_xlfn.TEXTJOIN(" , ",TRUE,
IF((個体台帳!$A$2:$A$1000=TRIM(A4))*(個体台帳!$C$2:$C$1000="小物2"),
個体台帳!$B$2:$B$1000,
"")))</f>
        <v/>
      </c>
      <c r="E4" s="8" t="str">
        <f t="array" ref="E4">IF($A4="","",
INDEX(個体台帳!$D$2:$D$1000,
MATCH(1,
(個体台帳!$A$2:$A$1000=$A4)*
(個体台帳!$C$2:$C$1000="服"),
0)))</f>
        <v/>
      </c>
      <c r="F4" t="str">
        <f t="array" ref="F4">IF($A4="","",
IF(COUNTIFS(貸出記録!$B:$B,$A4,貸出記録!$E:$E,"")&gt;0,
"貸出中","在庫"))</f>
        <v/>
      </c>
      <c r="G4" t="s">
        <v>6</v>
      </c>
      <c r="H4" t="s">
        <v>6</v>
      </c>
      <c r="I4" t="s">
        <v>6</v>
      </c>
    </row>
    <row r="5" spans="1:10">
      <c r="A5" s="21" t="s">
        <v>6</v>
      </c>
      <c r="B5" t="str">
        <f t="array" ref="B5">IF(TRIM(A5)="","",
_xlfn.TEXTJOIN(" , ",TRUE,
IF((個体台帳!$A$2:$A$1000=TRIM(A5))*(個体台帳!$C$2:$C$1000="服"),
個体台帳!$B$2:$B$1000,
"")))</f>
        <v/>
      </c>
      <c r="C5" t="str">
        <f t="array" ref="C5">IF(TRIM(A5)="","",
_xlfn.TEXTJOIN(" , ",TRUE,
IF((個体台帳!$A$2:$A$1000=TRIM(A5))*(個体台帳!$C$2:$C$1000="小物1"),
個体台帳!$B$2:$B$1000,
"")))</f>
        <v/>
      </c>
      <c r="D5" t="str">
        <f t="array" ref="D5">IF(TRIM(A5)="","",
_xlfn.TEXTJOIN(" , ",TRUE,
IF((個体台帳!$A$2:$A$1000=TRIM(A5))*(個体台帳!$C$2:$C$1000="小物2"),
個体台帳!$B$2:$B$1000,
"")))</f>
        <v/>
      </c>
      <c r="E5" s="8" t="str">
        <f t="array" ref="E5">IF($A5="","",
INDEX(個体台帳!$D$2:$D$1000,
MATCH(1,
(個体台帳!$A$2:$A$1000=$A5)*
(個体台帳!$C$2:$C$1000="服"),
0)))</f>
        <v/>
      </c>
      <c r="F5" t="str">
        <f t="array" ref="F5">IF($A5="","",
IF(COUNTIFS(貸出記録!$B:$B,$A5,貸出記録!$E:$E,"")&gt;0,
"貸出中","在庫"))</f>
        <v/>
      </c>
      <c r="G5" t="s">
        <v>6</v>
      </c>
      <c r="H5" t="s">
        <v>6</v>
      </c>
      <c r="I5" t="s">
        <v>6</v>
      </c>
    </row>
    <row r="6" spans="1:10">
      <c r="A6" s="21" t="s">
        <v>6</v>
      </c>
      <c r="B6" t="str">
        <f t="array" ref="B6">IF(TRIM(A6)="","",
_xlfn.TEXTJOIN(" , ",TRUE,
IF((個体台帳!$A$2:$A$1000=TRIM(A6))*(個体台帳!$C$2:$C$1000="服"),
個体台帳!$B$2:$B$1000,
"")))</f>
        <v/>
      </c>
      <c r="C6" t="str">
        <f t="array" ref="C6">IF(TRIM(A6)="","",
_xlfn.TEXTJOIN(" , ",TRUE,
IF((個体台帳!$A$2:$A$1000=TRIM(A6))*(個体台帳!$C$2:$C$1000="小物1"),
個体台帳!$B$2:$B$1000,
"")))</f>
        <v/>
      </c>
      <c r="D6" t="str">
        <f t="array" ref="D6">IF(TRIM(A6)="","",
_xlfn.TEXTJOIN(" , ",TRUE,
IF((個体台帳!$A$2:$A$1000=TRIM(A6))*(個体台帳!$C$2:$C$1000="小物2"),
個体台帳!$B$2:$B$1000,
"")))</f>
        <v/>
      </c>
      <c r="E6" s="8" t="str">
        <f t="array" ref="E6">IF($A6="","",
INDEX(個体台帳!$D$2:$D$1000,
MATCH(1,
(個体台帳!$A$2:$A$1000=$A6)*
(個体台帳!$C$2:$C$1000="服"),
0)))</f>
        <v/>
      </c>
      <c r="F6" t="str">
        <f t="array" ref="F6">IF($A6="","",
IF(COUNTIFS(貸出記録!$B:$B,$A6,貸出記録!$E:$E,"")&gt;0,
"貸出中","在庫"))</f>
        <v/>
      </c>
      <c r="G6" t="s">
        <v>6</v>
      </c>
      <c r="H6" t="s">
        <v>6</v>
      </c>
      <c r="I6" t="s">
        <v>6</v>
      </c>
    </row>
    <row r="7" spans="1:10">
      <c r="A7" s="21" t="s">
        <v>6</v>
      </c>
      <c r="B7" t="str">
        <f t="array" ref="B7">IF(TRIM(A7)="","",
_xlfn.TEXTJOIN(" , ",TRUE,
IF((個体台帳!$A$2:$A$1000=TRIM(A7))*(個体台帳!$C$2:$C$1000="服"),
個体台帳!$B$2:$B$1000,
"")))</f>
        <v/>
      </c>
      <c r="C7" t="str">
        <f t="array" ref="C7">IF(TRIM(A7)="","",
_xlfn.TEXTJOIN(" , ",TRUE,
IF((個体台帳!$A$2:$A$1000=TRIM(A7))*(個体台帳!$C$2:$C$1000="小物1"),
個体台帳!$B$2:$B$1000,
"")))</f>
        <v/>
      </c>
      <c r="D7" t="str">
        <f t="array" ref="D7">IF(TRIM(A7)="","",
_xlfn.TEXTJOIN(" , ",TRUE,
IF((個体台帳!$A$2:$A$1000=TRIM(A7))*(個体台帳!$C$2:$C$1000="小物2"),
個体台帳!$B$2:$B$1000,
"")))</f>
        <v/>
      </c>
      <c r="E7" s="8" t="str">
        <f t="array" ref="E7">IF($A7="","",
INDEX(個体台帳!$D$2:$D$1000,
MATCH(1,
(個体台帳!$A$2:$A$1000=$A7)*
(個体台帳!$C$2:$C$1000="服"),
0)))</f>
        <v/>
      </c>
      <c r="F7" t="str">
        <f t="array" ref="F7">IF($A7="","",
IF(COUNTIFS(貸出記録!$B:$B,$A7,貸出記録!$E:$E,"")&gt;0,
"貸出中","在庫"))</f>
        <v/>
      </c>
      <c r="G7" t="s">
        <v>6</v>
      </c>
      <c r="H7" t="s">
        <v>6</v>
      </c>
      <c r="I7" t="s">
        <v>6</v>
      </c>
    </row>
    <row r="8" spans="1:10">
      <c r="A8" s="21" t="s">
        <v>6</v>
      </c>
      <c r="B8" t="str">
        <f t="array" ref="B8">IF(TRIM(A8)="","",
_xlfn.TEXTJOIN(" , ",TRUE,
IF((個体台帳!$A$2:$A$1000=TRIM(A8))*(個体台帳!$C$2:$C$1000="服"),
個体台帳!$B$2:$B$1000,
"")))</f>
        <v/>
      </c>
      <c r="C8" t="str">
        <f t="array" ref="C8">IF(TRIM(A8)="","",
_xlfn.TEXTJOIN(" , ",TRUE,
IF((個体台帳!$A$2:$A$1000=TRIM(A8))*(個体台帳!$C$2:$C$1000="小物1"),
個体台帳!$B$2:$B$1000,
"")))</f>
        <v/>
      </c>
      <c r="D8" t="str">
        <f t="array" ref="D8">IF(TRIM(A8)="","",
_xlfn.TEXTJOIN(" , ",TRUE,
IF((個体台帳!$A$2:$A$1000=TRIM(A8))*(個体台帳!$C$2:$C$1000="小物2"),
個体台帳!$B$2:$B$1000,
"")))</f>
        <v/>
      </c>
      <c r="E8" s="8" t="str">
        <f t="array" ref="E8">IF($A8="","",
INDEX(個体台帳!$D$2:$D$1000,
MATCH(1,
(個体台帳!$A$2:$A$1000=$A8)*
(個体台帳!$C$2:$C$1000="服"),
0)))</f>
        <v/>
      </c>
      <c r="F8" t="str">
        <f t="array" ref="F8">IF($A8="","",
IF(COUNTIFS(貸出記録!$B:$B,$A8,貸出記録!$E:$E,"")&gt;0,
"貸出中","在庫"))</f>
        <v/>
      </c>
      <c r="G8" t="s">
        <v>6</v>
      </c>
      <c r="H8" t="s">
        <v>6</v>
      </c>
      <c r="I8" t="s">
        <v>6</v>
      </c>
    </row>
    <row r="9" spans="1:10">
      <c r="A9" s="21" t="s">
        <v>6</v>
      </c>
      <c r="B9" t="str">
        <f t="array" ref="B9">IF(TRIM(A9)="","",
_xlfn.TEXTJOIN(" , ",TRUE,
IF((個体台帳!$A$2:$A$1000=TRIM(A9))*(個体台帳!$C$2:$C$1000="服"),
個体台帳!$B$2:$B$1000,
"")))</f>
        <v/>
      </c>
      <c r="C9" t="str">
        <f t="array" ref="C9">IF(TRIM(A9)="","",
_xlfn.TEXTJOIN(" , ",TRUE,
IF((個体台帳!$A$2:$A$1000=TRIM(A9))*(個体台帳!$C$2:$C$1000="小物1"),
個体台帳!$B$2:$B$1000,
"")))</f>
        <v/>
      </c>
      <c r="D9" t="str">
        <f t="array" ref="D9">IF(TRIM(A9)="","",
_xlfn.TEXTJOIN(" , ",TRUE,
IF((個体台帳!$A$2:$A$1000=TRIM(A9))*(個体台帳!$C$2:$C$1000="小物2"),
個体台帳!$B$2:$B$1000,
"")))</f>
        <v/>
      </c>
      <c r="E9" s="8" t="str">
        <f t="array" ref="E9">IF($A9="","",
INDEX(個体台帳!$D$2:$D$1000,
MATCH(1,
(個体台帳!$A$2:$A$1000=$A9)*
(個体台帳!$C$2:$C$1000="服"),
0)))</f>
        <v/>
      </c>
      <c r="F9" t="str">
        <f t="array" ref="F9">IF($A9="","",
IF(COUNTIFS(貸出記録!$B:$B,$A9,貸出記録!$E:$E,"")&gt;0,
"貸出中","在庫"))</f>
        <v/>
      </c>
      <c r="G9" t="s">
        <v>6</v>
      </c>
      <c r="H9" t="s">
        <v>6</v>
      </c>
      <c r="I9" t="s">
        <v>6</v>
      </c>
    </row>
    <row r="10" spans="1:10">
      <c r="A10" s="21" t="s">
        <v>6</v>
      </c>
      <c r="B10" t="str">
        <f t="array" ref="B10">IF(TRIM(A10)="","",
_xlfn.TEXTJOIN(" , ",TRUE,
IF((個体台帳!$A$2:$A$1000=TRIM(A10))*(個体台帳!$C$2:$C$1000="服"),
個体台帳!$B$2:$B$1000,
"")))</f>
        <v/>
      </c>
      <c r="C10" t="str">
        <f t="array" ref="C10">IF(TRIM(A10)="","",
_xlfn.TEXTJOIN(" , ",TRUE,
IF((個体台帳!$A$2:$A$1000=TRIM(A10))*(個体台帳!$C$2:$C$1000="小物1"),
個体台帳!$B$2:$B$1000,
"")))</f>
        <v/>
      </c>
      <c r="D10" t="str">
        <f t="array" ref="D10">IF(TRIM(A10)="","",
_xlfn.TEXTJOIN(" , ",TRUE,
IF((個体台帳!$A$2:$A$1000=TRIM(A10))*(個体台帳!$C$2:$C$1000="小物2"),
個体台帳!$B$2:$B$1000,
"")))</f>
        <v/>
      </c>
      <c r="E10" s="8" t="str">
        <f t="array" ref="E10">IF($A10="","",
INDEX(個体台帳!$D$2:$D$1000,
MATCH(1,
(個体台帳!$A$2:$A$1000=$A10)*
(個体台帳!$C$2:$C$1000="服"),
0)))</f>
        <v/>
      </c>
      <c r="F10" t="str">
        <f t="array" ref="F10">IF($A10="","",
IF(COUNTIFS(貸出記録!$B:$B,$A10,貸出記録!$E:$E,"")&gt;0,
"貸出中","在庫"))</f>
        <v/>
      </c>
      <c r="G10" t="s">
        <v>6</v>
      </c>
      <c r="H10" t="s">
        <v>6</v>
      </c>
      <c r="I10" t="s">
        <v>6</v>
      </c>
    </row>
    <row r="11" spans="1:10">
      <c r="A11" s="21" t="s">
        <v>6</v>
      </c>
      <c r="B11" t="str">
        <f t="array" ref="B11">IF(TRIM(A11)="","",
_xlfn.TEXTJOIN(" , ",TRUE,
IF((個体台帳!$A$2:$A$1000=TRIM(A11))*(個体台帳!$C$2:$C$1000="服"),
個体台帳!$B$2:$B$1000,
"")))</f>
        <v/>
      </c>
      <c r="C11" t="str">
        <f t="array" ref="C11">IF(TRIM(A11)="","",
_xlfn.TEXTJOIN(" , ",TRUE,
IF((個体台帳!$A$2:$A$1000=TRIM(A11))*(個体台帳!$C$2:$C$1000="小物1"),
個体台帳!$B$2:$B$1000,
"")))</f>
        <v/>
      </c>
      <c r="D11" t="str">
        <f t="array" ref="D11">IF(TRIM(A11)="","",
_xlfn.TEXTJOIN(" , ",TRUE,
IF((個体台帳!$A$2:$A$1000=TRIM(A11))*(個体台帳!$C$2:$C$1000="小物2"),
個体台帳!$B$2:$B$1000,
"")))</f>
        <v/>
      </c>
      <c r="E11" s="8" t="str">
        <f t="array" ref="E11">IF($A11="","",
INDEX(個体台帳!$D$2:$D$1000,
MATCH(1,
(個体台帳!$A$2:$A$1000=$A11)*
(個体台帳!$C$2:$C$1000="服"),
0)))</f>
        <v/>
      </c>
      <c r="F11" t="str">
        <f t="array" ref="F11">IF($A11="","",
IF(COUNTIFS(貸出記録!$B:$B,$A11,貸出記録!$E:$E,"")&gt;0,
"貸出中","在庫"))</f>
        <v/>
      </c>
      <c r="G11" t="s">
        <v>6</v>
      </c>
      <c r="H11" t="s">
        <v>6</v>
      </c>
      <c r="I11" t="s">
        <v>6</v>
      </c>
    </row>
    <row r="12" spans="1:10">
      <c r="A12" s="21" t="s">
        <v>6</v>
      </c>
      <c r="B12" t="str">
        <f t="array" ref="B12">IF(TRIM(A12)="","",
_xlfn.TEXTJOIN(" , ",TRUE,
IF((個体台帳!$A$2:$A$1000=TRIM(A12))*(個体台帳!$C$2:$C$1000="服"),
個体台帳!$B$2:$B$1000,
"")))</f>
        <v/>
      </c>
      <c r="C12" t="str">
        <f t="array" ref="C12">IF(TRIM(A12)="","",
_xlfn.TEXTJOIN(" , ",TRUE,
IF((個体台帳!$A$2:$A$1000=TRIM(A12))*(個体台帳!$C$2:$C$1000="小物1"),
個体台帳!$B$2:$B$1000,
"")))</f>
        <v/>
      </c>
      <c r="D12" t="str">
        <f t="array" ref="D12">IF(TRIM(A12)="","",
_xlfn.TEXTJOIN(" , ",TRUE,
IF((個体台帳!$A$2:$A$1000=TRIM(A12))*(個体台帳!$C$2:$C$1000="小物2"),
個体台帳!$B$2:$B$1000,
"")))</f>
        <v/>
      </c>
      <c r="E12" s="8" t="str">
        <f t="array" ref="E12">IF($A12="","",
INDEX(個体台帳!$D$2:$D$1000,
MATCH(1,
(個体台帳!$A$2:$A$1000=$A12)*
(個体台帳!$C$2:$C$1000="服"),
0)))</f>
        <v/>
      </c>
      <c r="F12" t="str">
        <f t="array" ref="F12">IF($A12="","",
IF(COUNTIFS(貸出記録!$B:$B,$A12,貸出記録!$E:$E,"")&gt;0,
"貸出中","在庫"))</f>
        <v/>
      </c>
      <c r="G12" t="s">
        <v>6</v>
      </c>
      <c r="H12" t="s">
        <v>6</v>
      </c>
      <c r="I12" t="s">
        <v>6</v>
      </c>
    </row>
    <row r="13" spans="1:10">
      <c r="A13" s="21" t="s">
        <v>6</v>
      </c>
      <c r="B13" t="str">
        <f t="array" ref="B13">IF(TRIM(A13)="","",
_xlfn.TEXTJOIN(" , ",TRUE,
IF((個体台帳!$A$2:$A$1000=TRIM(A13))*(個体台帳!$C$2:$C$1000="服"),
個体台帳!$B$2:$B$1000,
"")))</f>
        <v/>
      </c>
      <c r="C13" t="str">
        <f t="array" ref="C13">IF(TRIM(A13)="","",
_xlfn.TEXTJOIN(" , ",TRUE,
IF((個体台帳!$A$2:$A$1000=TRIM(A13))*(個体台帳!$C$2:$C$1000="小物1"),
個体台帳!$B$2:$B$1000,
"")))</f>
        <v/>
      </c>
      <c r="D13" t="str">
        <f t="array" ref="D13">IF(TRIM(A13)="","",
_xlfn.TEXTJOIN(" , ",TRUE,
IF((個体台帳!$A$2:$A$1000=TRIM(A13))*(個体台帳!$C$2:$C$1000="小物2"),
個体台帳!$B$2:$B$1000,
"")))</f>
        <v/>
      </c>
      <c r="E13" s="8" t="str">
        <f t="array" ref="E13">IF($A13="","",
INDEX(個体台帳!$D$2:$D$1000,
MATCH(1,
(個体台帳!$A$2:$A$1000=$A13)*
(個体台帳!$C$2:$C$1000="服"),
0)))</f>
        <v/>
      </c>
      <c r="F13" t="str">
        <f t="array" ref="F13">IF($A13="","",
IF(COUNTIFS(貸出記録!$B:$B,$A13,貸出記録!$E:$E,"")&gt;0,
"貸出中","在庫"))</f>
        <v/>
      </c>
      <c r="G13" t="s">
        <v>6</v>
      </c>
      <c r="H13" t="s">
        <v>6</v>
      </c>
      <c r="I13" t="s">
        <v>6</v>
      </c>
    </row>
    <row r="14" spans="1:10">
      <c r="A14" s="21" t="s">
        <v>6</v>
      </c>
      <c r="B14" t="str">
        <f t="array" ref="B14">IF(TRIM(A14)="","",
_xlfn.TEXTJOIN(" , ",TRUE,
IF((個体台帳!$A$2:$A$1000=TRIM(A14))*(個体台帳!$C$2:$C$1000="服"),
個体台帳!$B$2:$B$1000,
"")))</f>
        <v/>
      </c>
      <c r="C14" t="str">
        <f t="array" ref="C14">IF(TRIM(A14)="","",
_xlfn.TEXTJOIN(" , ",TRUE,
IF((個体台帳!$A$2:$A$1000=TRIM(A14))*(個体台帳!$C$2:$C$1000="小物1"),
個体台帳!$B$2:$B$1000,
"")))</f>
        <v/>
      </c>
      <c r="D14" t="str">
        <f t="array" ref="D14">IF(TRIM(A14)="","",
_xlfn.TEXTJOIN(" , ",TRUE,
IF((個体台帳!$A$2:$A$1000=TRIM(A14))*(個体台帳!$C$2:$C$1000="小物2"),
個体台帳!$B$2:$B$1000,
"")))</f>
        <v/>
      </c>
      <c r="E14" s="8" t="str">
        <f t="array" ref="E14">IF($A14="","",
INDEX(個体台帳!$D$2:$D$1000,
MATCH(1,
(個体台帳!$A$2:$A$1000=$A14)*
(個体台帳!$C$2:$C$1000="服"),
0)))</f>
        <v/>
      </c>
      <c r="F14" t="str">
        <f t="array" ref="F14">IF($A14="","",
IF(COUNTIFS(貸出記録!$B:$B,$A14,貸出記録!$E:$E,"")&gt;0,
"貸出中","在庫"))</f>
        <v/>
      </c>
      <c r="G14" t="s">
        <v>6</v>
      </c>
      <c r="H14" t="s">
        <v>6</v>
      </c>
      <c r="I14" t="s">
        <v>6</v>
      </c>
    </row>
    <row r="15" spans="1:10">
      <c r="A15" s="21" t="s">
        <v>6</v>
      </c>
      <c r="B15" t="str">
        <f t="array" ref="B15">IF(TRIM(A15)="","",
_xlfn.TEXTJOIN(" , ",TRUE,
IF((個体台帳!$A$2:$A$1000=TRIM(A15))*(個体台帳!$C$2:$C$1000="服"),
個体台帳!$B$2:$B$1000,
"")))</f>
        <v/>
      </c>
      <c r="C15" t="str">
        <f t="array" ref="C15">IF(TRIM(A15)="","",
_xlfn.TEXTJOIN(" , ",TRUE,
IF((個体台帳!$A$2:$A$1000=TRIM(A15))*(個体台帳!$C$2:$C$1000="小物1"),
個体台帳!$B$2:$B$1000,
"")))</f>
        <v/>
      </c>
      <c r="D15" t="str">
        <f t="array" ref="D15">IF(TRIM(A15)="","",
_xlfn.TEXTJOIN(" , ",TRUE,
IF((個体台帳!$A$2:$A$1000=TRIM(A15))*(個体台帳!$C$2:$C$1000="小物2"),
個体台帳!$B$2:$B$1000,
"")))</f>
        <v/>
      </c>
      <c r="E15" s="8" t="str">
        <f t="array" ref="E15">IF($A15="","",
INDEX(個体台帳!$D$2:$D$1000,
MATCH(1,
(個体台帳!$A$2:$A$1000=$A15)*
(個体台帳!$C$2:$C$1000="服"),
0)))</f>
        <v/>
      </c>
      <c r="F15" t="str">
        <f t="array" ref="F15">IF($A15="","",
IF(COUNTIFS(貸出記録!$B:$B,$A15,貸出記録!$E:$E,"")&gt;0,
"貸出中","在庫"))</f>
        <v/>
      </c>
      <c r="G15" t="s">
        <v>6</v>
      </c>
      <c r="H15" t="s">
        <v>6</v>
      </c>
      <c r="I15" t="s">
        <v>6</v>
      </c>
    </row>
    <row r="16" spans="1:10">
      <c r="A16" s="21" t="s">
        <v>6</v>
      </c>
      <c r="B16" t="str">
        <f t="array" ref="B16">IF(TRIM(A16)="","",
_xlfn.TEXTJOIN(" , ",TRUE,
IF((個体台帳!$A$2:$A$1000=TRIM(A16))*(個体台帳!$C$2:$C$1000="服"),
個体台帳!$B$2:$B$1000,
"")))</f>
        <v/>
      </c>
      <c r="C16" t="str">
        <f t="array" ref="C16">IF(TRIM(A16)="","",
_xlfn.TEXTJOIN(" , ",TRUE,
IF((個体台帳!$A$2:$A$1000=TRIM(A16))*(個体台帳!$C$2:$C$1000="小物1"),
個体台帳!$B$2:$B$1000,
"")))</f>
        <v/>
      </c>
      <c r="D16" t="str">
        <f t="array" ref="D16">IF(TRIM(A16)="","",
_xlfn.TEXTJOIN(" , ",TRUE,
IF((個体台帳!$A$2:$A$1000=TRIM(A16))*(個体台帳!$C$2:$C$1000="小物2"),
個体台帳!$B$2:$B$1000,
"")))</f>
        <v/>
      </c>
      <c r="E16" s="8" t="str">
        <f t="array" ref="E16">IF($A16="","",
INDEX(個体台帳!$D$2:$D$1000,
MATCH(1,
(個体台帳!$A$2:$A$1000=$A16)*
(個体台帳!$C$2:$C$1000="服"),
0)))</f>
        <v/>
      </c>
      <c r="F16" t="str">
        <f t="array" ref="F16">IF($A16="","",
IF(COUNTIFS(貸出記録!$B:$B,$A16,貸出記録!$E:$E,"")&gt;0,
"貸出中","在庫"))</f>
        <v/>
      </c>
      <c r="G16" t="s">
        <v>6</v>
      </c>
      <c r="H16" t="s">
        <v>6</v>
      </c>
      <c r="I16" t="s">
        <v>6</v>
      </c>
    </row>
    <row r="17" spans="1:9">
      <c r="A17" s="21" t="s">
        <v>6</v>
      </c>
      <c r="B17" t="str">
        <f t="array" ref="B17">IF(TRIM(A17)="","",
_xlfn.TEXTJOIN(" , ",TRUE,
IF((個体台帳!$A$2:$A$1000=TRIM(A17))*(個体台帳!$C$2:$C$1000="服"),
個体台帳!$B$2:$B$1000,
"")))</f>
        <v/>
      </c>
      <c r="C17" t="str">
        <f t="array" ref="C17">IF(TRIM(A17)="","",
_xlfn.TEXTJOIN(" , ",TRUE,
IF((個体台帳!$A$2:$A$1000=TRIM(A17))*(個体台帳!$C$2:$C$1000="小物1"),
個体台帳!$B$2:$B$1000,
"")))</f>
        <v/>
      </c>
      <c r="D17" t="str">
        <f t="array" ref="D17">IF(TRIM(A17)="","",
_xlfn.TEXTJOIN(" , ",TRUE,
IF((個体台帳!$A$2:$A$1000=TRIM(A17))*(個体台帳!$C$2:$C$1000="小物2"),
個体台帳!$B$2:$B$1000,
"")))</f>
        <v/>
      </c>
      <c r="E17" s="8" t="str">
        <f t="array" ref="E17">IF($A17="","",
INDEX(個体台帳!$D$2:$D$1000,
MATCH(1,
(個体台帳!$A$2:$A$1000=$A17)*
(個体台帳!$C$2:$C$1000="服"),
0)))</f>
        <v/>
      </c>
      <c r="F17" t="str">
        <f t="array" ref="F17">IF($A17="","",
IF(COUNTIFS(貸出記録!$B:$B,$A17,貸出記録!$E:$E,"")&gt;0,
"貸出中","在庫"))</f>
        <v/>
      </c>
      <c r="G17" t="s">
        <v>6</v>
      </c>
      <c r="H17" t="s">
        <v>6</v>
      </c>
      <c r="I17" t="s">
        <v>6</v>
      </c>
    </row>
    <row r="18" spans="1:9">
      <c r="A18" s="21" t="s">
        <v>6</v>
      </c>
      <c r="B18" t="str">
        <f t="array" ref="B18">IF(TRIM(A18)="","",
_xlfn.TEXTJOIN(" , ",TRUE,
IF((個体台帳!$A$2:$A$1000=TRIM(A18))*(個体台帳!$C$2:$C$1000="服"),
個体台帳!$B$2:$B$1000,
"")))</f>
        <v/>
      </c>
      <c r="C18" t="str">
        <f t="array" ref="C18">IF(TRIM(A18)="","",
_xlfn.TEXTJOIN(" , ",TRUE,
IF((個体台帳!$A$2:$A$1000=TRIM(A18))*(個体台帳!$C$2:$C$1000="小物1"),
個体台帳!$B$2:$B$1000,
"")))</f>
        <v/>
      </c>
      <c r="D18" t="str">
        <f t="array" ref="D18">IF(TRIM(A18)="","",
_xlfn.TEXTJOIN(" , ",TRUE,
IF((個体台帳!$A$2:$A$1000=TRIM(A18))*(個体台帳!$C$2:$C$1000="小物2"),
個体台帳!$B$2:$B$1000,
"")))</f>
        <v/>
      </c>
      <c r="E18" s="8" t="str">
        <f t="array" ref="E18">IF($A18="","",
INDEX(個体台帳!$D$2:$D$1000,
MATCH(1,
(個体台帳!$A$2:$A$1000=$A18)*
(個体台帳!$C$2:$C$1000="服"),
0)))</f>
        <v/>
      </c>
      <c r="F18" t="str">
        <f t="array" ref="F18">IF($A18="","",
IF(COUNTIFS(貸出記録!$B:$B,$A18,貸出記録!$E:$E,"")&gt;0,
"貸出中","在庫"))</f>
        <v/>
      </c>
      <c r="G18" t="s">
        <v>6</v>
      </c>
      <c r="H18" t="s">
        <v>6</v>
      </c>
      <c r="I18" t="s">
        <v>6</v>
      </c>
    </row>
    <row r="19" spans="1:9">
      <c r="A19" s="21" t="s">
        <v>6</v>
      </c>
      <c r="B19" t="str">
        <f t="array" ref="B19">IF(TRIM(A19)="","",
_xlfn.TEXTJOIN(" , ",TRUE,
IF((個体台帳!$A$2:$A$1000=TRIM(A19))*(個体台帳!$C$2:$C$1000="服"),
個体台帳!$B$2:$B$1000,
"")))</f>
        <v/>
      </c>
      <c r="C19" t="str">
        <f t="array" ref="C19">IF(TRIM(A19)="","",
_xlfn.TEXTJOIN(" , ",TRUE,
IF((個体台帳!$A$2:$A$1000=TRIM(A19))*(個体台帳!$C$2:$C$1000="小物1"),
個体台帳!$B$2:$B$1000,
"")))</f>
        <v/>
      </c>
      <c r="D19" t="str">
        <f t="array" ref="D19">IF(TRIM(A19)="","",
_xlfn.TEXTJOIN(" , ",TRUE,
IF((個体台帳!$A$2:$A$1000=TRIM(A19))*(個体台帳!$C$2:$C$1000="小物2"),
個体台帳!$B$2:$B$1000,
"")))</f>
        <v/>
      </c>
      <c r="E19" s="8" t="str">
        <f t="array" ref="E19">IF($A19="","",
INDEX(個体台帳!$D$2:$D$1000,
MATCH(1,
(個体台帳!$A$2:$A$1000=$A19)*
(個体台帳!$C$2:$C$1000="服"),
0)))</f>
        <v/>
      </c>
      <c r="F19" t="str">
        <f t="array" ref="F19">IF($A19="","",
IF(COUNTIFS(貸出記録!$B:$B,$A19,貸出記録!$E:$E,"")&gt;0,
"貸出中","在庫"))</f>
        <v/>
      </c>
      <c r="G19" t="s">
        <v>6</v>
      </c>
      <c r="H19" t="s">
        <v>6</v>
      </c>
      <c r="I19" t="s">
        <v>6</v>
      </c>
    </row>
    <row r="20" spans="1:9">
      <c r="A20" s="21" t="s">
        <v>6</v>
      </c>
      <c r="B20" t="str">
        <f t="array" ref="B20">IF(TRIM(A20)="","",
_xlfn.TEXTJOIN(" , ",TRUE,
IF((個体台帳!$A$2:$A$1000=TRIM(A20))*(個体台帳!$C$2:$C$1000="服"),
個体台帳!$B$2:$B$1000,
"")))</f>
        <v/>
      </c>
      <c r="C20" t="str">
        <f t="array" ref="C20">IF(TRIM(A20)="","",
_xlfn.TEXTJOIN(" , ",TRUE,
IF((個体台帳!$A$2:$A$1000=TRIM(A20))*(個体台帳!$C$2:$C$1000="小物1"),
個体台帳!$B$2:$B$1000,
"")))</f>
        <v/>
      </c>
      <c r="D20" t="str">
        <f t="array" ref="D20">IF(TRIM(A20)="","",
_xlfn.TEXTJOIN(" , ",TRUE,
IF((個体台帳!$A$2:$A$1000=TRIM(A20))*(個体台帳!$C$2:$C$1000="小物2"),
個体台帳!$B$2:$B$1000,
"")))</f>
        <v/>
      </c>
      <c r="E20" s="8" t="str">
        <f t="array" ref="E20">IF($A20="","",
INDEX(個体台帳!$D$2:$D$1000,
MATCH(1,
(個体台帳!$A$2:$A$1000=$A20)*
(個体台帳!$C$2:$C$1000="服"),
0)))</f>
        <v/>
      </c>
      <c r="F20" t="str">
        <f t="array" ref="F20">IF($A20="","",
IF(COUNTIFS(貸出記録!$B:$B,$A20,貸出記録!$E:$E,"")&gt;0,
"貸出中","在庫"))</f>
        <v/>
      </c>
      <c r="G20" t="s">
        <v>6</v>
      </c>
      <c r="H20" t="s">
        <v>6</v>
      </c>
      <c r="I20" t="s">
        <v>6</v>
      </c>
    </row>
    <row r="21" spans="1:9">
      <c r="A21" s="21" t="s">
        <v>6</v>
      </c>
      <c r="B21" t="str">
        <f t="array" ref="B21">IF(TRIM(A21)="","",
_xlfn.TEXTJOIN(" , ",TRUE,
IF((個体台帳!$A$2:$A$1000=TRIM(A21))*(個体台帳!$C$2:$C$1000="服"),
個体台帳!$B$2:$B$1000,
"")))</f>
        <v/>
      </c>
      <c r="C21" t="str">
        <f t="array" ref="C21">IF(TRIM(A21)="","",
_xlfn.TEXTJOIN(" , ",TRUE,
IF((個体台帳!$A$2:$A$1000=TRIM(A21))*(個体台帳!$C$2:$C$1000="小物1"),
個体台帳!$B$2:$B$1000,
"")))</f>
        <v/>
      </c>
      <c r="D21" t="str">
        <f t="array" ref="D21">IF(TRIM(A21)="","",
_xlfn.TEXTJOIN(" , ",TRUE,
IF((個体台帳!$A$2:$A$1000=TRIM(A21))*(個体台帳!$C$2:$C$1000="小物2"),
個体台帳!$B$2:$B$1000,
"")))</f>
        <v/>
      </c>
      <c r="E21" s="8" t="str">
        <f t="array" ref="E21">IF($A21="","",
INDEX(個体台帳!$D$2:$D$1000,
MATCH(1,
(個体台帳!$A$2:$A$1000=$A21)*
(個体台帳!$C$2:$C$1000="服"),
0)))</f>
        <v/>
      </c>
      <c r="F21" t="str">
        <f t="array" ref="F21">IF($A21="","",
IF(COUNTIFS(貸出記録!$B:$B,$A21,貸出記録!$E:$E,"")&gt;0,
"貸出中","在庫"))</f>
        <v/>
      </c>
      <c r="G21" t="s">
        <v>6</v>
      </c>
      <c r="H21" t="s">
        <v>6</v>
      </c>
      <c r="I21" t="s">
        <v>6</v>
      </c>
    </row>
    <row r="22" spans="1:9">
      <c r="A22" s="21" t="s">
        <v>6</v>
      </c>
      <c r="B22" t="str">
        <f t="array" ref="B22">IF(TRIM(A22)="","",
_xlfn.TEXTJOIN(" , ",TRUE,
IF((個体台帳!$A$2:$A$1000=TRIM(A22))*(個体台帳!$C$2:$C$1000="服"),
個体台帳!$B$2:$B$1000,
"")))</f>
        <v/>
      </c>
      <c r="C22" t="str">
        <f t="array" ref="C22">IF(TRIM(A22)="","",
_xlfn.TEXTJOIN(" , ",TRUE,
IF((個体台帳!$A$2:$A$1000=TRIM(A22))*(個体台帳!$C$2:$C$1000="小物1"),
個体台帳!$B$2:$B$1000,
"")))</f>
        <v/>
      </c>
      <c r="D22" t="str">
        <f t="array" ref="D22">IF(TRIM(A22)="","",
_xlfn.TEXTJOIN(" , ",TRUE,
IF((個体台帳!$A$2:$A$1000=TRIM(A22))*(個体台帳!$C$2:$C$1000="小物2"),
個体台帳!$B$2:$B$1000,
"")))</f>
        <v/>
      </c>
      <c r="E22" s="8" t="str">
        <f t="array" ref="E22">IF($A22="","",
INDEX(個体台帳!$D$2:$D$1000,
MATCH(1,
(個体台帳!$A$2:$A$1000=$A22)*
(個体台帳!$C$2:$C$1000="服"),
0)))</f>
        <v/>
      </c>
      <c r="F22" t="str">
        <f t="array" ref="F22">IF($A22="","",
IF(COUNTIFS(貸出記録!$B:$B,$A22,貸出記録!$E:$E,"")&gt;0,
"貸出中","在庫"))</f>
        <v/>
      </c>
      <c r="G22" t="s">
        <v>6</v>
      </c>
      <c r="H22" t="s">
        <v>6</v>
      </c>
      <c r="I22" t="s">
        <v>6</v>
      </c>
    </row>
    <row r="23" spans="1:9">
      <c r="A23" s="21" t="s">
        <v>6</v>
      </c>
      <c r="B23" t="str">
        <f t="array" ref="B23">IF(TRIM(A23)="","",
_xlfn.TEXTJOIN(" , ",TRUE,
IF((個体台帳!$A$2:$A$1000=TRIM(A23))*(個体台帳!$C$2:$C$1000="服"),
個体台帳!$B$2:$B$1000,
"")))</f>
        <v/>
      </c>
      <c r="C23" t="str">
        <f t="array" ref="C23">IF(TRIM(A23)="","",
_xlfn.TEXTJOIN(" , ",TRUE,
IF((個体台帳!$A$2:$A$1000=TRIM(A23))*(個体台帳!$C$2:$C$1000="小物1"),
個体台帳!$B$2:$B$1000,
"")))</f>
        <v/>
      </c>
      <c r="D23" t="str">
        <f t="array" ref="D23">IF(TRIM(A23)="","",
_xlfn.TEXTJOIN(" , ",TRUE,
IF((個体台帳!$A$2:$A$1000=TRIM(A23))*(個体台帳!$C$2:$C$1000="小物2"),
個体台帳!$B$2:$B$1000,
"")))</f>
        <v/>
      </c>
      <c r="E23" s="8" t="str">
        <f t="array" ref="E23">IF($A23="","",
INDEX(個体台帳!$D$2:$D$1000,
MATCH(1,
(個体台帳!$A$2:$A$1000=$A23)*
(個体台帳!$C$2:$C$1000="服"),
0)))</f>
        <v/>
      </c>
      <c r="F23" t="str">
        <f t="array" ref="F23">IF($A23="","",
IF(COUNTIFS(貸出記録!$B:$B,$A23,貸出記録!$E:$E,"")&gt;0,
"貸出中","在庫"))</f>
        <v/>
      </c>
      <c r="G23" t="s">
        <v>6</v>
      </c>
      <c r="H23" t="s">
        <v>6</v>
      </c>
      <c r="I23" t="s">
        <v>6</v>
      </c>
    </row>
    <row r="24" spans="1:9">
      <c r="A24" s="21" t="s">
        <v>6</v>
      </c>
      <c r="B24" t="str">
        <f t="array" ref="B24">IF(TRIM(A24)="","",
_xlfn.TEXTJOIN(" , ",TRUE,
IF((個体台帳!$A$2:$A$1000=TRIM(A24))*(個体台帳!$C$2:$C$1000="服"),
個体台帳!$B$2:$B$1000,
"")))</f>
        <v/>
      </c>
      <c r="C24" t="str">
        <f t="array" ref="C24">IF(TRIM(A24)="","",
_xlfn.TEXTJOIN(" , ",TRUE,
IF((個体台帳!$A$2:$A$1000=TRIM(A24))*(個体台帳!$C$2:$C$1000="小物1"),
個体台帳!$B$2:$B$1000,
"")))</f>
        <v/>
      </c>
      <c r="D24" t="str">
        <f t="array" ref="D24">IF(TRIM(A24)="","",
_xlfn.TEXTJOIN(" , ",TRUE,
IF((個体台帳!$A$2:$A$1000=TRIM(A24))*(個体台帳!$C$2:$C$1000="小物2"),
個体台帳!$B$2:$B$1000,
"")))</f>
        <v/>
      </c>
      <c r="E24" s="8" t="str">
        <f t="array" ref="E24">IF($A24="","",
INDEX(個体台帳!$D$2:$D$1000,
MATCH(1,
(個体台帳!$A$2:$A$1000=$A24)*
(個体台帳!$C$2:$C$1000="服"),
0)))</f>
        <v/>
      </c>
      <c r="F24" t="str">
        <f t="array" ref="F24">IF($A24="","",
IF(COUNTIFS(貸出記録!$B:$B,$A24,貸出記録!$E:$E,"")&gt;0,
"貸出中","在庫"))</f>
        <v/>
      </c>
      <c r="G24" t="s">
        <v>6</v>
      </c>
      <c r="H24" t="s">
        <v>6</v>
      </c>
      <c r="I24" t="s">
        <v>6</v>
      </c>
    </row>
    <row r="25" spans="1:9">
      <c r="A25" s="21" t="s">
        <v>6</v>
      </c>
      <c r="B25" t="str">
        <f t="array" ref="B25">IF(TRIM(A25)="","",
_xlfn.TEXTJOIN(" , ",TRUE,
IF((個体台帳!$A$2:$A$1000=TRIM(A25))*(個体台帳!$C$2:$C$1000="服"),
個体台帳!$B$2:$B$1000,
"")))</f>
        <v/>
      </c>
      <c r="C25" t="str">
        <f t="array" ref="C25">IF(TRIM(A25)="","",
_xlfn.TEXTJOIN(" , ",TRUE,
IF((個体台帳!$A$2:$A$1000=TRIM(A25))*(個体台帳!$C$2:$C$1000="小物1"),
個体台帳!$B$2:$B$1000,
"")))</f>
        <v/>
      </c>
      <c r="D25" t="str">
        <f t="array" ref="D25">IF(TRIM(A25)="","",
_xlfn.TEXTJOIN(" , ",TRUE,
IF((個体台帳!$A$2:$A$1000=TRIM(A25))*(個体台帳!$C$2:$C$1000="小物2"),
個体台帳!$B$2:$B$1000,
"")))</f>
        <v/>
      </c>
      <c r="E25" s="8" t="str">
        <f t="array" ref="E25">IF($A25="","",
INDEX(個体台帳!$D$2:$D$1000,
MATCH(1,
(個体台帳!$A$2:$A$1000=$A25)*
(個体台帳!$C$2:$C$1000="服"),
0)))</f>
        <v/>
      </c>
      <c r="F25" t="str">
        <f t="array" ref="F25">IF($A25="","",
IF(COUNTIFS(貸出記録!$B:$B,$A25,貸出記録!$E:$E,"")&gt;0,
"貸出中","在庫"))</f>
        <v/>
      </c>
      <c r="G25" t="s">
        <v>6</v>
      </c>
      <c r="H25" t="s">
        <v>6</v>
      </c>
      <c r="I25" t="s">
        <v>6</v>
      </c>
    </row>
    <row r="26" spans="1:9">
      <c r="A26" s="21" t="s">
        <v>6</v>
      </c>
      <c r="B26" t="str">
        <f t="array" ref="B26">IF(TRIM(A26)="","",
_xlfn.TEXTJOIN(" , ",TRUE,
IF((個体台帳!$A$2:$A$1000=TRIM(A26))*(個体台帳!$C$2:$C$1000="服"),
個体台帳!$B$2:$B$1000,
"")))</f>
        <v/>
      </c>
      <c r="C26" t="str">
        <f t="array" ref="C26">IF(TRIM(A26)="","",
_xlfn.TEXTJOIN(" , ",TRUE,
IF((個体台帳!$A$2:$A$1000=TRIM(A26))*(個体台帳!$C$2:$C$1000="小物1"),
個体台帳!$B$2:$B$1000,
"")))</f>
        <v/>
      </c>
      <c r="D26" t="str">
        <f t="array" ref="D26">IF(TRIM(A26)="","",
_xlfn.TEXTJOIN(" , ",TRUE,
IF((個体台帳!$A$2:$A$1000=TRIM(A26))*(個体台帳!$C$2:$C$1000="小物2"),
個体台帳!$B$2:$B$1000,
"")))</f>
        <v/>
      </c>
      <c r="E26" s="8" t="str">
        <f t="array" ref="E26">IF($A26="","",
INDEX(個体台帳!$D$2:$D$1000,
MATCH(1,
(個体台帳!$A$2:$A$1000=$A26)*
(個体台帳!$C$2:$C$1000="服"),
0)))</f>
        <v/>
      </c>
      <c r="F26" t="str">
        <f t="array" ref="F26">IF($A26="","",
IF(COUNTIFS(貸出記録!$B:$B,$A26,貸出記録!$E:$E,"")&gt;0,
"貸出中","在庫"))</f>
        <v/>
      </c>
      <c r="G26" t="s">
        <v>6</v>
      </c>
      <c r="H26" t="s">
        <v>6</v>
      </c>
      <c r="I26" t="s">
        <v>6</v>
      </c>
    </row>
    <row r="27" spans="1:9">
      <c r="A27" s="21" t="s">
        <v>6</v>
      </c>
      <c r="B27" t="str">
        <f t="array" ref="B27">IF(TRIM(A27)="","",
_xlfn.TEXTJOIN(" , ",TRUE,
IF((個体台帳!$A$2:$A$1000=TRIM(A27))*(個体台帳!$C$2:$C$1000="服"),
個体台帳!$B$2:$B$1000,
"")))</f>
        <v/>
      </c>
      <c r="C27" t="str">
        <f t="array" ref="C27">IF(TRIM(A27)="","",
_xlfn.TEXTJOIN(" , ",TRUE,
IF((個体台帳!$A$2:$A$1000=TRIM(A27))*(個体台帳!$C$2:$C$1000="小物1"),
個体台帳!$B$2:$B$1000,
"")))</f>
        <v/>
      </c>
      <c r="D27" t="str">
        <f t="array" ref="D27">IF(TRIM(A27)="","",
_xlfn.TEXTJOIN(" , ",TRUE,
IF((個体台帳!$A$2:$A$1000=TRIM(A27))*(個体台帳!$C$2:$C$1000="小物2"),
個体台帳!$B$2:$B$1000,
"")))</f>
        <v/>
      </c>
      <c r="E27" s="8" t="str">
        <f t="array" ref="E27">IF($A27="","",
INDEX(個体台帳!$D$2:$D$1000,
MATCH(1,
(個体台帳!$A$2:$A$1000=$A27)*
(個体台帳!$C$2:$C$1000="服"),
0)))</f>
        <v/>
      </c>
      <c r="F27" t="str">
        <f t="array" ref="F27">IF($A27="","",
IF(COUNTIFS(貸出記録!$B:$B,$A27,貸出記録!$E:$E,"")&gt;0,
"貸出中","在庫"))</f>
        <v/>
      </c>
      <c r="G27" t="s">
        <v>6</v>
      </c>
      <c r="H27" t="s">
        <v>6</v>
      </c>
      <c r="I27" t="s">
        <v>6</v>
      </c>
    </row>
    <row r="28" spans="1:9">
      <c r="A28" s="21" t="s">
        <v>6</v>
      </c>
      <c r="B28" t="str">
        <f t="array" ref="B28">IF(TRIM(A28)="","",
_xlfn.TEXTJOIN(" , ",TRUE,
IF((個体台帳!$A$2:$A$1000=TRIM(A28))*(個体台帳!$C$2:$C$1000="服"),
個体台帳!$B$2:$B$1000,
"")))</f>
        <v/>
      </c>
      <c r="C28" t="str">
        <f t="array" ref="C28">IF(TRIM(A28)="","",
_xlfn.TEXTJOIN(" , ",TRUE,
IF((個体台帳!$A$2:$A$1000=TRIM(A28))*(個体台帳!$C$2:$C$1000="小物1"),
個体台帳!$B$2:$B$1000,
"")))</f>
        <v/>
      </c>
      <c r="D28" t="str">
        <f t="array" ref="D28">IF(TRIM(A28)="","",
_xlfn.TEXTJOIN(" , ",TRUE,
IF((個体台帳!$A$2:$A$1000=TRIM(A28))*(個体台帳!$C$2:$C$1000="小物2"),
個体台帳!$B$2:$B$1000,
"")))</f>
        <v/>
      </c>
      <c r="E28" s="8" t="str">
        <f t="array" ref="E28">IF($A28="","",
INDEX(個体台帳!$D$2:$D$1000,
MATCH(1,
(個体台帳!$A$2:$A$1000=$A28)*
(個体台帳!$C$2:$C$1000="服"),
0)))</f>
        <v/>
      </c>
      <c r="F28" t="str">
        <f t="array" ref="F28">IF($A28="","",
IF(COUNTIFS(貸出記録!$B:$B,$A28,貸出記録!$E:$E,"")&gt;0,
"貸出中","在庫"))</f>
        <v/>
      </c>
      <c r="G28" t="s">
        <v>6</v>
      </c>
      <c r="H28" t="s">
        <v>6</v>
      </c>
      <c r="I28" t="s">
        <v>6</v>
      </c>
    </row>
    <row r="29" spans="1:9">
      <c r="A29" s="21" t="s">
        <v>6</v>
      </c>
      <c r="B29" t="str">
        <f t="array" ref="B29">IF(TRIM(A29)="","",
_xlfn.TEXTJOIN(" , ",TRUE,
IF((個体台帳!$A$2:$A$1000=TRIM(A29))*(個体台帳!$C$2:$C$1000="服"),
個体台帳!$B$2:$B$1000,
"")))</f>
        <v/>
      </c>
      <c r="C29" t="str">
        <f t="array" ref="C29">IF(TRIM(A29)="","",
_xlfn.TEXTJOIN(" , ",TRUE,
IF((個体台帳!$A$2:$A$1000=TRIM(A29))*(個体台帳!$C$2:$C$1000="小物1"),
個体台帳!$B$2:$B$1000,
"")))</f>
        <v/>
      </c>
      <c r="D29" t="str">
        <f t="array" ref="D29">IF(TRIM(A29)="","",
_xlfn.TEXTJOIN(" , ",TRUE,
IF((個体台帳!$A$2:$A$1000=TRIM(A29))*(個体台帳!$C$2:$C$1000="小物2"),
個体台帳!$B$2:$B$1000,
"")))</f>
        <v/>
      </c>
      <c r="E29" s="8" t="str">
        <f t="array" ref="E29">IF($A29="","",
INDEX(個体台帳!$D$2:$D$1000,
MATCH(1,
(個体台帳!$A$2:$A$1000=$A29)*
(個体台帳!$C$2:$C$1000="服"),
0)))</f>
        <v/>
      </c>
      <c r="F29" t="str">
        <f t="array" ref="F29">IF($A29="","",
IF(COUNTIFS(貸出記録!$B:$B,$A29,貸出記録!$E:$E,"")&gt;0,
"貸出中","在庫"))</f>
        <v/>
      </c>
      <c r="G29" t="s">
        <v>6</v>
      </c>
      <c r="H29" t="s">
        <v>6</v>
      </c>
      <c r="I29" t="s">
        <v>6</v>
      </c>
    </row>
    <row r="30" spans="1:9">
      <c r="A30" s="21" t="s">
        <v>6</v>
      </c>
      <c r="B30" t="str">
        <f t="array" ref="B30">IF(TRIM(A30)="","",
_xlfn.TEXTJOIN(" , ",TRUE,
IF((個体台帳!$A$2:$A$1000=TRIM(A30))*(個体台帳!$C$2:$C$1000="服"),
個体台帳!$B$2:$B$1000,
"")))</f>
        <v/>
      </c>
      <c r="C30" t="str">
        <f t="array" ref="C30">IF(TRIM(A30)="","",
_xlfn.TEXTJOIN(" , ",TRUE,
IF((個体台帳!$A$2:$A$1000=TRIM(A30))*(個体台帳!$C$2:$C$1000="小物1"),
個体台帳!$B$2:$B$1000,
"")))</f>
        <v/>
      </c>
      <c r="D30" t="str">
        <f t="array" ref="D30">IF(TRIM(A30)="","",
_xlfn.TEXTJOIN(" , ",TRUE,
IF((個体台帳!$A$2:$A$1000=TRIM(A30))*(個体台帳!$C$2:$C$1000="小物2"),
個体台帳!$B$2:$B$1000,
"")))</f>
        <v/>
      </c>
      <c r="E30" s="8" t="str">
        <f t="array" ref="E30">IF($A30="","",
INDEX(個体台帳!$D$2:$D$1000,
MATCH(1,
(個体台帳!$A$2:$A$1000=$A30)*
(個体台帳!$C$2:$C$1000="服"),
0)))</f>
        <v/>
      </c>
      <c r="F30" t="str">
        <f t="array" ref="F30">IF($A30="","",
IF(COUNTIFS(貸出記録!$B:$B,$A30,貸出記録!$E:$E,"")&gt;0,
"貸出中","在庫"))</f>
        <v/>
      </c>
      <c r="G30" t="s">
        <v>6</v>
      </c>
      <c r="H30" t="s">
        <v>6</v>
      </c>
      <c r="I30" t="s">
        <v>6</v>
      </c>
    </row>
    <row r="31" spans="1:9">
      <c r="A31" s="21" t="s">
        <v>6</v>
      </c>
      <c r="B31" t="str">
        <f t="array" ref="B31">IF(TRIM(A31)="","",
_xlfn.TEXTJOIN(" , ",TRUE,
IF((個体台帳!$A$2:$A$1000=TRIM(A31))*(個体台帳!$C$2:$C$1000="服"),
個体台帳!$B$2:$B$1000,
"")))</f>
        <v/>
      </c>
      <c r="C31" t="str">
        <f t="array" ref="C31">IF(TRIM(A31)="","",
_xlfn.TEXTJOIN(" , ",TRUE,
IF((個体台帳!$A$2:$A$1000=TRIM(A31))*(個体台帳!$C$2:$C$1000="小物1"),
個体台帳!$B$2:$B$1000,
"")))</f>
        <v/>
      </c>
      <c r="D31" t="str">
        <f t="array" ref="D31">IF(TRIM(A31)="","",
_xlfn.TEXTJOIN(" , ",TRUE,
IF((個体台帳!$A$2:$A$1000=TRIM(A31))*(個体台帳!$C$2:$C$1000="小物2"),
個体台帳!$B$2:$B$1000,
"")))</f>
        <v/>
      </c>
      <c r="E31" s="8" t="str">
        <f t="array" ref="E31">IF($A31="","",
INDEX(個体台帳!$D$2:$D$1000,
MATCH(1,
(個体台帳!$A$2:$A$1000=$A31)*
(個体台帳!$C$2:$C$1000="服"),
0)))</f>
        <v/>
      </c>
      <c r="F31" t="str">
        <f t="array" ref="F31">IF($A31="","",
IF(COUNTIFS(貸出記録!$B:$B,$A31,貸出記録!$E:$E,"")&gt;0,
"貸出中","在庫"))</f>
        <v/>
      </c>
      <c r="G31" t="s">
        <v>6</v>
      </c>
      <c r="H31" t="s">
        <v>6</v>
      </c>
      <c r="I31" t="s">
        <v>6</v>
      </c>
    </row>
    <row r="32" spans="1:9">
      <c r="A32" s="21" t="s">
        <v>6</v>
      </c>
      <c r="B32" t="str">
        <f t="array" ref="B32">IF(TRIM(A32)="","",
_xlfn.TEXTJOIN(" , ",TRUE,
IF((個体台帳!$A$2:$A$1000=TRIM(A32))*(個体台帳!$C$2:$C$1000="服"),
個体台帳!$B$2:$B$1000,
"")))</f>
        <v/>
      </c>
      <c r="C32" t="str">
        <f t="array" ref="C32">IF(TRIM(A32)="","",
_xlfn.TEXTJOIN(" , ",TRUE,
IF((個体台帳!$A$2:$A$1000=TRIM(A32))*(個体台帳!$C$2:$C$1000="小物1"),
個体台帳!$B$2:$B$1000,
"")))</f>
        <v/>
      </c>
      <c r="D32" t="str">
        <f t="array" ref="D32">IF(TRIM(A32)="","",
_xlfn.TEXTJOIN(" , ",TRUE,
IF((個体台帳!$A$2:$A$1000=TRIM(A32))*(個体台帳!$C$2:$C$1000="小物2"),
個体台帳!$B$2:$B$1000,
"")))</f>
        <v/>
      </c>
      <c r="E32" s="8" t="str">
        <f t="array" ref="E32">IF($A32="","",
INDEX(個体台帳!$D$2:$D$1000,
MATCH(1,
(個体台帳!$A$2:$A$1000=$A32)*
(個体台帳!$C$2:$C$1000="服"),
0)))</f>
        <v/>
      </c>
      <c r="F32" t="str">
        <f t="array" ref="F32">IF($A32="","",
IF(COUNTIFS(貸出記録!$B:$B,$A32,貸出記録!$E:$E,"")&gt;0,
"貸出中","在庫"))</f>
        <v/>
      </c>
      <c r="G32" t="s">
        <v>6</v>
      </c>
      <c r="H32" t="s">
        <v>6</v>
      </c>
      <c r="I32" t="s">
        <v>6</v>
      </c>
    </row>
    <row r="33" spans="1:9">
      <c r="A33" s="21" t="s">
        <v>6</v>
      </c>
      <c r="B33" t="str">
        <f t="array" ref="B33">IF(TRIM(A33)="","",
_xlfn.TEXTJOIN(" , ",TRUE,
IF((個体台帳!$A$2:$A$1000=TRIM(A33))*(個体台帳!$C$2:$C$1000="服"),
個体台帳!$B$2:$B$1000,
"")))</f>
        <v/>
      </c>
      <c r="C33" t="str">
        <f t="array" ref="C33">IF(TRIM(A33)="","",
_xlfn.TEXTJOIN(" , ",TRUE,
IF((個体台帳!$A$2:$A$1000=TRIM(A33))*(個体台帳!$C$2:$C$1000="小物1"),
個体台帳!$B$2:$B$1000,
"")))</f>
        <v/>
      </c>
      <c r="D33" t="str">
        <f t="array" ref="D33">IF(TRIM(A33)="","",
_xlfn.TEXTJOIN(" , ",TRUE,
IF((個体台帳!$A$2:$A$1000=TRIM(A33))*(個体台帳!$C$2:$C$1000="小物2"),
個体台帳!$B$2:$B$1000,
"")))</f>
        <v/>
      </c>
      <c r="E33" s="8" t="str">
        <f t="array" ref="E33">IF($A33="","",
INDEX(個体台帳!$D$2:$D$1000,
MATCH(1,
(個体台帳!$A$2:$A$1000=$A33)*
(個体台帳!$C$2:$C$1000="服"),
0)))</f>
        <v/>
      </c>
      <c r="F33" t="str">
        <f t="array" ref="F33">IF($A33="","",
IF(COUNTIFS(貸出記録!$B:$B,$A33,貸出記録!$E:$E,"")&gt;0,
"貸出中","在庫"))</f>
        <v/>
      </c>
      <c r="G33" t="s">
        <v>6</v>
      </c>
      <c r="H33" t="s">
        <v>6</v>
      </c>
      <c r="I33" t="s">
        <v>6</v>
      </c>
    </row>
    <row r="34" spans="1:9">
      <c r="A34" s="21" t="s">
        <v>6</v>
      </c>
      <c r="B34" t="str">
        <f t="array" ref="B34">IF(TRIM(A34)="","",
_xlfn.TEXTJOIN(" , ",TRUE,
IF((個体台帳!$A$2:$A$1000=TRIM(A34))*(個体台帳!$C$2:$C$1000="服"),
個体台帳!$B$2:$B$1000,
"")))</f>
        <v/>
      </c>
      <c r="C34" t="str">
        <f t="array" ref="C34">IF(TRIM(A34)="","",
_xlfn.TEXTJOIN(" , ",TRUE,
IF((個体台帳!$A$2:$A$1000=TRIM(A34))*(個体台帳!$C$2:$C$1000="小物1"),
個体台帳!$B$2:$B$1000,
"")))</f>
        <v/>
      </c>
      <c r="D34" t="str">
        <f t="array" ref="D34">IF(TRIM(A34)="","",
_xlfn.TEXTJOIN(" , ",TRUE,
IF((個体台帳!$A$2:$A$1000=TRIM(A34))*(個体台帳!$C$2:$C$1000="小物2"),
個体台帳!$B$2:$B$1000,
"")))</f>
        <v/>
      </c>
      <c r="E34" s="8" t="str">
        <f t="array" ref="E34">IF($A34="","",
INDEX(個体台帳!$D$2:$D$1000,
MATCH(1,
(個体台帳!$A$2:$A$1000=$A34)*
(個体台帳!$C$2:$C$1000="服"),
0)))</f>
        <v/>
      </c>
      <c r="F34" t="str">
        <f t="array" ref="F34">IF($A34="","",
IF(COUNTIFS(貸出記録!$B:$B,$A34,貸出記録!$E:$E,"")&gt;0,
"貸出中","在庫"))</f>
        <v/>
      </c>
      <c r="G34" t="s">
        <v>6</v>
      </c>
      <c r="H34" t="s">
        <v>6</v>
      </c>
      <c r="I34" t="s">
        <v>6</v>
      </c>
    </row>
    <row r="35" spans="1:9">
      <c r="A35" s="21" t="s">
        <v>6</v>
      </c>
      <c r="B35" t="str">
        <f t="array" ref="B35">IF(TRIM(A35)="","",
_xlfn.TEXTJOIN(" , ",TRUE,
IF((個体台帳!$A$2:$A$1000=TRIM(A35))*(個体台帳!$C$2:$C$1000="服"),
個体台帳!$B$2:$B$1000,
"")))</f>
        <v/>
      </c>
      <c r="C35" t="str">
        <f t="array" ref="C35">IF(TRIM(A35)="","",
_xlfn.TEXTJOIN(" , ",TRUE,
IF((個体台帳!$A$2:$A$1000=TRIM(A35))*(個体台帳!$C$2:$C$1000="小物1"),
個体台帳!$B$2:$B$1000,
"")))</f>
        <v/>
      </c>
      <c r="D35" t="str">
        <f t="array" ref="D35">IF(TRIM(A35)="","",
_xlfn.TEXTJOIN(" , ",TRUE,
IF((個体台帳!$A$2:$A$1000=TRIM(A35))*(個体台帳!$C$2:$C$1000="小物2"),
個体台帳!$B$2:$B$1000,
"")))</f>
        <v/>
      </c>
      <c r="E35" s="8" t="str">
        <f t="array" ref="E35">IF($A35="","",
INDEX(個体台帳!$D$2:$D$1000,
MATCH(1,
(個体台帳!$A$2:$A$1000=$A35)*
(個体台帳!$C$2:$C$1000="服"),
0)))</f>
        <v/>
      </c>
      <c r="F35" t="str">
        <f t="array" ref="F35">IF($A35="","",
IF(COUNTIFS(貸出記録!$B:$B,$A35,貸出記録!$E:$E,"")&gt;0,
"貸出中","在庫"))</f>
        <v/>
      </c>
      <c r="G35" t="s">
        <v>6</v>
      </c>
      <c r="H35" t="s">
        <v>6</v>
      </c>
      <c r="I35" t="s">
        <v>6</v>
      </c>
    </row>
    <row r="36" spans="1:9">
      <c r="A36" s="21" t="s">
        <v>6</v>
      </c>
      <c r="B36" t="str">
        <f t="array" ref="B36">IF(TRIM(A36)="","",
_xlfn.TEXTJOIN(" , ",TRUE,
IF((個体台帳!$A$2:$A$1000=TRIM(A36))*(個体台帳!$C$2:$C$1000="服"),
個体台帳!$B$2:$B$1000,
"")))</f>
        <v/>
      </c>
      <c r="C36" t="str">
        <f t="array" ref="C36">IF(TRIM(A36)="","",
_xlfn.TEXTJOIN(" , ",TRUE,
IF((個体台帳!$A$2:$A$1000=TRIM(A36))*(個体台帳!$C$2:$C$1000="小物1"),
個体台帳!$B$2:$B$1000,
"")))</f>
        <v/>
      </c>
      <c r="D36" t="str">
        <f t="array" ref="D36">IF(TRIM(A36)="","",
_xlfn.TEXTJOIN(" , ",TRUE,
IF((個体台帳!$A$2:$A$1000=TRIM(A36))*(個体台帳!$C$2:$C$1000="小物2"),
個体台帳!$B$2:$B$1000,
"")))</f>
        <v/>
      </c>
      <c r="E36" s="8" t="str">
        <f t="array" ref="E36">IF($A36="","",
INDEX(個体台帳!$D$2:$D$1000,
MATCH(1,
(個体台帳!$A$2:$A$1000=$A36)*
(個体台帳!$C$2:$C$1000="服"),
0)))</f>
        <v/>
      </c>
      <c r="F36" t="str">
        <f t="array" ref="F36">IF($A36="","",
IF(COUNTIFS(貸出記録!$B:$B,$A36,貸出記録!$E:$E,"")&gt;0,
"貸出中","在庫"))</f>
        <v/>
      </c>
      <c r="G36" t="s">
        <v>6</v>
      </c>
      <c r="H36" t="s">
        <v>6</v>
      </c>
      <c r="I36" t="s">
        <v>6</v>
      </c>
    </row>
    <row r="37" spans="1:9">
      <c r="A37" s="21" t="s">
        <v>6</v>
      </c>
      <c r="B37" t="str">
        <f t="array" ref="B37">IF(TRIM(A37)="","",
_xlfn.TEXTJOIN(" , ",TRUE,
IF((個体台帳!$A$2:$A$1000=TRIM(A37))*(個体台帳!$C$2:$C$1000="服"),
個体台帳!$B$2:$B$1000,
"")))</f>
        <v/>
      </c>
      <c r="C37" t="str">
        <f t="array" ref="C37">IF(TRIM(A37)="","",
_xlfn.TEXTJOIN(" , ",TRUE,
IF((個体台帳!$A$2:$A$1000=TRIM(A37))*(個体台帳!$C$2:$C$1000="小物1"),
個体台帳!$B$2:$B$1000,
"")))</f>
        <v/>
      </c>
      <c r="D37" t="str">
        <f t="array" ref="D37">IF(TRIM(A37)="","",
_xlfn.TEXTJOIN(" , ",TRUE,
IF((個体台帳!$A$2:$A$1000=TRIM(A37))*(個体台帳!$C$2:$C$1000="小物2"),
個体台帳!$B$2:$B$1000,
"")))</f>
        <v/>
      </c>
      <c r="E37" s="8" t="str">
        <f t="array" ref="E37">IF($A37="","",
INDEX(個体台帳!$D$2:$D$1000,
MATCH(1,
(個体台帳!$A$2:$A$1000=$A37)*
(個体台帳!$C$2:$C$1000="服"),
0)))</f>
        <v/>
      </c>
      <c r="F37" t="str">
        <f t="array" ref="F37">IF($A37="","",
IF(COUNTIFS(貸出記録!$B:$B,$A37,貸出記録!$E:$E,"")&gt;0,
"貸出中","在庫"))</f>
        <v/>
      </c>
      <c r="G37" t="s">
        <v>6</v>
      </c>
      <c r="H37" t="s">
        <v>6</v>
      </c>
      <c r="I37" t="s">
        <v>6</v>
      </c>
    </row>
    <row r="38" spans="1:9">
      <c r="A38" s="21" t="s">
        <v>6</v>
      </c>
      <c r="B38" t="str">
        <f t="array" ref="B38">IF(TRIM(A38)="","",
_xlfn.TEXTJOIN(" , ",TRUE,
IF((個体台帳!$A$2:$A$1000=TRIM(A38))*(個体台帳!$C$2:$C$1000="服"),
個体台帳!$B$2:$B$1000,
"")))</f>
        <v/>
      </c>
      <c r="C38" t="str">
        <f t="array" ref="C38">IF(TRIM(A38)="","",
_xlfn.TEXTJOIN(" , ",TRUE,
IF((個体台帳!$A$2:$A$1000=TRIM(A38))*(個体台帳!$C$2:$C$1000="小物1"),
個体台帳!$B$2:$B$1000,
"")))</f>
        <v/>
      </c>
      <c r="D38" t="str">
        <f t="array" ref="D38">IF(TRIM(A38)="","",
_xlfn.TEXTJOIN(" , ",TRUE,
IF((個体台帳!$A$2:$A$1000=TRIM(A38))*(個体台帳!$C$2:$C$1000="小物2"),
個体台帳!$B$2:$B$1000,
"")))</f>
        <v/>
      </c>
      <c r="E38" s="8" t="str">
        <f t="array" ref="E38">IF($A38="","",
INDEX(個体台帳!$D$2:$D$1000,
MATCH(1,
(個体台帳!$A$2:$A$1000=$A38)*
(個体台帳!$C$2:$C$1000="服"),
0)))</f>
        <v/>
      </c>
      <c r="F38" t="str">
        <f t="array" ref="F38">IF($A38="","",
IF(COUNTIFS(貸出記録!$B:$B,$A38,貸出記録!$E:$E,"")&gt;0,
"貸出中","在庫"))</f>
        <v/>
      </c>
      <c r="G38" t="s">
        <v>6</v>
      </c>
      <c r="H38" t="s">
        <v>6</v>
      </c>
      <c r="I38" t="s">
        <v>6</v>
      </c>
    </row>
    <row r="39" spans="1:9">
      <c r="A39" s="21" t="s">
        <v>6</v>
      </c>
      <c r="B39" t="str">
        <f t="array" ref="B39">IF(TRIM(A39)="","",
_xlfn.TEXTJOIN(" , ",TRUE,
IF((個体台帳!$A$2:$A$1000=TRIM(A39))*(個体台帳!$C$2:$C$1000="服"),
個体台帳!$B$2:$B$1000,
"")))</f>
        <v/>
      </c>
      <c r="C39" t="str">
        <f t="array" ref="C39">IF(TRIM(A39)="","",
_xlfn.TEXTJOIN(" , ",TRUE,
IF((個体台帳!$A$2:$A$1000=TRIM(A39))*(個体台帳!$C$2:$C$1000="小物1"),
個体台帳!$B$2:$B$1000,
"")))</f>
        <v/>
      </c>
      <c r="D39" t="str">
        <f t="array" ref="D39">IF(TRIM(A39)="","",
_xlfn.TEXTJOIN(" , ",TRUE,
IF((個体台帳!$A$2:$A$1000=TRIM(A39))*(個体台帳!$C$2:$C$1000="小物2"),
個体台帳!$B$2:$B$1000,
"")))</f>
        <v/>
      </c>
      <c r="E39" s="8" t="str">
        <f t="array" ref="E39">IF($A39="","",
INDEX(個体台帳!$D$2:$D$1000,
MATCH(1,
(個体台帳!$A$2:$A$1000=$A39)*
(個体台帳!$C$2:$C$1000="服"),
0)))</f>
        <v/>
      </c>
      <c r="F39" t="str">
        <f t="array" ref="F39">IF($A39="","",
IF(COUNTIFS(貸出記録!$B:$B,$A39,貸出記録!$E:$E,"")&gt;0,
"貸出中","在庫"))</f>
        <v/>
      </c>
      <c r="G39" t="s">
        <v>6</v>
      </c>
      <c r="H39" t="s">
        <v>6</v>
      </c>
      <c r="I39" t="s">
        <v>6</v>
      </c>
    </row>
    <row r="40" spans="1:9">
      <c r="A40" s="21" t="s">
        <v>6</v>
      </c>
      <c r="B40" t="str">
        <f t="array" ref="B40">IF(TRIM(A40)="","",
_xlfn.TEXTJOIN(" , ",TRUE,
IF((個体台帳!$A$2:$A$1000=TRIM(A40))*(個体台帳!$C$2:$C$1000="服"),
個体台帳!$B$2:$B$1000,
"")))</f>
        <v/>
      </c>
      <c r="C40" t="str">
        <f t="array" ref="C40">IF(TRIM(A40)="","",
_xlfn.TEXTJOIN(" , ",TRUE,
IF((個体台帳!$A$2:$A$1000=TRIM(A40))*(個体台帳!$C$2:$C$1000="小物1"),
個体台帳!$B$2:$B$1000,
"")))</f>
        <v/>
      </c>
      <c r="D40" t="str">
        <f t="array" ref="D40">IF(TRIM(A40)="","",
_xlfn.TEXTJOIN(" , ",TRUE,
IF((個体台帳!$A$2:$A$1000=TRIM(A40))*(個体台帳!$C$2:$C$1000="小物2"),
個体台帳!$B$2:$B$1000,
"")))</f>
        <v/>
      </c>
      <c r="E40" s="8" t="str">
        <f t="array" ref="E40">IF($A40="","",
INDEX(個体台帳!$D$2:$D$1000,
MATCH(1,
(個体台帳!$A$2:$A$1000=$A40)*
(個体台帳!$C$2:$C$1000="服"),
0)))</f>
        <v/>
      </c>
      <c r="F40" t="str">
        <f t="array" ref="F40">IF($A40="","",
IF(COUNTIFS(貸出記録!$B:$B,$A40,貸出記録!$E:$E,"")&gt;0,
"貸出中","在庫"))</f>
        <v/>
      </c>
      <c r="G40" t="s">
        <v>6</v>
      </c>
      <c r="H40" t="s">
        <v>6</v>
      </c>
      <c r="I40" t="s">
        <v>6</v>
      </c>
    </row>
    <row r="41" spans="1:9">
      <c r="A41" s="21" t="s">
        <v>6</v>
      </c>
      <c r="B41" t="str">
        <f t="array" ref="B41">IF(TRIM(A41)="","",
_xlfn.TEXTJOIN(" , ",TRUE,
IF((個体台帳!$A$2:$A$1000=TRIM(A41))*(個体台帳!$C$2:$C$1000="服"),
個体台帳!$B$2:$B$1000,
"")))</f>
        <v/>
      </c>
      <c r="C41" t="str">
        <f t="array" ref="C41">IF(TRIM(A41)="","",
_xlfn.TEXTJOIN(" , ",TRUE,
IF((個体台帳!$A$2:$A$1000=TRIM(A41))*(個体台帳!$C$2:$C$1000="小物1"),
個体台帳!$B$2:$B$1000,
"")))</f>
        <v/>
      </c>
      <c r="D41" t="str">
        <f t="array" ref="D41">IF(TRIM(A41)="","",
_xlfn.TEXTJOIN(" , ",TRUE,
IF((個体台帳!$A$2:$A$1000=TRIM(A41))*(個体台帳!$C$2:$C$1000="小物2"),
個体台帳!$B$2:$B$1000,
"")))</f>
        <v/>
      </c>
      <c r="E41" s="8" t="str">
        <f t="array" ref="E41">IF($A41="","",
INDEX(個体台帳!$D$2:$D$1000,
MATCH(1,
(個体台帳!$A$2:$A$1000=$A41)*
(個体台帳!$C$2:$C$1000="服"),
0)))</f>
        <v/>
      </c>
      <c r="F41" t="str">
        <f t="array" ref="F41">IF($A41="","",
IF(COUNTIFS(貸出記録!$B:$B,$A41,貸出記録!$E:$E,"")&gt;0,
"貸出中","在庫"))</f>
        <v/>
      </c>
      <c r="G41" t="s">
        <v>6</v>
      </c>
      <c r="H41" t="s">
        <v>6</v>
      </c>
      <c r="I41" t="s">
        <v>6</v>
      </c>
    </row>
    <row r="42" spans="1:9">
      <c r="A42" s="21" t="s">
        <v>6</v>
      </c>
      <c r="B42" t="str">
        <f t="array" ref="B42">IF(TRIM(A42)="","",
_xlfn.TEXTJOIN(" , ",TRUE,
IF((個体台帳!$A$2:$A$1000=TRIM(A42))*(個体台帳!$C$2:$C$1000="服"),
個体台帳!$B$2:$B$1000,
"")))</f>
        <v/>
      </c>
      <c r="C42" t="str">
        <f t="array" ref="C42">IF(TRIM(A42)="","",
_xlfn.TEXTJOIN(" , ",TRUE,
IF((個体台帳!$A$2:$A$1000=TRIM(A42))*(個体台帳!$C$2:$C$1000="小物1"),
個体台帳!$B$2:$B$1000,
"")))</f>
        <v/>
      </c>
      <c r="D42" t="str">
        <f t="array" ref="D42">IF(TRIM(A42)="","",
_xlfn.TEXTJOIN(" , ",TRUE,
IF((個体台帳!$A$2:$A$1000=TRIM(A42))*(個体台帳!$C$2:$C$1000="小物2"),
個体台帳!$B$2:$B$1000,
"")))</f>
        <v/>
      </c>
      <c r="E42" s="8" t="str">
        <f t="array" ref="E42">IF($A42="","",
INDEX(個体台帳!$D$2:$D$1000,
MATCH(1,
(個体台帳!$A$2:$A$1000=$A42)*
(個体台帳!$C$2:$C$1000="服"),
0)))</f>
        <v/>
      </c>
      <c r="F42" t="str">
        <f t="array" ref="F42">IF($A42="","",
IF(COUNTIFS(貸出記録!$B:$B,$A42,貸出記録!$E:$E,"")&gt;0,
"貸出中","在庫"))</f>
        <v/>
      </c>
      <c r="G42" t="s">
        <v>6</v>
      </c>
      <c r="H42" t="s">
        <v>6</v>
      </c>
      <c r="I42" t="s">
        <v>6</v>
      </c>
    </row>
    <row r="43" spans="1:9">
      <c r="A43" s="21" t="s">
        <v>6</v>
      </c>
      <c r="B43" t="str">
        <f t="array" ref="B43">IF(TRIM(A43)="","",
_xlfn.TEXTJOIN(" , ",TRUE,
IF((個体台帳!$A$2:$A$1000=TRIM(A43))*(個体台帳!$C$2:$C$1000="服"),
個体台帳!$B$2:$B$1000,
"")))</f>
        <v/>
      </c>
      <c r="C43" t="str">
        <f t="array" ref="C43">IF(TRIM(A43)="","",
_xlfn.TEXTJOIN(" , ",TRUE,
IF((個体台帳!$A$2:$A$1000=TRIM(A43))*(個体台帳!$C$2:$C$1000="小物1"),
個体台帳!$B$2:$B$1000,
"")))</f>
        <v/>
      </c>
      <c r="D43" t="str">
        <f t="array" ref="D43">IF(TRIM(A43)="","",
_xlfn.TEXTJOIN(" , ",TRUE,
IF((個体台帳!$A$2:$A$1000=TRIM(A43))*(個体台帳!$C$2:$C$1000="小物2"),
個体台帳!$B$2:$B$1000,
"")))</f>
        <v/>
      </c>
      <c r="E43" s="8" t="str">
        <f t="array" ref="E43">IF($A43="","",
INDEX(個体台帳!$D$2:$D$1000,
MATCH(1,
(個体台帳!$A$2:$A$1000=$A43)*
(個体台帳!$C$2:$C$1000="服"),
0)))</f>
        <v/>
      </c>
      <c r="F43" t="str">
        <f t="array" ref="F43">IF($A43="","",
IF(COUNTIFS(貸出記録!$B:$B,$A43,貸出記録!$E:$E,"")&gt;0,
"貸出中","在庫"))</f>
        <v/>
      </c>
      <c r="G43" t="s">
        <v>6</v>
      </c>
      <c r="H43" t="s">
        <v>6</v>
      </c>
      <c r="I43" t="s">
        <v>6</v>
      </c>
    </row>
    <row r="44" spans="1:9">
      <c r="A44" s="21" t="s">
        <v>6</v>
      </c>
      <c r="B44" t="str">
        <f t="array" ref="B44">IF(TRIM(A44)="","",
_xlfn.TEXTJOIN(" , ",TRUE,
IF((個体台帳!$A$2:$A$1000=TRIM(A44))*(個体台帳!$C$2:$C$1000="服"),
個体台帳!$B$2:$B$1000,
"")))</f>
        <v/>
      </c>
      <c r="C44" t="str">
        <f t="array" ref="C44">IF(TRIM(A44)="","",
_xlfn.TEXTJOIN(" , ",TRUE,
IF((個体台帳!$A$2:$A$1000=TRIM(A44))*(個体台帳!$C$2:$C$1000="小物1"),
個体台帳!$B$2:$B$1000,
"")))</f>
        <v/>
      </c>
      <c r="D44" t="str">
        <f t="array" ref="D44">IF(TRIM(A44)="","",
_xlfn.TEXTJOIN(" , ",TRUE,
IF((個体台帳!$A$2:$A$1000=TRIM(A44))*(個体台帳!$C$2:$C$1000="小物2"),
個体台帳!$B$2:$B$1000,
"")))</f>
        <v/>
      </c>
      <c r="E44" s="8" t="str">
        <f t="array" ref="E44">IF($A44="","",
INDEX(個体台帳!$D$2:$D$1000,
MATCH(1,
(個体台帳!$A$2:$A$1000=$A44)*
(個体台帳!$C$2:$C$1000="服"),
0)))</f>
        <v/>
      </c>
      <c r="F44" t="str">
        <f t="array" ref="F44">IF($A44="","",
IF(COUNTIFS(貸出記録!$B:$B,$A44,貸出記録!$E:$E,"")&gt;0,
"貸出中","在庫"))</f>
        <v/>
      </c>
      <c r="G44" t="s">
        <v>6</v>
      </c>
      <c r="H44" t="s">
        <v>6</v>
      </c>
      <c r="I44" t="s">
        <v>6</v>
      </c>
    </row>
    <row r="45" spans="1:9">
      <c r="A45" s="21" t="s">
        <v>6</v>
      </c>
      <c r="B45" t="str">
        <f t="array" ref="B45">IF(TRIM(A45)="","",
_xlfn.TEXTJOIN(" , ",TRUE,
IF((個体台帳!$A$2:$A$1000=TRIM(A45))*(個体台帳!$C$2:$C$1000="服"),
個体台帳!$B$2:$B$1000,
"")))</f>
        <v/>
      </c>
      <c r="C45" t="str">
        <f t="array" ref="C45">IF(TRIM(A45)="","",
_xlfn.TEXTJOIN(" , ",TRUE,
IF((個体台帳!$A$2:$A$1000=TRIM(A45))*(個体台帳!$C$2:$C$1000="小物1"),
個体台帳!$B$2:$B$1000,
"")))</f>
        <v/>
      </c>
      <c r="D45" t="str">
        <f t="array" ref="D45">IF(TRIM(A45)="","",
_xlfn.TEXTJOIN(" , ",TRUE,
IF((個体台帳!$A$2:$A$1000=TRIM(A45))*(個体台帳!$C$2:$C$1000="小物2"),
個体台帳!$B$2:$B$1000,
"")))</f>
        <v/>
      </c>
      <c r="E45" s="8" t="str">
        <f t="array" ref="E45">IF($A45="","",
INDEX(個体台帳!$D$2:$D$1000,
MATCH(1,
(個体台帳!$A$2:$A$1000=$A45)*
(個体台帳!$C$2:$C$1000="服"),
0)))</f>
        <v/>
      </c>
      <c r="F45" t="str">
        <f t="array" ref="F45">IF($A45="","",
IF(COUNTIFS(貸出記録!$B:$B,$A45,貸出記録!$E:$E,"")&gt;0,
"貸出中","在庫"))</f>
        <v/>
      </c>
      <c r="G45" t="s">
        <v>6</v>
      </c>
      <c r="H45" t="s">
        <v>6</v>
      </c>
      <c r="I45" t="s">
        <v>6</v>
      </c>
    </row>
    <row r="46" spans="1:9">
      <c r="A46" s="21" t="s">
        <v>6</v>
      </c>
      <c r="B46" t="str">
        <f t="array" ref="B46">IF(TRIM(A46)="","",
_xlfn.TEXTJOIN(" , ",TRUE,
IF((個体台帳!$A$2:$A$1000=TRIM(A46))*(個体台帳!$C$2:$C$1000="服"),
個体台帳!$B$2:$B$1000,
"")))</f>
        <v/>
      </c>
      <c r="C46" t="str">
        <f t="array" ref="C46">IF(TRIM(A46)="","",
_xlfn.TEXTJOIN(" , ",TRUE,
IF((個体台帳!$A$2:$A$1000=TRIM(A46))*(個体台帳!$C$2:$C$1000="小物1"),
個体台帳!$B$2:$B$1000,
"")))</f>
        <v/>
      </c>
      <c r="D46" t="str">
        <f t="array" ref="D46">IF(TRIM(A46)="","",
_xlfn.TEXTJOIN(" , ",TRUE,
IF((個体台帳!$A$2:$A$1000=TRIM(A46))*(個体台帳!$C$2:$C$1000="小物2"),
個体台帳!$B$2:$B$1000,
"")))</f>
        <v/>
      </c>
      <c r="E46" s="8" t="str">
        <f t="array" ref="E46">IF($A46="","",
INDEX(個体台帳!$D$2:$D$1000,
MATCH(1,
(個体台帳!$A$2:$A$1000=$A46)*
(個体台帳!$C$2:$C$1000="服"),
0)))</f>
        <v/>
      </c>
      <c r="F46" t="str">
        <f t="array" ref="F46">IF($A46="","",
IF(COUNTIFS(貸出記録!$B:$B,$A46,貸出記録!$E:$E,"")&gt;0,
"貸出中","在庫"))</f>
        <v/>
      </c>
      <c r="G46" t="s">
        <v>6</v>
      </c>
      <c r="H46" t="s">
        <v>6</v>
      </c>
      <c r="I46" t="s">
        <v>6</v>
      </c>
    </row>
    <row r="47" spans="1:9">
      <c r="A47" s="21" t="s">
        <v>6</v>
      </c>
      <c r="B47" t="str">
        <f t="array" ref="B47">IF(TRIM(A47)="","",
_xlfn.TEXTJOIN(" , ",TRUE,
IF((個体台帳!$A$2:$A$1000=TRIM(A47))*(個体台帳!$C$2:$C$1000="服"),
個体台帳!$B$2:$B$1000,
"")))</f>
        <v/>
      </c>
      <c r="C47" t="str">
        <f t="array" ref="C47">IF(TRIM(A47)="","",
_xlfn.TEXTJOIN(" , ",TRUE,
IF((個体台帳!$A$2:$A$1000=TRIM(A47))*(個体台帳!$C$2:$C$1000="小物1"),
個体台帳!$B$2:$B$1000,
"")))</f>
        <v/>
      </c>
      <c r="D47" t="str">
        <f t="array" ref="D47">IF(TRIM(A47)="","",
_xlfn.TEXTJOIN(" , ",TRUE,
IF((個体台帳!$A$2:$A$1000=TRIM(A47))*(個体台帳!$C$2:$C$1000="小物2"),
個体台帳!$B$2:$B$1000,
"")))</f>
        <v/>
      </c>
      <c r="E47" s="8" t="str">
        <f t="array" ref="E47">IF($A47="","",
INDEX(個体台帳!$D$2:$D$1000,
MATCH(1,
(個体台帳!$A$2:$A$1000=$A47)*
(個体台帳!$C$2:$C$1000="服"),
0)))</f>
        <v/>
      </c>
      <c r="F47" t="str">
        <f t="array" ref="F47">IF($A47="","",
IF(COUNTIFS(貸出記録!$B:$B,$A47,貸出記録!$E:$E,"")&gt;0,
"貸出中","在庫"))</f>
        <v/>
      </c>
      <c r="G47" t="s">
        <v>6</v>
      </c>
      <c r="H47" t="s">
        <v>6</v>
      </c>
      <c r="I47" t="s">
        <v>6</v>
      </c>
    </row>
    <row r="48" spans="1:9">
      <c r="A48" s="21" t="s">
        <v>6</v>
      </c>
      <c r="B48" t="str">
        <f t="array" ref="B48">IF(TRIM(A48)="","",
_xlfn.TEXTJOIN(" , ",TRUE,
IF((個体台帳!$A$2:$A$1000=TRIM(A48))*(個体台帳!$C$2:$C$1000="服"),
個体台帳!$B$2:$B$1000,
"")))</f>
        <v/>
      </c>
      <c r="C48" t="str">
        <f t="array" ref="C48">IF(TRIM(A48)="","",
_xlfn.TEXTJOIN(" , ",TRUE,
IF((個体台帳!$A$2:$A$1000=TRIM(A48))*(個体台帳!$C$2:$C$1000="小物1"),
個体台帳!$B$2:$B$1000,
"")))</f>
        <v/>
      </c>
      <c r="D48" t="str">
        <f t="array" ref="D48">IF(TRIM(A48)="","",
_xlfn.TEXTJOIN(" , ",TRUE,
IF((個体台帳!$A$2:$A$1000=TRIM(A48))*(個体台帳!$C$2:$C$1000="小物2"),
個体台帳!$B$2:$B$1000,
"")))</f>
        <v/>
      </c>
      <c r="E48" s="8" t="str">
        <f t="array" ref="E48">IF($A48="","",
INDEX(個体台帳!$D$2:$D$1000,
MATCH(1,
(個体台帳!$A$2:$A$1000=$A48)*
(個体台帳!$C$2:$C$1000="服"),
0)))</f>
        <v/>
      </c>
      <c r="F48" t="str">
        <f t="array" ref="F48">IF($A48="","",
IF(COUNTIFS(貸出記録!$B:$B,$A48,貸出記録!$E:$E,"")&gt;0,
"貸出中","在庫"))</f>
        <v/>
      </c>
      <c r="G48" t="s">
        <v>6</v>
      </c>
      <c r="H48" t="s">
        <v>6</v>
      </c>
      <c r="I48" t="s">
        <v>6</v>
      </c>
    </row>
    <row r="49" spans="1:9">
      <c r="A49" s="21" t="s">
        <v>6</v>
      </c>
      <c r="B49" t="str">
        <f t="array" ref="B49">IF(TRIM(A49)="","",
_xlfn.TEXTJOIN(" , ",TRUE,
IF((個体台帳!$A$2:$A$1000=TRIM(A49))*(個体台帳!$C$2:$C$1000="服"),
個体台帳!$B$2:$B$1000,
"")))</f>
        <v/>
      </c>
      <c r="C49" t="str">
        <f t="array" ref="C49">IF(TRIM(A49)="","",
_xlfn.TEXTJOIN(" , ",TRUE,
IF((個体台帳!$A$2:$A$1000=TRIM(A49))*(個体台帳!$C$2:$C$1000="小物1"),
個体台帳!$B$2:$B$1000,
"")))</f>
        <v/>
      </c>
      <c r="D49" t="str">
        <f t="array" ref="D49">IF(TRIM(A49)="","",
_xlfn.TEXTJOIN(" , ",TRUE,
IF((個体台帳!$A$2:$A$1000=TRIM(A49))*(個体台帳!$C$2:$C$1000="小物2"),
個体台帳!$B$2:$B$1000,
"")))</f>
        <v/>
      </c>
      <c r="E49" s="8" t="str">
        <f t="array" ref="E49">IF($A49="","",
INDEX(個体台帳!$D$2:$D$1000,
MATCH(1,
(個体台帳!$A$2:$A$1000=$A49)*
(個体台帳!$C$2:$C$1000="服"),
0)))</f>
        <v/>
      </c>
      <c r="F49" t="str">
        <f t="array" ref="F49">IF($A49="","",
IF(COUNTIFS(貸出記録!$B:$B,$A49,貸出記録!$E:$E,"")&gt;0,
"貸出中","在庫"))</f>
        <v/>
      </c>
      <c r="G49" t="s">
        <v>6</v>
      </c>
      <c r="H49" t="s">
        <v>6</v>
      </c>
      <c r="I49" t="s">
        <v>6</v>
      </c>
    </row>
    <row r="50" spans="1:9">
      <c r="A50" s="21" t="s">
        <v>6</v>
      </c>
      <c r="B50" t="str">
        <f t="array" ref="B50">IF(TRIM(A50)="","",
_xlfn.TEXTJOIN(" , ",TRUE,
IF((個体台帳!$A$2:$A$1000=TRIM(A50))*(個体台帳!$C$2:$C$1000="服"),
個体台帳!$B$2:$B$1000,
"")))</f>
        <v/>
      </c>
      <c r="C50" t="str">
        <f t="array" ref="C50">IF(TRIM(A50)="","",
_xlfn.TEXTJOIN(" , ",TRUE,
IF((個体台帳!$A$2:$A$1000=TRIM(A50))*(個体台帳!$C$2:$C$1000="小物1"),
個体台帳!$B$2:$B$1000,
"")))</f>
        <v/>
      </c>
      <c r="D50" t="str">
        <f t="array" ref="D50">IF(TRIM(A50)="","",
_xlfn.TEXTJOIN(" , ",TRUE,
IF((個体台帳!$A$2:$A$1000=TRIM(A50))*(個体台帳!$C$2:$C$1000="小物2"),
個体台帳!$B$2:$B$1000,
"")))</f>
        <v/>
      </c>
      <c r="E50" s="8" t="str">
        <f t="array" ref="E50">IF($A50="","",
INDEX(個体台帳!$D$2:$D$1000,
MATCH(1,
(個体台帳!$A$2:$A$1000=$A50)*
(個体台帳!$C$2:$C$1000="服"),
0)))</f>
        <v/>
      </c>
      <c r="F50" t="str">
        <f t="array" ref="F50">IF($A50="","",
IF(COUNTIFS(貸出記録!$B:$B,$A50,貸出記録!$E:$E,"")&gt;0,
"貸出中","在庫"))</f>
        <v/>
      </c>
      <c r="G50" t="s">
        <v>6</v>
      </c>
      <c r="H50" t="s">
        <v>6</v>
      </c>
      <c r="I50" t="s">
        <v>6</v>
      </c>
    </row>
    <row r="51" spans="1:9">
      <c r="A51" s="21" t="s">
        <v>6</v>
      </c>
      <c r="B51" t="str">
        <f t="array" ref="B51">IF(TRIM(A51)="","",
_xlfn.TEXTJOIN(" , ",TRUE,
IF((個体台帳!$A$2:$A$1000=TRIM(A51))*(個体台帳!$C$2:$C$1000="服"),
個体台帳!$B$2:$B$1000,
"")))</f>
        <v/>
      </c>
      <c r="C51" t="str">
        <f t="array" ref="C51">IF(TRIM(A51)="","",
_xlfn.TEXTJOIN(" , ",TRUE,
IF((個体台帳!$A$2:$A$1000=TRIM(A51))*(個体台帳!$C$2:$C$1000="小物1"),
個体台帳!$B$2:$B$1000,
"")))</f>
        <v/>
      </c>
      <c r="D51" t="str">
        <f t="array" ref="D51">IF(TRIM(A51)="","",
_xlfn.TEXTJOIN(" , ",TRUE,
IF((個体台帳!$A$2:$A$1000=TRIM(A51))*(個体台帳!$C$2:$C$1000="小物2"),
個体台帳!$B$2:$B$1000,
"")))</f>
        <v/>
      </c>
      <c r="E51" s="8" t="str">
        <f t="array" ref="E51">IF($A51="","",
INDEX(個体台帳!$D$2:$D$1000,
MATCH(1,
(個体台帳!$A$2:$A$1000=$A51)*
(個体台帳!$C$2:$C$1000="服"),
0)))</f>
        <v/>
      </c>
      <c r="F51" t="str">
        <f t="array" ref="F51">IF($A51="","",
IF(COUNTIFS(貸出記録!$B:$B,$A51,貸出記録!$E:$E,"")&gt;0,
"貸出中","在庫"))</f>
        <v/>
      </c>
      <c r="G51" t="s">
        <v>6</v>
      </c>
      <c r="H51" t="s">
        <v>6</v>
      </c>
      <c r="I51" t="s">
        <v>6</v>
      </c>
    </row>
    <row r="52" spans="1:9">
      <c r="A52" s="21" t="s">
        <v>6</v>
      </c>
      <c r="B52" t="str">
        <f t="array" ref="B52">IF(TRIM(A52)="","",
_xlfn.TEXTJOIN(" , ",TRUE,
IF((個体台帳!$A$2:$A$1000=TRIM(A52))*(個体台帳!$C$2:$C$1000="服"),
個体台帳!$B$2:$B$1000,
"")))</f>
        <v/>
      </c>
      <c r="C52" t="str">
        <f t="array" ref="C52">IF(TRIM(A52)="","",
_xlfn.TEXTJOIN(" , ",TRUE,
IF((個体台帳!$A$2:$A$1000=TRIM(A52))*(個体台帳!$C$2:$C$1000="小物1"),
個体台帳!$B$2:$B$1000,
"")))</f>
        <v/>
      </c>
      <c r="D52" t="str">
        <f t="array" ref="D52">IF(TRIM(A52)="","",
_xlfn.TEXTJOIN(" , ",TRUE,
IF((個体台帳!$A$2:$A$1000=TRIM(A52))*(個体台帳!$C$2:$C$1000="小物2"),
個体台帳!$B$2:$B$1000,
"")))</f>
        <v/>
      </c>
      <c r="E52" s="8" t="str">
        <f t="array" ref="E52">IF($A52="","",
INDEX(個体台帳!$D$2:$D$1000,
MATCH(1,
(個体台帳!$A$2:$A$1000=$A52)*
(個体台帳!$C$2:$C$1000="服"),
0)))</f>
        <v/>
      </c>
      <c r="F52" t="str">
        <f t="array" ref="F52">IF($A52="","",
IF(COUNTIFS(貸出記録!$B:$B,$A52,貸出記録!$E:$E,"")&gt;0,
"貸出中","在庫"))</f>
        <v/>
      </c>
      <c r="G52" t="s">
        <v>6</v>
      </c>
      <c r="H52" t="s">
        <v>6</v>
      </c>
      <c r="I52" t="s">
        <v>6</v>
      </c>
    </row>
    <row r="53" spans="1:9">
      <c r="A53" s="21" t="s">
        <v>6</v>
      </c>
      <c r="B53" t="str">
        <f t="array" ref="B53">IF(TRIM(A53)="","",
_xlfn.TEXTJOIN(" , ",TRUE,
IF((個体台帳!$A$2:$A$1000=TRIM(A53))*(個体台帳!$C$2:$C$1000="服"),
個体台帳!$B$2:$B$1000,
"")))</f>
        <v/>
      </c>
      <c r="C53" t="str">
        <f t="array" ref="C53">IF(TRIM(A53)="","",
_xlfn.TEXTJOIN(" , ",TRUE,
IF((個体台帳!$A$2:$A$1000=TRIM(A53))*(個体台帳!$C$2:$C$1000="小物1"),
個体台帳!$B$2:$B$1000,
"")))</f>
        <v/>
      </c>
      <c r="D53" t="str">
        <f t="array" ref="D53">IF(TRIM(A53)="","",
_xlfn.TEXTJOIN(" , ",TRUE,
IF((個体台帳!$A$2:$A$1000=TRIM(A53))*(個体台帳!$C$2:$C$1000="小物2"),
個体台帳!$B$2:$B$1000,
"")))</f>
        <v/>
      </c>
      <c r="E53" s="8" t="str">
        <f t="array" ref="E53">IF($A53="","",
INDEX(個体台帳!$D$2:$D$1000,
MATCH(1,
(個体台帳!$A$2:$A$1000=$A53)*
(個体台帳!$C$2:$C$1000="服"),
0)))</f>
        <v/>
      </c>
      <c r="F53" t="str">
        <f t="array" ref="F53">IF($A53="","",
IF(COUNTIFS(貸出記録!$B:$B,$A53,貸出記録!$E:$E,"")&gt;0,
"貸出中","在庫"))</f>
        <v/>
      </c>
      <c r="G53" t="s">
        <v>6</v>
      </c>
      <c r="H53" t="s">
        <v>6</v>
      </c>
      <c r="I53" t="s">
        <v>6</v>
      </c>
    </row>
    <row r="54" spans="1:9">
      <c r="A54" s="21" t="s">
        <v>6</v>
      </c>
      <c r="B54" t="str">
        <f t="array" ref="B54">IF(TRIM(A54)="","",
_xlfn.TEXTJOIN(" , ",TRUE,
IF((個体台帳!$A$2:$A$1000=TRIM(A54))*(個体台帳!$C$2:$C$1000="服"),
個体台帳!$B$2:$B$1000,
"")))</f>
        <v/>
      </c>
      <c r="C54" t="str">
        <f t="array" ref="C54">IF(TRIM(A54)="","",
_xlfn.TEXTJOIN(" , ",TRUE,
IF((個体台帳!$A$2:$A$1000=TRIM(A54))*(個体台帳!$C$2:$C$1000="小物1"),
個体台帳!$B$2:$B$1000,
"")))</f>
        <v/>
      </c>
      <c r="D54" t="str">
        <f t="array" ref="D54">IF(TRIM(A54)="","",
_xlfn.TEXTJOIN(" , ",TRUE,
IF((個体台帳!$A$2:$A$1000=TRIM(A54))*(個体台帳!$C$2:$C$1000="小物2"),
個体台帳!$B$2:$B$1000,
"")))</f>
        <v/>
      </c>
      <c r="E54" s="8" t="str">
        <f t="array" ref="E54">IF($A54="","",
INDEX(個体台帳!$D$2:$D$1000,
MATCH(1,
(個体台帳!$A$2:$A$1000=$A54)*
(個体台帳!$C$2:$C$1000="服"),
0)))</f>
        <v/>
      </c>
      <c r="F54" t="str">
        <f t="array" ref="F54">IF($A54="","",
IF(COUNTIFS(貸出記録!$B:$B,$A54,貸出記録!$E:$E,"")&gt;0,
"貸出中","在庫"))</f>
        <v/>
      </c>
      <c r="G54" t="s">
        <v>6</v>
      </c>
      <c r="H54" t="s">
        <v>6</v>
      </c>
      <c r="I54" t="s">
        <v>6</v>
      </c>
    </row>
    <row r="55" spans="1:9">
      <c r="A55" s="21" t="s">
        <v>6</v>
      </c>
      <c r="B55" t="str">
        <f t="array" ref="B55">IF(TRIM(A55)="","",
_xlfn.TEXTJOIN(" , ",TRUE,
IF((個体台帳!$A$2:$A$1000=TRIM(A55))*(個体台帳!$C$2:$C$1000="服"),
個体台帳!$B$2:$B$1000,
"")))</f>
        <v/>
      </c>
      <c r="C55" t="str">
        <f t="array" ref="C55">IF(TRIM(A55)="","",
_xlfn.TEXTJOIN(" , ",TRUE,
IF((個体台帳!$A$2:$A$1000=TRIM(A55))*(個体台帳!$C$2:$C$1000="小物1"),
個体台帳!$B$2:$B$1000,
"")))</f>
        <v/>
      </c>
      <c r="D55" t="str">
        <f t="array" ref="D55">IF(TRIM(A55)="","",
_xlfn.TEXTJOIN(" , ",TRUE,
IF((個体台帳!$A$2:$A$1000=TRIM(A55))*(個体台帳!$C$2:$C$1000="小物2"),
個体台帳!$B$2:$B$1000,
"")))</f>
        <v/>
      </c>
      <c r="E55" s="8" t="str">
        <f t="array" ref="E55">IF($A55="","",
INDEX(個体台帳!$D$2:$D$1000,
MATCH(1,
(個体台帳!$A$2:$A$1000=$A55)*
(個体台帳!$C$2:$C$1000="服"),
0)))</f>
        <v/>
      </c>
      <c r="F55" t="str">
        <f t="array" ref="F55">IF($A55="","",
IF(COUNTIFS(貸出記録!$B:$B,$A55,貸出記録!$E:$E,"")&gt;0,
"貸出中","在庫"))</f>
        <v/>
      </c>
      <c r="G55" t="s">
        <v>6</v>
      </c>
      <c r="H55" t="s">
        <v>6</v>
      </c>
      <c r="I55" t="s">
        <v>6</v>
      </c>
    </row>
    <row r="56" spans="1:9">
      <c r="A56" s="21" t="s">
        <v>6</v>
      </c>
      <c r="B56" t="str">
        <f t="array" ref="B56">IF(TRIM(A56)="","",
_xlfn.TEXTJOIN(" , ",TRUE,
IF((個体台帳!$A$2:$A$1000=TRIM(A56))*(個体台帳!$C$2:$C$1000="服"),
個体台帳!$B$2:$B$1000,
"")))</f>
        <v/>
      </c>
      <c r="C56" t="str">
        <f t="array" ref="C56">IF(TRIM(A56)="","",
_xlfn.TEXTJOIN(" , ",TRUE,
IF((個体台帳!$A$2:$A$1000=TRIM(A56))*(個体台帳!$C$2:$C$1000="小物1"),
個体台帳!$B$2:$B$1000,
"")))</f>
        <v/>
      </c>
      <c r="D56" t="str">
        <f t="array" ref="D56">IF(TRIM(A56)="","",
_xlfn.TEXTJOIN(" , ",TRUE,
IF((個体台帳!$A$2:$A$1000=TRIM(A56))*(個体台帳!$C$2:$C$1000="小物2"),
個体台帳!$B$2:$B$1000,
"")))</f>
        <v/>
      </c>
      <c r="E56" s="8" t="str">
        <f t="array" ref="E56">IF($A56="","",
INDEX(個体台帳!$D$2:$D$1000,
MATCH(1,
(個体台帳!$A$2:$A$1000=$A56)*
(個体台帳!$C$2:$C$1000="服"),
0)))</f>
        <v/>
      </c>
      <c r="F56" t="str">
        <f t="array" ref="F56">IF($A56="","",
IF(COUNTIFS(貸出記録!$B:$B,$A56,貸出記録!$E:$E,"")&gt;0,
"貸出中","在庫"))</f>
        <v/>
      </c>
      <c r="G56" t="s">
        <v>6</v>
      </c>
      <c r="H56" t="s">
        <v>6</v>
      </c>
      <c r="I56" t="s">
        <v>6</v>
      </c>
    </row>
    <row r="57" spans="1:9">
      <c r="A57" s="21" t="s">
        <v>6</v>
      </c>
      <c r="B57" t="str">
        <f t="array" ref="B57">IF(TRIM(A57)="","",
_xlfn.TEXTJOIN(" , ",TRUE,
IF((個体台帳!$A$2:$A$1000=TRIM(A57))*(個体台帳!$C$2:$C$1000="服"),
個体台帳!$B$2:$B$1000,
"")))</f>
        <v/>
      </c>
      <c r="C57" t="str">
        <f t="array" ref="C57">IF(TRIM(A57)="","",
_xlfn.TEXTJOIN(" , ",TRUE,
IF((個体台帳!$A$2:$A$1000=TRIM(A57))*(個体台帳!$C$2:$C$1000="小物1"),
個体台帳!$B$2:$B$1000,
"")))</f>
        <v/>
      </c>
      <c r="D57" t="str">
        <f t="array" ref="D57">IF(TRIM(A57)="","",
_xlfn.TEXTJOIN(" , ",TRUE,
IF((個体台帳!$A$2:$A$1000=TRIM(A57))*(個体台帳!$C$2:$C$1000="小物2"),
個体台帳!$B$2:$B$1000,
"")))</f>
        <v/>
      </c>
      <c r="E57" s="8" t="str">
        <f t="array" ref="E57">IF($A57="","",
INDEX(個体台帳!$D$2:$D$1000,
MATCH(1,
(個体台帳!$A$2:$A$1000=$A57)*
(個体台帳!$C$2:$C$1000="服"),
0)))</f>
        <v/>
      </c>
      <c r="F57" t="str">
        <f t="array" ref="F57">IF($A57="","",
IF(COUNTIFS(貸出記録!$B:$B,$A57,貸出記録!$E:$E,"")&gt;0,
"貸出中","在庫"))</f>
        <v/>
      </c>
      <c r="G57" t="s">
        <v>6</v>
      </c>
      <c r="H57" t="s">
        <v>6</v>
      </c>
      <c r="I57" t="s">
        <v>6</v>
      </c>
    </row>
    <row r="58" spans="1:9">
      <c r="A58" s="21" t="s">
        <v>6</v>
      </c>
      <c r="B58" t="str">
        <f t="array" ref="B58">IF(TRIM(A58)="","",
_xlfn.TEXTJOIN(" , ",TRUE,
IF((個体台帳!$A$2:$A$1000=TRIM(A58))*(個体台帳!$C$2:$C$1000="服"),
個体台帳!$B$2:$B$1000,
"")))</f>
        <v/>
      </c>
      <c r="C58" t="str">
        <f t="array" ref="C58">IF(TRIM(A58)="","",
_xlfn.TEXTJOIN(" , ",TRUE,
IF((個体台帳!$A$2:$A$1000=TRIM(A58))*(個体台帳!$C$2:$C$1000="小物1"),
個体台帳!$B$2:$B$1000,
"")))</f>
        <v/>
      </c>
      <c r="D58" t="str">
        <f t="array" ref="D58">IF(TRIM(A58)="","",
_xlfn.TEXTJOIN(" , ",TRUE,
IF((個体台帳!$A$2:$A$1000=TRIM(A58))*(個体台帳!$C$2:$C$1000="小物2"),
個体台帳!$B$2:$B$1000,
"")))</f>
        <v/>
      </c>
      <c r="E58" s="8" t="str">
        <f t="array" ref="E58">IF($A58="","",
INDEX(個体台帳!$D$2:$D$1000,
MATCH(1,
(個体台帳!$A$2:$A$1000=$A58)*
(個体台帳!$C$2:$C$1000="服"),
0)))</f>
        <v/>
      </c>
      <c r="F58" t="str">
        <f t="array" ref="F58">IF($A58="","",
IF(COUNTIFS(貸出記録!$B:$B,$A58,貸出記録!$E:$E,"")&gt;0,
"貸出中","在庫"))</f>
        <v/>
      </c>
      <c r="G58" t="s">
        <v>6</v>
      </c>
      <c r="H58" t="s">
        <v>6</v>
      </c>
      <c r="I58" t="s">
        <v>6</v>
      </c>
    </row>
    <row r="59" spans="1:9">
      <c r="A59" s="21" t="s">
        <v>6</v>
      </c>
      <c r="B59" t="str">
        <f t="array" ref="B59">IF(TRIM(A59)="","",
_xlfn.TEXTJOIN(" , ",TRUE,
IF((個体台帳!$A$2:$A$1000=TRIM(A59))*(個体台帳!$C$2:$C$1000="服"),
個体台帳!$B$2:$B$1000,
"")))</f>
        <v/>
      </c>
      <c r="C59" t="str">
        <f t="array" ref="C59">IF(TRIM(A59)="","",
_xlfn.TEXTJOIN(" , ",TRUE,
IF((個体台帳!$A$2:$A$1000=TRIM(A59))*(個体台帳!$C$2:$C$1000="小物1"),
個体台帳!$B$2:$B$1000,
"")))</f>
        <v/>
      </c>
      <c r="D59" t="str">
        <f t="array" ref="D59">IF(TRIM(A59)="","",
_xlfn.TEXTJOIN(" , ",TRUE,
IF((個体台帳!$A$2:$A$1000=TRIM(A59))*(個体台帳!$C$2:$C$1000="小物2"),
個体台帳!$B$2:$B$1000,
"")))</f>
        <v/>
      </c>
      <c r="E59" s="8" t="str">
        <f t="array" ref="E59">IF($A59="","",
INDEX(個体台帳!$D$2:$D$1000,
MATCH(1,
(個体台帳!$A$2:$A$1000=$A59)*
(個体台帳!$C$2:$C$1000="服"),
0)))</f>
        <v/>
      </c>
      <c r="F59" t="str">
        <f t="array" ref="F59">IF($A59="","",
IF(COUNTIFS(貸出記録!$B:$B,$A59,貸出記録!$E:$E,"")&gt;0,
"貸出中","在庫"))</f>
        <v/>
      </c>
      <c r="G59" t="s">
        <v>6</v>
      </c>
      <c r="H59" t="s">
        <v>6</v>
      </c>
      <c r="I59" t="s">
        <v>6</v>
      </c>
    </row>
    <row r="60" spans="1:9">
      <c r="A60" s="21" t="s">
        <v>6</v>
      </c>
      <c r="B60" t="str">
        <f t="array" ref="B60">IF(TRIM(A60)="","",
_xlfn.TEXTJOIN(" , ",TRUE,
IF((個体台帳!$A$2:$A$1000=TRIM(A60))*(個体台帳!$C$2:$C$1000="服"),
個体台帳!$B$2:$B$1000,
"")))</f>
        <v/>
      </c>
      <c r="C60" t="str">
        <f t="array" ref="C60">IF(TRIM(A60)="","",
_xlfn.TEXTJOIN(" , ",TRUE,
IF((個体台帳!$A$2:$A$1000=TRIM(A60))*(個体台帳!$C$2:$C$1000="小物1"),
個体台帳!$B$2:$B$1000,
"")))</f>
        <v/>
      </c>
      <c r="D60" t="str">
        <f t="array" ref="D60">IF(TRIM(A60)="","",
_xlfn.TEXTJOIN(" , ",TRUE,
IF((個体台帳!$A$2:$A$1000=TRIM(A60))*(個体台帳!$C$2:$C$1000="小物2"),
個体台帳!$B$2:$B$1000,
"")))</f>
        <v/>
      </c>
      <c r="E60" s="8" t="str">
        <f t="array" ref="E60">IF($A60="","",
INDEX(個体台帳!$D$2:$D$1000,
MATCH(1,
(個体台帳!$A$2:$A$1000=$A60)*
(個体台帳!$C$2:$C$1000="服"),
0)))</f>
        <v/>
      </c>
      <c r="F60" t="str">
        <f t="array" ref="F60">IF($A60="","",
IF(COUNTIFS(貸出記録!$B:$B,$A60,貸出記録!$E:$E,"")&gt;0,
"貸出中","在庫"))</f>
        <v/>
      </c>
      <c r="G60" t="s">
        <v>6</v>
      </c>
      <c r="H60" t="s">
        <v>6</v>
      </c>
      <c r="I60" t="s">
        <v>6</v>
      </c>
    </row>
    <row r="61" spans="1:9">
      <c r="A61" s="21" t="s">
        <v>6</v>
      </c>
      <c r="B61" t="str">
        <f t="array" ref="B61">IF(TRIM(A61)="","",
_xlfn.TEXTJOIN(" , ",TRUE,
IF((個体台帳!$A$2:$A$1000=TRIM(A61))*(個体台帳!$C$2:$C$1000="服"),
個体台帳!$B$2:$B$1000,
"")))</f>
        <v/>
      </c>
      <c r="C61" t="str">
        <f t="array" ref="C61">IF(TRIM(A61)="","",
_xlfn.TEXTJOIN(" , ",TRUE,
IF((個体台帳!$A$2:$A$1000=TRIM(A61))*(個体台帳!$C$2:$C$1000="小物1"),
個体台帳!$B$2:$B$1000,
"")))</f>
        <v/>
      </c>
      <c r="D61" t="str">
        <f t="array" ref="D61">IF(TRIM(A61)="","",
_xlfn.TEXTJOIN(" , ",TRUE,
IF((個体台帳!$A$2:$A$1000=TRIM(A61))*(個体台帳!$C$2:$C$1000="小物2"),
個体台帳!$B$2:$B$1000,
"")))</f>
        <v/>
      </c>
      <c r="E61" s="8" t="str">
        <f t="array" ref="E61">IF($A61="","",
INDEX(個体台帳!$D$2:$D$1000,
MATCH(1,
(個体台帳!$A$2:$A$1000=$A61)*
(個体台帳!$C$2:$C$1000="服"),
0)))</f>
        <v/>
      </c>
      <c r="F61" t="str">
        <f t="array" ref="F61">IF($A61="","",
IF(COUNTIFS(貸出記録!$B:$B,$A61,貸出記録!$E:$E,"")&gt;0,
"貸出中","在庫"))</f>
        <v/>
      </c>
      <c r="G61" t="s">
        <v>6</v>
      </c>
      <c r="H61" t="s">
        <v>6</v>
      </c>
      <c r="I61" t="s">
        <v>6</v>
      </c>
    </row>
    <row r="62" spans="1:9">
      <c r="A62" s="21" t="s">
        <v>6</v>
      </c>
      <c r="B62" t="str">
        <f t="array" ref="B62">IF(TRIM(A62)="","",
_xlfn.TEXTJOIN(" , ",TRUE,
IF((個体台帳!$A$2:$A$1000=TRIM(A62))*(個体台帳!$C$2:$C$1000="服"),
個体台帳!$B$2:$B$1000,
"")))</f>
        <v/>
      </c>
      <c r="C62" t="str">
        <f t="array" ref="C62">IF(TRIM(A62)="","",
_xlfn.TEXTJOIN(" , ",TRUE,
IF((個体台帳!$A$2:$A$1000=TRIM(A62))*(個体台帳!$C$2:$C$1000="小物1"),
個体台帳!$B$2:$B$1000,
"")))</f>
        <v/>
      </c>
      <c r="D62" t="str">
        <f t="array" ref="D62">IF(TRIM(A62)="","",
_xlfn.TEXTJOIN(" , ",TRUE,
IF((個体台帳!$A$2:$A$1000=TRIM(A62))*(個体台帳!$C$2:$C$1000="小物2"),
個体台帳!$B$2:$B$1000,
"")))</f>
        <v/>
      </c>
      <c r="E62" s="8" t="str">
        <f t="array" ref="E62">IF($A62="","",
INDEX(個体台帳!$D$2:$D$1000,
MATCH(1,
(個体台帳!$A$2:$A$1000=$A62)*
(個体台帳!$C$2:$C$1000="服"),
0)))</f>
        <v/>
      </c>
      <c r="F62" t="str">
        <f t="array" ref="F62">IF($A62="","",
IF(COUNTIFS(貸出記録!$B:$B,$A62,貸出記録!$E:$E,"")&gt;0,
"貸出中","在庫"))</f>
        <v/>
      </c>
      <c r="G62" t="s">
        <v>6</v>
      </c>
      <c r="H62" t="s">
        <v>6</v>
      </c>
      <c r="I62" t="s">
        <v>6</v>
      </c>
    </row>
    <row r="63" spans="1:9">
      <c r="A63" s="21" t="s">
        <v>6</v>
      </c>
      <c r="B63" t="str">
        <f t="array" ref="B63">IF(TRIM(A63)="","",
_xlfn.TEXTJOIN(" , ",TRUE,
IF((個体台帳!$A$2:$A$1000=TRIM(A63))*(個体台帳!$C$2:$C$1000="服"),
個体台帳!$B$2:$B$1000,
"")))</f>
        <v/>
      </c>
      <c r="C63" t="str">
        <f t="array" ref="C63">IF(TRIM(A63)="","",
_xlfn.TEXTJOIN(" , ",TRUE,
IF((個体台帳!$A$2:$A$1000=TRIM(A63))*(個体台帳!$C$2:$C$1000="小物1"),
個体台帳!$B$2:$B$1000,
"")))</f>
        <v/>
      </c>
      <c r="D63" t="str">
        <f t="array" ref="D63">IF(TRIM(A63)="","",
_xlfn.TEXTJOIN(" , ",TRUE,
IF((個体台帳!$A$2:$A$1000=TRIM(A63))*(個体台帳!$C$2:$C$1000="小物2"),
個体台帳!$B$2:$B$1000,
"")))</f>
        <v/>
      </c>
      <c r="E63" s="8" t="str">
        <f t="array" ref="E63">IF($A63="","",
INDEX(個体台帳!$D$2:$D$1000,
MATCH(1,
(個体台帳!$A$2:$A$1000=$A63)*
(個体台帳!$C$2:$C$1000="服"),
0)))</f>
        <v/>
      </c>
      <c r="F63" t="str">
        <f t="array" ref="F63">IF($A63="","",
IF(COUNTIFS(貸出記録!$B:$B,$A63,貸出記録!$E:$E,"")&gt;0,
"貸出中","在庫"))</f>
        <v/>
      </c>
      <c r="G63" t="s">
        <v>6</v>
      </c>
      <c r="H63" t="s">
        <v>6</v>
      </c>
      <c r="I63" t="s">
        <v>6</v>
      </c>
    </row>
    <row r="64" spans="1:9">
      <c r="A64" s="21" t="s">
        <v>6</v>
      </c>
      <c r="B64" t="str">
        <f t="array" ref="B64">IF(TRIM(A64)="","",
_xlfn.TEXTJOIN(" , ",TRUE,
IF((個体台帳!$A$2:$A$1000=TRIM(A64))*(個体台帳!$C$2:$C$1000="服"),
個体台帳!$B$2:$B$1000,
"")))</f>
        <v/>
      </c>
      <c r="C64" t="str">
        <f t="array" ref="C64">IF(TRIM(A64)="","",
_xlfn.TEXTJOIN(" , ",TRUE,
IF((個体台帳!$A$2:$A$1000=TRIM(A64))*(個体台帳!$C$2:$C$1000="小物1"),
個体台帳!$B$2:$B$1000,
"")))</f>
        <v/>
      </c>
      <c r="D64" t="str">
        <f t="array" ref="D64">IF(TRIM(A64)="","",
_xlfn.TEXTJOIN(" , ",TRUE,
IF((個体台帳!$A$2:$A$1000=TRIM(A64))*(個体台帳!$C$2:$C$1000="小物2"),
個体台帳!$B$2:$B$1000,
"")))</f>
        <v/>
      </c>
      <c r="E64" s="8" t="str">
        <f t="array" ref="E64">IF($A64="","",
INDEX(個体台帳!$D$2:$D$1000,
MATCH(1,
(個体台帳!$A$2:$A$1000=$A64)*
(個体台帳!$C$2:$C$1000="服"),
0)))</f>
        <v/>
      </c>
      <c r="F64" t="str">
        <f t="array" ref="F64">IF($A64="","",
IF(COUNTIFS(貸出記録!$B:$B,$A64,貸出記録!$E:$E,"")&gt;0,
"貸出中","在庫"))</f>
        <v/>
      </c>
      <c r="G64" t="s">
        <v>6</v>
      </c>
      <c r="H64" t="s">
        <v>6</v>
      </c>
      <c r="I64" t="s">
        <v>6</v>
      </c>
    </row>
    <row r="65" spans="1:9">
      <c r="A65" s="21" t="s">
        <v>6</v>
      </c>
      <c r="B65" t="str">
        <f t="array" ref="B65">IF(TRIM(A65)="","",
_xlfn.TEXTJOIN(" , ",TRUE,
IF((個体台帳!$A$2:$A$1000=TRIM(A65))*(個体台帳!$C$2:$C$1000="服"),
個体台帳!$B$2:$B$1000,
"")))</f>
        <v/>
      </c>
      <c r="C65" t="str">
        <f t="array" ref="C65">IF(TRIM(A65)="","",
_xlfn.TEXTJOIN(" , ",TRUE,
IF((個体台帳!$A$2:$A$1000=TRIM(A65))*(個体台帳!$C$2:$C$1000="小物1"),
個体台帳!$B$2:$B$1000,
"")))</f>
        <v/>
      </c>
      <c r="D65" t="str">
        <f t="array" ref="D65">IF(TRIM(A65)="","",
_xlfn.TEXTJOIN(" , ",TRUE,
IF((個体台帳!$A$2:$A$1000=TRIM(A65))*(個体台帳!$C$2:$C$1000="小物2"),
個体台帳!$B$2:$B$1000,
"")))</f>
        <v/>
      </c>
      <c r="E65" s="8" t="str">
        <f t="array" ref="E65">IF($A65="","",
INDEX(個体台帳!$D$2:$D$1000,
MATCH(1,
(個体台帳!$A$2:$A$1000=$A65)*
(個体台帳!$C$2:$C$1000="服"),
0)))</f>
        <v/>
      </c>
      <c r="F65" t="str">
        <f t="array" ref="F65">IF($A65="","",
IF(COUNTIFS(貸出記録!$B:$B,$A65,貸出記録!$E:$E,"")&gt;0,
"貸出中","在庫"))</f>
        <v/>
      </c>
      <c r="G65" t="s">
        <v>6</v>
      </c>
      <c r="H65" t="s">
        <v>6</v>
      </c>
      <c r="I65" t="s">
        <v>6</v>
      </c>
    </row>
    <row r="66" spans="1:9">
      <c r="A66" s="21" t="s">
        <v>6</v>
      </c>
      <c r="B66" t="str">
        <f t="array" ref="B66">IF(TRIM(A66)="","",
_xlfn.TEXTJOIN(" , ",TRUE,
IF((個体台帳!$A$2:$A$1000=TRIM(A66))*(個体台帳!$C$2:$C$1000="服"),
個体台帳!$B$2:$B$1000,
"")))</f>
        <v/>
      </c>
      <c r="C66" t="str">
        <f t="array" ref="C66">IF(TRIM(A66)="","",
_xlfn.TEXTJOIN(" , ",TRUE,
IF((個体台帳!$A$2:$A$1000=TRIM(A66))*(個体台帳!$C$2:$C$1000="小物1"),
個体台帳!$B$2:$B$1000,
"")))</f>
        <v/>
      </c>
      <c r="D66" t="str">
        <f t="array" ref="D66">IF(TRIM(A66)="","",
_xlfn.TEXTJOIN(" , ",TRUE,
IF((個体台帳!$A$2:$A$1000=TRIM(A66))*(個体台帳!$C$2:$C$1000="小物2"),
個体台帳!$B$2:$B$1000,
"")))</f>
        <v/>
      </c>
      <c r="E66" s="8" t="str">
        <f t="array" ref="E66">IF($A66="","",
INDEX(個体台帳!$D$2:$D$1000,
MATCH(1,
(個体台帳!$A$2:$A$1000=$A66)*
(個体台帳!$C$2:$C$1000="服"),
0)))</f>
        <v/>
      </c>
      <c r="F66" t="str">
        <f t="array" ref="F66">IF($A66="","",
IF(COUNTIFS(貸出記録!$B:$B,$A66,貸出記録!$E:$E,"")&gt;0,
"貸出中","在庫"))</f>
        <v/>
      </c>
      <c r="G66" t="s">
        <v>6</v>
      </c>
      <c r="H66" t="s">
        <v>6</v>
      </c>
      <c r="I66" t="s">
        <v>6</v>
      </c>
    </row>
    <row r="67" spans="1:9">
      <c r="A67" s="21" t="s">
        <v>6</v>
      </c>
      <c r="B67" t="str">
        <f t="array" ref="B67">IF(TRIM(A67)="","",
_xlfn.TEXTJOIN(" , ",TRUE,
IF((個体台帳!$A$2:$A$1000=TRIM(A67))*(個体台帳!$C$2:$C$1000="服"),
個体台帳!$B$2:$B$1000,
"")))</f>
        <v/>
      </c>
      <c r="C67" t="str">
        <f t="array" ref="C67">IF(TRIM(A67)="","",
_xlfn.TEXTJOIN(" , ",TRUE,
IF((個体台帳!$A$2:$A$1000=TRIM(A67))*(個体台帳!$C$2:$C$1000="小物1"),
個体台帳!$B$2:$B$1000,
"")))</f>
        <v/>
      </c>
      <c r="D67" t="str">
        <f t="array" ref="D67">IF(TRIM(A67)="","",
_xlfn.TEXTJOIN(" , ",TRUE,
IF((個体台帳!$A$2:$A$1000=TRIM(A67))*(個体台帳!$C$2:$C$1000="小物2"),
個体台帳!$B$2:$B$1000,
"")))</f>
        <v/>
      </c>
      <c r="E67" s="8" t="str">
        <f t="array" ref="E67">IF($A67="","",
INDEX(個体台帳!$D$2:$D$1000,
MATCH(1,
(個体台帳!$A$2:$A$1000=$A67)*
(個体台帳!$C$2:$C$1000="服"),
0)))</f>
        <v/>
      </c>
      <c r="F67" t="str">
        <f t="array" ref="F67">IF($A67="","",
IF(COUNTIFS(貸出記録!$B:$B,$A67,貸出記録!$E:$E,"")&gt;0,
"貸出中","在庫"))</f>
        <v/>
      </c>
      <c r="G67" t="s">
        <v>6</v>
      </c>
      <c r="H67" t="s">
        <v>6</v>
      </c>
      <c r="I67" t="s">
        <v>6</v>
      </c>
    </row>
    <row r="68" spans="1:9">
      <c r="A68" s="21" t="s">
        <v>6</v>
      </c>
      <c r="B68" t="str">
        <f t="array" ref="B68">IF(TRIM(A68)="","",
_xlfn.TEXTJOIN(" , ",TRUE,
IF((個体台帳!$A$2:$A$1000=TRIM(A68))*(個体台帳!$C$2:$C$1000="服"),
個体台帳!$B$2:$B$1000,
"")))</f>
        <v/>
      </c>
      <c r="C68" t="str">
        <f t="array" ref="C68">IF(TRIM(A68)="","",
_xlfn.TEXTJOIN(" , ",TRUE,
IF((個体台帳!$A$2:$A$1000=TRIM(A68))*(個体台帳!$C$2:$C$1000="小物1"),
個体台帳!$B$2:$B$1000,
"")))</f>
        <v/>
      </c>
      <c r="D68" t="str">
        <f t="array" ref="D68">IF(TRIM(A68)="","",
_xlfn.TEXTJOIN(" , ",TRUE,
IF((個体台帳!$A$2:$A$1000=TRIM(A68))*(個体台帳!$C$2:$C$1000="小物2"),
個体台帳!$B$2:$B$1000,
"")))</f>
        <v/>
      </c>
      <c r="E68" s="8" t="str">
        <f t="array" ref="E68">IF($A68="","",
INDEX(個体台帳!$D$2:$D$1000,
MATCH(1,
(個体台帳!$A$2:$A$1000=$A68)*
(個体台帳!$C$2:$C$1000="服"),
0)))</f>
        <v/>
      </c>
      <c r="F68" t="str">
        <f t="array" ref="F68">IF($A68="","",
IF(COUNTIFS(貸出記録!$B:$B,$A68,貸出記録!$E:$E,"")&gt;0,
"貸出中","在庫"))</f>
        <v/>
      </c>
      <c r="G68" t="s">
        <v>6</v>
      </c>
      <c r="H68" t="s">
        <v>6</v>
      </c>
      <c r="I68" t="s">
        <v>6</v>
      </c>
    </row>
    <row r="69" spans="1:9">
      <c r="A69" s="21" t="s">
        <v>6</v>
      </c>
      <c r="B69" t="str">
        <f t="array" ref="B69">IF(TRIM(A69)="","",
_xlfn.TEXTJOIN(" , ",TRUE,
IF((個体台帳!$A$2:$A$1000=TRIM(A69))*(個体台帳!$C$2:$C$1000="服"),
個体台帳!$B$2:$B$1000,
"")))</f>
        <v/>
      </c>
      <c r="C69" t="str">
        <f t="array" ref="C69">IF(TRIM(A69)="","",
_xlfn.TEXTJOIN(" , ",TRUE,
IF((個体台帳!$A$2:$A$1000=TRIM(A69))*(個体台帳!$C$2:$C$1000="小物1"),
個体台帳!$B$2:$B$1000,
"")))</f>
        <v/>
      </c>
      <c r="D69" t="str">
        <f t="array" ref="D69">IF(TRIM(A69)="","",
_xlfn.TEXTJOIN(" , ",TRUE,
IF((個体台帳!$A$2:$A$1000=TRIM(A69))*(個体台帳!$C$2:$C$1000="小物2"),
個体台帳!$B$2:$B$1000,
"")))</f>
        <v/>
      </c>
      <c r="E69" s="8" t="str">
        <f t="array" ref="E69">IF($A69="","",
INDEX(個体台帳!$D$2:$D$1000,
MATCH(1,
(個体台帳!$A$2:$A$1000=$A69)*
(個体台帳!$C$2:$C$1000="服"),
0)))</f>
        <v/>
      </c>
      <c r="F69" t="str">
        <f t="array" ref="F69">IF($A69="","",
IF(COUNTIFS(貸出記録!$B:$B,$A69,貸出記録!$E:$E,"")&gt;0,
"貸出中","在庫"))</f>
        <v/>
      </c>
      <c r="G69" t="s">
        <v>6</v>
      </c>
      <c r="H69" t="s">
        <v>6</v>
      </c>
      <c r="I69" t="s">
        <v>6</v>
      </c>
    </row>
    <row r="70" spans="1:9">
      <c r="A70" s="21" t="s">
        <v>6</v>
      </c>
      <c r="B70" t="str">
        <f t="array" ref="B70">IF(TRIM(A70)="","",
_xlfn.TEXTJOIN(" , ",TRUE,
IF((個体台帳!$A$2:$A$1000=TRIM(A70))*(個体台帳!$C$2:$C$1000="服"),
個体台帳!$B$2:$B$1000,
"")))</f>
        <v/>
      </c>
      <c r="C70" t="str">
        <f t="array" ref="C70">IF(TRIM(A70)="","",
_xlfn.TEXTJOIN(" , ",TRUE,
IF((個体台帳!$A$2:$A$1000=TRIM(A70))*(個体台帳!$C$2:$C$1000="小物1"),
個体台帳!$B$2:$B$1000,
"")))</f>
        <v/>
      </c>
      <c r="D70" t="str">
        <f t="array" ref="D70">IF(TRIM(A70)="","",
_xlfn.TEXTJOIN(" , ",TRUE,
IF((個体台帳!$A$2:$A$1000=TRIM(A70))*(個体台帳!$C$2:$C$1000="小物2"),
個体台帳!$B$2:$B$1000,
"")))</f>
        <v/>
      </c>
      <c r="E70" s="8" t="str">
        <f t="array" ref="E70">IF($A70="","",
INDEX(個体台帳!$D$2:$D$1000,
MATCH(1,
(個体台帳!$A$2:$A$1000=$A70)*
(個体台帳!$C$2:$C$1000="服"),
0)))</f>
        <v/>
      </c>
      <c r="F70" t="str">
        <f t="array" ref="F70">IF($A70="","",
IF(COUNTIFS(貸出記録!$B:$B,$A70,貸出記録!$E:$E,"")&gt;0,
"貸出中","在庫"))</f>
        <v/>
      </c>
      <c r="G70" t="s">
        <v>6</v>
      </c>
      <c r="H70" t="s">
        <v>6</v>
      </c>
      <c r="I70" t="s">
        <v>6</v>
      </c>
    </row>
    <row r="71" spans="1:9">
      <c r="A71" s="21" t="s">
        <v>6</v>
      </c>
      <c r="B71" t="str">
        <f t="array" ref="B71">IF(TRIM(A71)="","",
_xlfn.TEXTJOIN(" , ",TRUE,
IF((個体台帳!$A$2:$A$1000=TRIM(A71))*(個体台帳!$C$2:$C$1000="服"),
個体台帳!$B$2:$B$1000,
"")))</f>
        <v/>
      </c>
      <c r="C71" t="str">
        <f t="array" ref="C71">IF(TRIM(A71)="","",
_xlfn.TEXTJOIN(" , ",TRUE,
IF((個体台帳!$A$2:$A$1000=TRIM(A71))*(個体台帳!$C$2:$C$1000="小物1"),
個体台帳!$B$2:$B$1000,
"")))</f>
        <v/>
      </c>
      <c r="D71" t="str">
        <f t="array" ref="D71">IF(TRIM(A71)="","",
_xlfn.TEXTJOIN(" , ",TRUE,
IF((個体台帳!$A$2:$A$1000=TRIM(A71))*(個体台帳!$C$2:$C$1000="小物2"),
個体台帳!$B$2:$B$1000,
"")))</f>
        <v/>
      </c>
      <c r="E71" s="8" t="str">
        <f t="array" ref="E71">IF($A71="","",
INDEX(個体台帳!$D$2:$D$1000,
MATCH(1,
(個体台帳!$A$2:$A$1000=$A71)*
(個体台帳!$C$2:$C$1000="服"),
0)))</f>
        <v/>
      </c>
      <c r="F71" t="str">
        <f t="array" ref="F71">IF($A71="","",
IF(COUNTIFS(貸出記録!$B:$B,$A71,貸出記録!$E:$E,"")&gt;0,
"貸出中","在庫"))</f>
        <v/>
      </c>
      <c r="G71" t="s">
        <v>6</v>
      </c>
      <c r="H71" t="s">
        <v>6</v>
      </c>
      <c r="I71" t="s">
        <v>6</v>
      </c>
    </row>
    <row r="72" spans="1:9">
      <c r="A72" s="21" t="s">
        <v>6</v>
      </c>
      <c r="B72" t="str">
        <f t="array" ref="B72">IF(TRIM(A72)="","",
_xlfn.TEXTJOIN(" , ",TRUE,
IF((個体台帳!$A$2:$A$1000=TRIM(A72))*(個体台帳!$C$2:$C$1000="服"),
個体台帳!$B$2:$B$1000,
"")))</f>
        <v/>
      </c>
      <c r="C72" t="str">
        <f t="array" ref="C72">IF(TRIM(A72)="","",
_xlfn.TEXTJOIN(" , ",TRUE,
IF((個体台帳!$A$2:$A$1000=TRIM(A72))*(個体台帳!$C$2:$C$1000="小物1"),
個体台帳!$B$2:$B$1000,
"")))</f>
        <v/>
      </c>
      <c r="D72" t="str">
        <f t="array" ref="D72">IF(TRIM(A72)="","",
_xlfn.TEXTJOIN(" , ",TRUE,
IF((個体台帳!$A$2:$A$1000=TRIM(A72))*(個体台帳!$C$2:$C$1000="小物2"),
個体台帳!$B$2:$B$1000,
"")))</f>
        <v/>
      </c>
      <c r="E72" s="8" t="str">
        <f t="array" ref="E72">IF($A72="","",
INDEX(個体台帳!$D$2:$D$1000,
MATCH(1,
(個体台帳!$A$2:$A$1000=$A72)*
(個体台帳!$C$2:$C$1000="服"),
0)))</f>
        <v/>
      </c>
      <c r="F72" t="str">
        <f t="array" ref="F72">IF($A72="","",
IF(COUNTIFS(貸出記録!$B:$B,$A72,貸出記録!$E:$E,"")&gt;0,
"貸出中","在庫"))</f>
        <v/>
      </c>
      <c r="G72" t="s">
        <v>6</v>
      </c>
      <c r="H72" t="s">
        <v>6</v>
      </c>
      <c r="I72" t="s">
        <v>6</v>
      </c>
    </row>
    <row r="73" spans="1:9">
      <c r="A73" s="21" t="s">
        <v>6</v>
      </c>
      <c r="B73" t="str">
        <f t="array" ref="B73">IF(TRIM(A73)="","",
_xlfn.TEXTJOIN(" , ",TRUE,
IF((個体台帳!$A$2:$A$1000=TRIM(A73))*(個体台帳!$C$2:$C$1000="服"),
個体台帳!$B$2:$B$1000,
"")))</f>
        <v/>
      </c>
      <c r="C73" t="str">
        <f t="array" ref="C73">IF(TRIM(A73)="","",
_xlfn.TEXTJOIN(" , ",TRUE,
IF((個体台帳!$A$2:$A$1000=TRIM(A73))*(個体台帳!$C$2:$C$1000="小物1"),
個体台帳!$B$2:$B$1000,
"")))</f>
        <v/>
      </c>
      <c r="D73" t="str">
        <f t="array" ref="D73">IF(TRIM(A73)="","",
_xlfn.TEXTJOIN(" , ",TRUE,
IF((個体台帳!$A$2:$A$1000=TRIM(A73))*(個体台帳!$C$2:$C$1000="小物2"),
個体台帳!$B$2:$B$1000,
"")))</f>
        <v/>
      </c>
      <c r="E73" s="8" t="str">
        <f t="array" ref="E73">IF($A73="","",
INDEX(個体台帳!$D$2:$D$1000,
MATCH(1,
(個体台帳!$A$2:$A$1000=$A73)*
(個体台帳!$C$2:$C$1000="服"),
0)))</f>
        <v/>
      </c>
      <c r="F73" t="str">
        <f t="array" ref="F73">IF($A73="","",
IF(COUNTIFS(貸出記録!$B:$B,$A73,貸出記録!$E:$E,"")&gt;0,
"貸出中","在庫"))</f>
        <v/>
      </c>
      <c r="G73" t="s">
        <v>6</v>
      </c>
      <c r="H73" t="s">
        <v>6</v>
      </c>
      <c r="I73" t="s">
        <v>6</v>
      </c>
    </row>
    <row r="74" spans="1:9">
      <c r="A74" s="21" t="s">
        <v>6</v>
      </c>
      <c r="B74" t="str">
        <f t="array" ref="B74">IF(TRIM(A74)="","",
_xlfn.TEXTJOIN(" , ",TRUE,
IF((個体台帳!$A$2:$A$1000=TRIM(A74))*(個体台帳!$C$2:$C$1000="服"),
個体台帳!$B$2:$B$1000,
"")))</f>
        <v/>
      </c>
      <c r="C74" t="str">
        <f t="array" ref="C74">IF(TRIM(A74)="","",
_xlfn.TEXTJOIN(" , ",TRUE,
IF((個体台帳!$A$2:$A$1000=TRIM(A74))*(個体台帳!$C$2:$C$1000="小物1"),
個体台帳!$B$2:$B$1000,
"")))</f>
        <v/>
      </c>
      <c r="D74" t="str">
        <f t="array" ref="D74">IF(TRIM(A74)="","",
_xlfn.TEXTJOIN(" , ",TRUE,
IF((個体台帳!$A$2:$A$1000=TRIM(A74))*(個体台帳!$C$2:$C$1000="小物2"),
個体台帳!$B$2:$B$1000,
"")))</f>
        <v/>
      </c>
      <c r="E74" s="8" t="str">
        <f t="array" ref="E74">IF($A74="","",
INDEX(個体台帳!$D$2:$D$1000,
MATCH(1,
(個体台帳!$A$2:$A$1000=$A74)*
(個体台帳!$C$2:$C$1000="服"),
0)))</f>
        <v/>
      </c>
      <c r="F74" t="str">
        <f t="array" ref="F74">IF($A74="","",
IF(COUNTIFS(貸出記録!$B:$B,$A74,貸出記録!$E:$E,"")&gt;0,
"貸出中","在庫"))</f>
        <v/>
      </c>
      <c r="G74" t="s">
        <v>6</v>
      </c>
      <c r="H74" t="s">
        <v>6</v>
      </c>
      <c r="I74" t="s">
        <v>6</v>
      </c>
    </row>
    <row r="75" spans="1:9">
      <c r="A75" s="21" t="s">
        <v>6</v>
      </c>
      <c r="B75" t="str">
        <f t="array" ref="B75">IF(TRIM(A75)="","",
_xlfn.TEXTJOIN(" , ",TRUE,
IF((個体台帳!$A$2:$A$1000=TRIM(A75))*(個体台帳!$C$2:$C$1000="服"),
個体台帳!$B$2:$B$1000,
"")))</f>
        <v/>
      </c>
      <c r="C75" t="str">
        <f t="array" ref="C75">IF(TRIM(A75)="","",
_xlfn.TEXTJOIN(" , ",TRUE,
IF((個体台帳!$A$2:$A$1000=TRIM(A75))*(個体台帳!$C$2:$C$1000="小物1"),
個体台帳!$B$2:$B$1000,
"")))</f>
        <v/>
      </c>
      <c r="D75" t="str">
        <f t="array" ref="D75">IF(TRIM(A75)="","",
_xlfn.TEXTJOIN(" , ",TRUE,
IF((個体台帳!$A$2:$A$1000=TRIM(A75))*(個体台帳!$C$2:$C$1000="小物2"),
個体台帳!$B$2:$B$1000,
"")))</f>
        <v/>
      </c>
      <c r="E75" s="8" t="str">
        <f t="array" ref="E75">IF($A75="","",
INDEX(個体台帳!$D$2:$D$1000,
MATCH(1,
(個体台帳!$A$2:$A$1000=$A75)*
(個体台帳!$C$2:$C$1000="服"),
0)))</f>
        <v/>
      </c>
      <c r="F75" t="str">
        <f t="array" ref="F75">IF($A75="","",
IF(COUNTIFS(貸出記録!$B:$B,$A75,貸出記録!$E:$E,"")&gt;0,
"貸出中","在庫"))</f>
        <v/>
      </c>
      <c r="G75" t="s">
        <v>6</v>
      </c>
      <c r="H75" t="s">
        <v>6</v>
      </c>
      <c r="I75" t="s">
        <v>6</v>
      </c>
    </row>
    <row r="76" spans="1:9">
      <c r="A76" s="21" t="s">
        <v>6</v>
      </c>
      <c r="B76" t="str">
        <f t="array" ref="B76">IF(TRIM(A76)="","",
_xlfn.TEXTJOIN(" , ",TRUE,
IF((個体台帳!$A$2:$A$1000=TRIM(A76))*(個体台帳!$C$2:$C$1000="服"),
個体台帳!$B$2:$B$1000,
"")))</f>
        <v/>
      </c>
      <c r="C76" t="str">
        <f t="array" ref="C76">IF(TRIM(A76)="","",
_xlfn.TEXTJOIN(" , ",TRUE,
IF((個体台帳!$A$2:$A$1000=TRIM(A76))*(個体台帳!$C$2:$C$1000="小物1"),
個体台帳!$B$2:$B$1000,
"")))</f>
        <v/>
      </c>
      <c r="D76" t="str">
        <f t="array" ref="D76">IF(TRIM(A76)="","",
_xlfn.TEXTJOIN(" , ",TRUE,
IF((個体台帳!$A$2:$A$1000=TRIM(A76))*(個体台帳!$C$2:$C$1000="小物2"),
個体台帳!$B$2:$B$1000,
"")))</f>
        <v/>
      </c>
      <c r="E76" s="8" t="str">
        <f t="array" ref="E76">IF($A76="","",
INDEX(個体台帳!$D$2:$D$1000,
MATCH(1,
(個体台帳!$A$2:$A$1000=$A76)*
(個体台帳!$C$2:$C$1000="服"),
0)))</f>
        <v/>
      </c>
      <c r="F76" t="str">
        <f t="array" ref="F76">IF($A76="","",
IF(COUNTIFS(貸出記録!$B:$B,$A76,貸出記録!$E:$E,"")&gt;0,
"貸出中","在庫"))</f>
        <v/>
      </c>
      <c r="G76" t="s">
        <v>6</v>
      </c>
      <c r="H76" t="s">
        <v>6</v>
      </c>
      <c r="I76" t="s">
        <v>6</v>
      </c>
    </row>
    <row r="77" spans="1:9">
      <c r="A77" s="21" t="s">
        <v>6</v>
      </c>
      <c r="B77" t="str">
        <f t="array" ref="B77">IF(TRIM(A77)="","",
_xlfn.TEXTJOIN(" , ",TRUE,
IF((個体台帳!$A$2:$A$1000=TRIM(A77))*(個体台帳!$C$2:$C$1000="服"),
個体台帳!$B$2:$B$1000,
"")))</f>
        <v/>
      </c>
      <c r="C77" t="str">
        <f t="array" ref="C77">IF(TRIM(A77)="","",
_xlfn.TEXTJOIN(" , ",TRUE,
IF((個体台帳!$A$2:$A$1000=TRIM(A77))*(個体台帳!$C$2:$C$1000="小物1"),
個体台帳!$B$2:$B$1000,
"")))</f>
        <v/>
      </c>
      <c r="D77" t="str">
        <f t="array" ref="D77">IF(TRIM(A77)="","",
_xlfn.TEXTJOIN(" , ",TRUE,
IF((個体台帳!$A$2:$A$1000=TRIM(A77))*(個体台帳!$C$2:$C$1000="小物2"),
個体台帳!$B$2:$B$1000,
"")))</f>
        <v/>
      </c>
      <c r="E77" s="8" t="str">
        <f t="array" ref="E77">IF($A77="","",
INDEX(個体台帳!$D$2:$D$1000,
MATCH(1,
(個体台帳!$A$2:$A$1000=$A77)*
(個体台帳!$C$2:$C$1000="服"),
0)))</f>
        <v/>
      </c>
      <c r="F77" t="str">
        <f t="array" ref="F77">IF($A77="","",
IF(COUNTIFS(貸出記録!$B:$B,$A77,貸出記録!$E:$E,"")&gt;0,
"貸出中","在庫"))</f>
        <v/>
      </c>
      <c r="G77" t="s">
        <v>6</v>
      </c>
      <c r="H77" t="s">
        <v>6</v>
      </c>
      <c r="I77" t="s">
        <v>6</v>
      </c>
    </row>
    <row r="78" spans="1:9">
      <c r="A78" s="21" t="s">
        <v>6</v>
      </c>
      <c r="B78" t="str">
        <f t="array" ref="B78">IF(TRIM(A78)="","",
_xlfn.TEXTJOIN(" , ",TRUE,
IF((個体台帳!$A$2:$A$1000=TRIM(A78))*(個体台帳!$C$2:$C$1000="服"),
個体台帳!$B$2:$B$1000,
"")))</f>
        <v/>
      </c>
      <c r="C78" t="str">
        <f t="array" ref="C78">IF(TRIM(A78)="","",
_xlfn.TEXTJOIN(" , ",TRUE,
IF((個体台帳!$A$2:$A$1000=TRIM(A78))*(個体台帳!$C$2:$C$1000="小物1"),
個体台帳!$B$2:$B$1000,
"")))</f>
        <v/>
      </c>
      <c r="D78" t="str">
        <f t="array" ref="D78">IF(TRIM(A78)="","",
_xlfn.TEXTJOIN(" , ",TRUE,
IF((個体台帳!$A$2:$A$1000=TRIM(A78))*(個体台帳!$C$2:$C$1000="小物2"),
個体台帳!$B$2:$B$1000,
"")))</f>
        <v/>
      </c>
      <c r="E78" s="8" t="str">
        <f t="array" ref="E78">IF($A78="","",
INDEX(個体台帳!$D$2:$D$1000,
MATCH(1,
(個体台帳!$A$2:$A$1000=$A78)*
(個体台帳!$C$2:$C$1000="服"),
0)))</f>
        <v/>
      </c>
      <c r="F78" t="str">
        <f t="array" ref="F78">IF($A78="","",
IF(COUNTIFS(貸出記録!$B:$B,$A78,貸出記録!$E:$E,"")&gt;0,
"貸出中","在庫"))</f>
        <v/>
      </c>
      <c r="G78" t="s">
        <v>6</v>
      </c>
      <c r="H78" t="s">
        <v>6</v>
      </c>
      <c r="I78" t="s">
        <v>6</v>
      </c>
    </row>
    <row r="79" spans="1:9">
      <c r="A79" s="21" t="s">
        <v>6</v>
      </c>
      <c r="B79" t="str">
        <f t="array" ref="B79">IF(TRIM(A79)="","",
_xlfn.TEXTJOIN(" , ",TRUE,
IF((個体台帳!$A$2:$A$1000=TRIM(A79))*(個体台帳!$C$2:$C$1000="服"),
個体台帳!$B$2:$B$1000,
"")))</f>
        <v/>
      </c>
      <c r="C79" t="str">
        <f t="array" ref="C79">IF(TRIM(A79)="","",
_xlfn.TEXTJOIN(" , ",TRUE,
IF((個体台帳!$A$2:$A$1000=TRIM(A79))*(個体台帳!$C$2:$C$1000="小物1"),
個体台帳!$B$2:$B$1000,
"")))</f>
        <v/>
      </c>
      <c r="D79" t="str">
        <f t="array" ref="D79">IF(TRIM(A79)="","",
_xlfn.TEXTJOIN(" , ",TRUE,
IF((個体台帳!$A$2:$A$1000=TRIM(A79))*(個体台帳!$C$2:$C$1000="小物2"),
個体台帳!$B$2:$B$1000,
"")))</f>
        <v/>
      </c>
      <c r="E79" s="8" t="str">
        <f t="array" ref="E79">IF($A79="","",
INDEX(個体台帳!$D$2:$D$1000,
MATCH(1,
(個体台帳!$A$2:$A$1000=$A79)*
(個体台帳!$C$2:$C$1000="服"),
0)))</f>
        <v/>
      </c>
      <c r="F79" t="str">
        <f t="array" ref="F79">IF($A79="","",
IF(COUNTIFS(貸出記録!$B:$B,$A79,貸出記録!$E:$E,"")&gt;0,
"貸出中","在庫"))</f>
        <v/>
      </c>
      <c r="G79" t="s">
        <v>6</v>
      </c>
      <c r="H79" t="s">
        <v>6</v>
      </c>
      <c r="I79" t="s">
        <v>6</v>
      </c>
    </row>
    <row r="80" spans="1:9">
      <c r="A80" s="21" t="s">
        <v>6</v>
      </c>
      <c r="B80" t="str">
        <f t="array" ref="B80">IF(TRIM(A80)="","",
_xlfn.TEXTJOIN(" , ",TRUE,
IF((個体台帳!$A$2:$A$1000=TRIM(A80))*(個体台帳!$C$2:$C$1000="服"),
個体台帳!$B$2:$B$1000,
"")))</f>
        <v/>
      </c>
      <c r="C80" t="str">
        <f t="array" ref="C80">IF(TRIM(A80)="","",
_xlfn.TEXTJOIN(" , ",TRUE,
IF((個体台帳!$A$2:$A$1000=TRIM(A80))*(個体台帳!$C$2:$C$1000="小物1"),
個体台帳!$B$2:$B$1000,
"")))</f>
        <v/>
      </c>
      <c r="D80" t="str">
        <f t="array" ref="D80">IF(TRIM(A80)="","",
_xlfn.TEXTJOIN(" , ",TRUE,
IF((個体台帳!$A$2:$A$1000=TRIM(A80))*(個体台帳!$C$2:$C$1000="小物2"),
個体台帳!$B$2:$B$1000,
"")))</f>
        <v/>
      </c>
      <c r="E80" s="8" t="str">
        <f t="array" ref="E80">IF($A80="","",
INDEX(個体台帳!$D$2:$D$1000,
MATCH(1,
(個体台帳!$A$2:$A$1000=$A80)*
(個体台帳!$C$2:$C$1000="服"),
0)))</f>
        <v/>
      </c>
      <c r="F80" t="str">
        <f t="array" ref="F80">IF($A80="","",
IF(COUNTIFS(貸出記録!$B:$B,$A80,貸出記録!$E:$E,"")&gt;0,
"貸出中","在庫"))</f>
        <v/>
      </c>
      <c r="G80" t="s">
        <v>6</v>
      </c>
      <c r="H80" t="s">
        <v>6</v>
      </c>
      <c r="I80" t="s">
        <v>6</v>
      </c>
    </row>
    <row r="81" spans="1:9">
      <c r="A81" s="21" t="s">
        <v>6</v>
      </c>
      <c r="B81" t="str">
        <f t="array" ref="B81">IF(TRIM(A81)="","",
_xlfn.TEXTJOIN(" , ",TRUE,
IF((個体台帳!$A$2:$A$1000=TRIM(A81))*(個体台帳!$C$2:$C$1000="服"),
個体台帳!$B$2:$B$1000,
"")))</f>
        <v/>
      </c>
      <c r="C81" t="str">
        <f t="array" ref="C81">IF(TRIM(A81)="","",
_xlfn.TEXTJOIN(" , ",TRUE,
IF((個体台帳!$A$2:$A$1000=TRIM(A81))*(個体台帳!$C$2:$C$1000="小物1"),
個体台帳!$B$2:$B$1000,
"")))</f>
        <v/>
      </c>
      <c r="D81" t="str">
        <f t="array" ref="D81">IF(TRIM(A81)="","",
_xlfn.TEXTJOIN(" , ",TRUE,
IF((個体台帳!$A$2:$A$1000=TRIM(A81))*(個体台帳!$C$2:$C$1000="小物2"),
個体台帳!$B$2:$B$1000,
"")))</f>
        <v/>
      </c>
      <c r="E81" s="8" t="str">
        <f t="array" ref="E81">IF($A81="","",
INDEX(個体台帳!$D$2:$D$1000,
MATCH(1,
(個体台帳!$A$2:$A$1000=$A81)*
(個体台帳!$C$2:$C$1000="服"),
0)))</f>
        <v/>
      </c>
      <c r="F81" t="str">
        <f t="array" ref="F81">IF($A81="","",
IF(COUNTIFS(貸出記録!$B:$B,$A81,貸出記録!$E:$E,"")&gt;0,
"貸出中","在庫"))</f>
        <v/>
      </c>
      <c r="G81" t="s">
        <v>6</v>
      </c>
      <c r="H81" t="s">
        <v>6</v>
      </c>
      <c r="I81" t="s">
        <v>6</v>
      </c>
    </row>
    <row r="82" spans="1:9">
      <c r="A82" s="21" t="s">
        <v>6</v>
      </c>
      <c r="B82" t="str">
        <f t="array" ref="B82">IF(TRIM(A82)="","",
_xlfn.TEXTJOIN(" , ",TRUE,
IF((個体台帳!$A$2:$A$1000=TRIM(A82))*(個体台帳!$C$2:$C$1000="服"),
個体台帳!$B$2:$B$1000,
"")))</f>
        <v/>
      </c>
      <c r="C82" t="str">
        <f t="array" ref="C82">IF(TRIM(A82)="","",
_xlfn.TEXTJOIN(" , ",TRUE,
IF((個体台帳!$A$2:$A$1000=TRIM(A82))*(個体台帳!$C$2:$C$1000="小物1"),
個体台帳!$B$2:$B$1000,
"")))</f>
        <v/>
      </c>
      <c r="D82" t="str">
        <f t="array" ref="D82">IF(TRIM(A82)="","",
_xlfn.TEXTJOIN(" , ",TRUE,
IF((個体台帳!$A$2:$A$1000=TRIM(A82))*(個体台帳!$C$2:$C$1000="小物2"),
個体台帳!$B$2:$B$1000,
"")))</f>
        <v/>
      </c>
      <c r="E82" s="8" t="str">
        <f t="array" ref="E82">IF($A82="","",
INDEX(個体台帳!$D$2:$D$1000,
MATCH(1,
(個体台帳!$A$2:$A$1000=$A82)*
(個体台帳!$C$2:$C$1000="服"),
0)))</f>
        <v/>
      </c>
      <c r="F82" t="str">
        <f t="array" ref="F82">IF($A82="","",
IF(COUNTIFS(貸出記録!$B:$B,$A82,貸出記録!$E:$E,"")&gt;0,
"貸出中","在庫"))</f>
        <v/>
      </c>
      <c r="G82" t="s">
        <v>6</v>
      </c>
      <c r="H82" t="s">
        <v>6</v>
      </c>
      <c r="I82" t="s">
        <v>6</v>
      </c>
    </row>
    <row r="83" spans="1:9">
      <c r="A83" s="21" t="s">
        <v>6</v>
      </c>
      <c r="B83" t="str">
        <f t="array" ref="B83">IF(TRIM(A83)="","",
_xlfn.TEXTJOIN(" , ",TRUE,
IF((個体台帳!$A$2:$A$1000=TRIM(A83))*(個体台帳!$C$2:$C$1000="服"),
個体台帳!$B$2:$B$1000,
"")))</f>
        <v/>
      </c>
      <c r="C83" t="str">
        <f t="array" ref="C83">IF(TRIM(A83)="","",
_xlfn.TEXTJOIN(" , ",TRUE,
IF((個体台帳!$A$2:$A$1000=TRIM(A83))*(個体台帳!$C$2:$C$1000="小物1"),
個体台帳!$B$2:$B$1000,
"")))</f>
        <v/>
      </c>
      <c r="D83" t="str">
        <f t="array" ref="D83">IF(TRIM(A83)="","",
_xlfn.TEXTJOIN(" , ",TRUE,
IF((個体台帳!$A$2:$A$1000=TRIM(A83))*(個体台帳!$C$2:$C$1000="小物2"),
個体台帳!$B$2:$B$1000,
"")))</f>
        <v/>
      </c>
      <c r="E83" s="8" t="str">
        <f t="array" ref="E83">IF($A83="","",
INDEX(個体台帳!$D$2:$D$1000,
MATCH(1,
(個体台帳!$A$2:$A$1000=$A83)*
(個体台帳!$C$2:$C$1000="服"),
0)))</f>
        <v/>
      </c>
      <c r="F83" t="str">
        <f t="array" ref="F83">IF($A83="","",
IF(COUNTIFS(貸出記録!$B:$B,$A83,貸出記録!$E:$E,"")&gt;0,
"貸出中","在庫"))</f>
        <v/>
      </c>
      <c r="G83" t="s">
        <v>6</v>
      </c>
      <c r="H83" t="s">
        <v>6</v>
      </c>
      <c r="I83" t="s">
        <v>6</v>
      </c>
    </row>
    <row r="84" spans="1:9">
      <c r="A84" s="21" t="s">
        <v>6</v>
      </c>
      <c r="B84" t="str">
        <f t="array" ref="B84">IF(TRIM(A84)="","",
_xlfn.TEXTJOIN(" , ",TRUE,
IF((個体台帳!$A$2:$A$1000=TRIM(A84))*(個体台帳!$C$2:$C$1000="服"),
個体台帳!$B$2:$B$1000,
"")))</f>
        <v/>
      </c>
      <c r="C84" t="str">
        <f t="array" ref="C84">IF(TRIM(A84)="","",
_xlfn.TEXTJOIN(" , ",TRUE,
IF((個体台帳!$A$2:$A$1000=TRIM(A84))*(個体台帳!$C$2:$C$1000="小物1"),
個体台帳!$B$2:$B$1000,
"")))</f>
        <v/>
      </c>
      <c r="D84" t="str">
        <f t="array" ref="D84">IF(TRIM(A84)="","",
_xlfn.TEXTJOIN(" , ",TRUE,
IF((個体台帳!$A$2:$A$1000=TRIM(A84))*(個体台帳!$C$2:$C$1000="小物2"),
個体台帳!$B$2:$B$1000,
"")))</f>
        <v/>
      </c>
      <c r="E84" s="8" t="str">
        <f t="array" ref="E84">IF($A84="","",
INDEX(個体台帳!$D$2:$D$1000,
MATCH(1,
(個体台帳!$A$2:$A$1000=$A84)*
(個体台帳!$C$2:$C$1000="服"),
0)))</f>
        <v/>
      </c>
      <c r="F84" t="str">
        <f t="array" ref="F84">IF($A84="","",
IF(COUNTIFS(貸出記録!$B:$B,$A84,貸出記録!$E:$E,"")&gt;0,
"貸出中","在庫"))</f>
        <v/>
      </c>
      <c r="G84" t="s">
        <v>6</v>
      </c>
      <c r="H84" t="s">
        <v>6</v>
      </c>
      <c r="I84" t="s">
        <v>6</v>
      </c>
    </row>
    <row r="85" spans="1:9">
      <c r="A85" s="21" t="s">
        <v>6</v>
      </c>
      <c r="B85" t="str">
        <f t="array" ref="B85">IF(TRIM(A85)="","",
_xlfn.TEXTJOIN(" , ",TRUE,
IF((個体台帳!$A$2:$A$1000=TRIM(A85))*(個体台帳!$C$2:$C$1000="服"),
個体台帳!$B$2:$B$1000,
"")))</f>
        <v/>
      </c>
      <c r="C85" t="str">
        <f t="array" ref="C85">IF(TRIM(A85)="","",
_xlfn.TEXTJOIN(" , ",TRUE,
IF((個体台帳!$A$2:$A$1000=TRIM(A85))*(個体台帳!$C$2:$C$1000="小物1"),
個体台帳!$B$2:$B$1000,
"")))</f>
        <v/>
      </c>
      <c r="D85" t="str">
        <f t="array" ref="D85">IF(TRIM(A85)="","",
_xlfn.TEXTJOIN(" , ",TRUE,
IF((個体台帳!$A$2:$A$1000=TRIM(A85))*(個体台帳!$C$2:$C$1000="小物2"),
個体台帳!$B$2:$B$1000,
"")))</f>
        <v/>
      </c>
      <c r="E85" s="8" t="str">
        <f t="array" ref="E85">IF($A85="","",
INDEX(個体台帳!$D$2:$D$1000,
MATCH(1,
(個体台帳!$A$2:$A$1000=$A85)*
(個体台帳!$C$2:$C$1000="服"),
0)))</f>
        <v/>
      </c>
      <c r="F85" t="str">
        <f t="array" ref="F85">IF($A85="","",
IF(COUNTIFS(貸出記録!$B:$B,$A85,貸出記録!$E:$E,"")&gt;0,
"貸出中","在庫"))</f>
        <v/>
      </c>
      <c r="G85" t="s">
        <v>6</v>
      </c>
      <c r="H85" t="s">
        <v>6</v>
      </c>
      <c r="I85" t="s">
        <v>6</v>
      </c>
    </row>
    <row r="86" spans="1:9">
      <c r="A86" s="21" t="s">
        <v>6</v>
      </c>
      <c r="B86" t="str">
        <f t="array" ref="B86">IF(TRIM(A86)="","",
_xlfn.TEXTJOIN(" , ",TRUE,
IF((個体台帳!$A$2:$A$1000=TRIM(A86))*(個体台帳!$C$2:$C$1000="服"),
個体台帳!$B$2:$B$1000,
"")))</f>
        <v/>
      </c>
      <c r="C86" t="str">
        <f t="array" ref="C86">IF(TRIM(A86)="","",
_xlfn.TEXTJOIN(" , ",TRUE,
IF((個体台帳!$A$2:$A$1000=TRIM(A86))*(個体台帳!$C$2:$C$1000="小物1"),
個体台帳!$B$2:$B$1000,
"")))</f>
        <v/>
      </c>
      <c r="D86" t="str">
        <f t="array" ref="D86">IF(TRIM(A86)="","",
_xlfn.TEXTJOIN(" , ",TRUE,
IF((個体台帳!$A$2:$A$1000=TRIM(A86))*(個体台帳!$C$2:$C$1000="小物2"),
個体台帳!$B$2:$B$1000,
"")))</f>
        <v/>
      </c>
      <c r="E86" s="8" t="str">
        <f t="array" ref="E86">IF($A86="","",
INDEX(個体台帳!$D$2:$D$1000,
MATCH(1,
(個体台帳!$A$2:$A$1000=$A86)*
(個体台帳!$C$2:$C$1000="服"),
0)))</f>
        <v/>
      </c>
      <c r="F86" t="str">
        <f t="array" ref="F86">IF($A86="","",
IF(COUNTIFS(貸出記録!$B:$B,$A86,貸出記録!$E:$E,"")&gt;0,
"貸出中","在庫"))</f>
        <v/>
      </c>
      <c r="G86" t="s">
        <v>6</v>
      </c>
      <c r="H86" t="s">
        <v>6</v>
      </c>
      <c r="I86" t="s">
        <v>6</v>
      </c>
    </row>
    <row r="87" spans="1:9">
      <c r="A87" s="21" t="s">
        <v>6</v>
      </c>
      <c r="B87" t="str">
        <f t="array" ref="B87">IF(TRIM(A87)="","",
_xlfn.TEXTJOIN(" , ",TRUE,
IF((個体台帳!$A$2:$A$1000=TRIM(A87))*(個体台帳!$C$2:$C$1000="服"),
個体台帳!$B$2:$B$1000,
"")))</f>
        <v/>
      </c>
      <c r="C87" t="str">
        <f t="array" ref="C87">IF(TRIM(A87)="","",
_xlfn.TEXTJOIN(" , ",TRUE,
IF((個体台帳!$A$2:$A$1000=TRIM(A87))*(個体台帳!$C$2:$C$1000="小物1"),
個体台帳!$B$2:$B$1000,
"")))</f>
        <v/>
      </c>
      <c r="D87" t="str">
        <f t="array" ref="D87">IF(TRIM(A87)="","",
_xlfn.TEXTJOIN(" , ",TRUE,
IF((個体台帳!$A$2:$A$1000=TRIM(A87))*(個体台帳!$C$2:$C$1000="小物2"),
個体台帳!$B$2:$B$1000,
"")))</f>
        <v/>
      </c>
      <c r="E87" s="8" t="str">
        <f t="array" ref="E87">IF($A87="","",
INDEX(個体台帳!$D$2:$D$1000,
MATCH(1,
(個体台帳!$A$2:$A$1000=$A87)*
(個体台帳!$C$2:$C$1000="服"),
0)))</f>
        <v/>
      </c>
      <c r="F87" t="str">
        <f t="array" ref="F87">IF($A87="","",
IF(COUNTIFS(貸出記録!$B:$B,$A87,貸出記録!$E:$E,"")&gt;0,
"貸出中","在庫"))</f>
        <v/>
      </c>
      <c r="G87" t="s">
        <v>6</v>
      </c>
      <c r="H87" t="s">
        <v>6</v>
      </c>
      <c r="I87" t="s">
        <v>6</v>
      </c>
    </row>
    <row r="88" spans="1:9">
      <c r="A88" s="21" t="s">
        <v>6</v>
      </c>
      <c r="B88" t="str">
        <f t="array" ref="B88">IF(TRIM(A88)="","",
_xlfn.TEXTJOIN(" , ",TRUE,
IF((個体台帳!$A$2:$A$1000=TRIM(A88))*(個体台帳!$C$2:$C$1000="服"),
個体台帳!$B$2:$B$1000,
"")))</f>
        <v/>
      </c>
      <c r="C88" t="str">
        <f t="array" ref="C88">IF(TRIM(A88)="","",
_xlfn.TEXTJOIN(" , ",TRUE,
IF((個体台帳!$A$2:$A$1000=TRIM(A88))*(個体台帳!$C$2:$C$1000="小物1"),
個体台帳!$B$2:$B$1000,
"")))</f>
        <v/>
      </c>
      <c r="D88" t="str">
        <f t="array" ref="D88">IF(TRIM(A88)="","",
_xlfn.TEXTJOIN(" , ",TRUE,
IF((個体台帳!$A$2:$A$1000=TRIM(A88))*(個体台帳!$C$2:$C$1000="小物2"),
個体台帳!$B$2:$B$1000,
"")))</f>
        <v/>
      </c>
      <c r="E88" s="8" t="str">
        <f t="array" ref="E88">IF($A88="","",
INDEX(個体台帳!$D$2:$D$1000,
MATCH(1,
(個体台帳!$A$2:$A$1000=$A88)*
(個体台帳!$C$2:$C$1000="服"),
0)))</f>
        <v/>
      </c>
      <c r="F88" t="str">
        <f t="array" ref="F88">IF($A88="","",
IF(COUNTIFS(貸出記録!$B:$B,$A88,貸出記録!$E:$E,"")&gt;0,
"貸出中","在庫"))</f>
        <v/>
      </c>
      <c r="G88" t="s">
        <v>6</v>
      </c>
      <c r="H88" t="s">
        <v>6</v>
      </c>
      <c r="I88" t="s">
        <v>6</v>
      </c>
    </row>
    <row r="89" spans="1:9">
      <c r="A89" s="21" t="s">
        <v>6</v>
      </c>
      <c r="B89" t="str">
        <f t="array" ref="B89">IF(TRIM(A89)="","",
_xlfn.TEXTJOIN(" , ",TRUE,
IF((個体台帳!$A$2:$A$1000=TRIM(A89))*(個体台帳!$C$2:$C$1000="服"),
個体台帳!$B$2:$B$1000,
"")))</f>
        <v/>
      </c>
      <c r="C89" t="str">
        <f t="array" ref="C89">IF(TRIM(A89)="","",
_xlfn.TEXTJOIN(" , ",TRUE,
IF((個体台帳!$A$2:$A$1000=TRIM(A89))*(個体台帳!$C$2:$C$1000="小物1"),
個体台帳!$B$2:$B$1000,
"")))</f>
        <v/>
      </c>
      <c r="D89" t="str">
        <f t="array" ref="D89">IF(TRIM(A89)="","",
_xlfn.TEXTJOIN(" , ",TRUE,
IF((個体台帳!$A$2:$A$1000=TRIM(A89))*(個体台帳!$C$2:$C$1000="小物2"),
個体台帳!$B$2:$B$1000,
"")))</f>
        <v/>
      </c>
      <c r="E89" s="8" t="str">
        <f t="array" ref="E89">IF($A89="","",
INDEX(個体台帳!$D$2:$D$1000,
MATCH(1,
(個体台帳!$A$2:$A$1000=$A89)*
(個体台帳!$C$2:$C$1000="服"),
0)))</f>
        <v/>
      </c>
      <c r="F89" t="str">
        <f t="array" ref="F89">IF($A89="","",
IF(COUNTIFS(貸出記録!$B:$B,$A89,貸出記録!$E:$E,"")&gt;0,
"貸出中","在庫"))</f>
        <v/>
      </c>
      <c r="G89" t="s">
        <v>6</v>
      </c>
      <c r="H89" t="s">
        <v>6</v>
      </c>
      <c r="I89" t="s">
        <v>6</v>
      </c>
    </row>
    <row r="90" spans="1:9">
      <c r="A90" s="21" t="s">
        <v>6</v>
      </c>
      <c r="B90" t="str">
        <f t="array" ref="B90">IF(TRIM(A90)="","",
_xlfn.TEXTJOIN(" , ",TRUE,
IF((個体台帳!$A$2:$A$1000=TRIM(A90))*(個体台帳!$C$2:$C$1000="服"),
個体台帳!$B$2:$B$1000,
"")))</f>
        <v/>
      </c>
      <c r="C90" t="str">
        <f t="array" ref="C90">IF(TRIM(A90)="","",
_xlfn.TEXTJOIN(" , ",TRUE,
IF((個体台帳!$A$2:$A$1000=TRIM(A90))*(個体台帳!$C$2:$C$1000="小物1"),
個体台帳!$B$2:$B$1000,
"")))</f>
        <v/>
      </c>
      <c r="D90" t="str">
        <f t="array" ref="D90">IF(TRIM(A90)="","",
_xlfn.TEXTJOIN(" , ",TRUE,
IF((個体台帳!$A$2:$A$1000=TRIM(A90))*(個体台帳!$C$2:$C$1000="小物2"),
個体台帳!$B$2:$B$1000,
"")))</f>
        <v/>
      </c>
      <c r="E90" s="8" t="str">
        <f t="array" ref="E90">IF($A90="","",
INDEX(個体台帳!$D$2:$D$1000,
MATCH(1,
(個体台帳!$A$2:$A$1000=$A90)*
(個体台帳!$C$2:$C$1000="服"),
0)))</f>
        <v/>
      </c>
      <c r="F90" t="str">
        <f t="array" ref="F90">IF($A90="","",
IF(COUNTIFS(貸出記録!$B:$B,$A90,貸出記録!$E:$E,"")&gt;0,
"貸出中","在庫"))</f>
        <v/>
      </c>
      <c r="G90" t="s">
        <v>6</v>
      </c>
      <c r="H90" t="s">
        <v>6</v>
      </c>
      <c r="I90" t="s">
        <v>6</v>
      </c>
    </row>
    <row r="91" spans="1:9">
      <c r="A91" s="21" t="s">
        <v>6</v>
      </c>
      <c r="B91" t="str">
        <f t="array" ref="B91">IF(TRIM(A91)="","",
_xlfn.TEXTJOIN(" , ",TRUE,
IF((個体台帳!$A$2:$A$1000=TRIM(A91))*(個体台帳!$C$2:$C$1000="服"),
個体台帳!$B$2:$B$1000,
"")))</f>
        <v/>
      </c>
      <c r="C91" t="str">
        <f t="array" ref="C91">IF(TRIM(A91)="","",
_xlfn.TEXTJOIN(" , ",TRUE,
IF((個体台帳!$A$2:$A$1000=TRIM(A91))*(個体台帳!$C$2:$C$1000="小物1"),
個体台帳!$B$2:$B$1000,
"")))</f>
        <v/>
      </c>
      <c r="D91" t="str">
        <f t="array" ref="D91">IF(TRIM(A91)="","",
_xlfn.TEXTJOIN(" , ",TRUE,
IF((個体台帳!$A$2:$A$1000=TRIM(A91))*(個体台帳!$C$2:$C$1000="小物2"),
個体台帳!$B$2:$B$1000,
"")))</f>
        <v/>
      </c>
      <c r="E91" s="8" t="str">
        <f t="array" ref="E91">IF($A91="","",
INDEX(個体台帳!$D$2:$D$1000,
MATCH(1,
(個体台帳!$A$2:$A$1000=$A91)*
(個体台帳!$C$2:$C$1000="服"),
0)))</f>
        <v/>
      </c>
      <c r="F91" t="str">
        <f t="array" ref="F91">IF($A91="","",
IF(COUNTIFS(貸出記録!$B:$B,$A91,貸出記録!$E:$E,"")&gt;0,
"貸出中","在庫"))</f>
        <v/>
      </c>
      <c r="G91" t="s">
        <v>6</v>
      </c>
      <c r="H91" t="s">
        <v>6</v>
      </c>
      <c r="I91" t="s">
        <v>6</v>
      </c>
    </row>
    <row r="92" spans="1:9">
      <c r="A92" s="21" t="s">
        <v>6</v>
      </c>
      <c r="B92" t="str">
        <f t="array" ref="B92">IF(TRIM(A92)="","",
_xlfn.TEXTJOIN(" , ",TRUE,
IF((個体台帳!$A$2:$A$1000=TRIM(A92))*(個体台帳!$C$2:$C$1000="服"),
個体台帳!$B$2:$B$1000,
"")))</f>
        <v/>
      </c>
      <c r="C92" t="str">
        <f t="array" ref="C92">IF(TRIM(A92)="","",
_xlfn.TEXTJOIN(" , ",TRUE,
IF((個体台帳!$A$2:$A$1000=TRIM(A92))*(個体台帳!$C$2:$C$1000="小物1"),
個体台帳!$B$2:$B$1000,
"")))</f>
        <v/>
      </c>
      <c r="D92" t="str">
        <f t="array" ref="D92">IF(TRIM(A92)="","",
_xlfn.TEXTJOIN(" , ",TRUE,
IF((個体台帳!$A$2:$A$1000=TRIM(A92))*(個体台帳!$C$2:$C$1000="小物2"),
個体台帳!$B$2:$B$1000,
"")))</f>
        <v/>
      </c>
      <c r="E92" s="8" t="str">
        <f t="array" ref="E92">IF($A92="","",
INDEX(個体台帳!$D$2:$D$1000,
MATCH(1,
(個体台帳!$A$2:$A$1000=$A92)*
(個体台帳!$C$2:$C$1000="服"),
0)))</f>
        <v/>
      </c>
      <c r="F92" t="str">
        <f t="array" ref="F92">IF($A92="","",
IF(COUNTIFS(貸出記録!$B:$B,$A92,貸出記録!$E:$E,"")&gt;0,
"貸出中","在庫"))</f>
        <v/>
      </c>
      <c r="G92" t="s">
        <v>6</v>
      </c>
      <c r="H92" t="s">
        <v>6</v>
      </c>
      <c r="I92" t="s">
        <v>6</v>
      </c>
    </row>
    <row r="93" spans="1:9">
      <c r="A93" s="21" t="s">
        <v>6</v>
      </c>
      <c r="B93" t="str">
        <f t="array" ref="B93">IF(TRIM(A93)="","",
_xlfn.TEXTJOIN(" , ",TRUE,
IF((個体台帳!$A$2:$A$1000=TRIM(A93))*(個体台帳!$C$2:$C$1000="服"),
個体台帳!$B$2:$B$1000,
"")))</f>
        <v/>
      </c>
      <c r="C93" t="str">
        <f t="array" ref="C93">IF(TRIM(A93)="","",
_xlfn.TEXTJOIN(" , ",TRUE,
IF((個体台帳!$A$2:$A$1000=TRIM(A93))*(個体台帳!$C$2:$C$1000="小物1"),
個体台帳!$B$2:$B$1000,
"")))</f>
        <v/>
      </c>
      <c r="D93" t="str">
        <f t="array" ref="D93">IF(TRIM(A93)="","",
_xlfn.TEXTJOIN(" , ",TRUE,
IF((個体台帳!$A$2:$A$1000=TRIM(A93))*(個体台帳!$C$2:$C$1000="小物2"),
個体台帳!$B$2:$B$1000,
"")))</f>
        <v/>
      </c>
      <c r="E93" s="8" t="str">
        <f t="array" ref="E93">IF($A93="","",
INDEX(個体台帳!$D$2:$D$1000,
MATCH(1,
(個体台帳!$A$2:$A$1000=$A93)*
(個体台帳!$C$2:$C$1000="服"),
0)))</f>
        <v/>
      </c>
      <c r="F93" t="str">
        <f t="array" ref="F93">IF($A93="","",
IF(COUNTIFS(貸出記録!$B:$B,$A93,貸出記録!$E:$E,"")&gt;0,
"貸出中","在庫"))</f>
        <v/>
      </c>
      <c r="G93" t="s">
        <v>6</v>
      </c>
      <c r="H93" t="s">
        <v>6</v>
      </c>
      <c r="I93" t="s">
        <v>6</v>
      </c>
    </row>
    <row r="94" spans="1:9">
      <c r="A94" s="21" t="s">
        <v>6</v>
      </c>
      <c r="B94" t="str">
        <f t="array" ref="B94">IF(TRIM(A94)="","",
_xlfn.TEXTJOIN(" , ",TRUE,
IF((個体台帳!$A$2:$A$1000=TRIM(A94))*(個体台帳!$C$2:$C$1000="服"),
個体台帳!$B$2:$B$1000,
"")))</f>
        <v/>
      </c>
      <c r="C94" t="str">
        <f t="array" ref="C94">IF(TRIM(A94)="","",
_xlfn.TEXTJOIN(" , ",TRUE,
IF((個体台帳!$A$2:$A$1000=TRIM(A94))*(個体台帳!$C$2:$C$1000="小物1"),
個体台帳!$B$2:$B$1000,
"")))</f>
        <v/>
      </c>
      <c r="D94" t="str">
        <f t="array" ref="D94">IF(TRIM(A94)="","",
_xlfn.TEXTJOIN(" , ",TRUE,
IF((個体台帳!$A$2:$A$1000=TRIM(A94))*(個体台帳!$C$2:$C$1000="小物2"),
個体台帳!$B$2:$B$1000,
"")))</f>
        <v/>
      </c>
      <c r="E94" s="8" t="str">
        <f t="array" ref="E94">IF($A94="","",
INDEX(個体台帳!$D$2:$D$1000,
MATCH(1,
(個体台帳!$A$2:$A$1000=$A94)*
(個体台帳!$C$2:$C$1000="服"),
0)))</f>
        <v/>
      </c>
      <c r="F94" t="str">
        <f t="array" ref="F94">IF($A94="","",
IF(COUNTIFS(貸出記録!$B:$B,$A94,貸出記録!$E:$E,"")&gt;0,
"貸出中","在庫"))</f>
        <v/>
      </c>
      <c r="G94" t="s">
        <v>6</v>
      </c>
      <c r="H94" t="s">
        <v>6</v>
      </c>
      <c r="I94" t="s">
        <v>6</v>
      </c>
    </row>
    <row r="95" spans="1:9">
      <c r="A95" s="21" t="s">
        <v>6</v>
      </c>
      <c r="B95" t="str">
        <f t="array" ref="B95">IF(TRIM(A95)="","",
_xlfn.TEXTJOIN(" , ",TRUE,
IF((個体台帳!$A$2:$A$1000=TRIM(A95))*(個体台帳!$C$2:$C$1000="服"),
個体台帳!$B$2:$B$1000,
"")))</f>
        <v/>
      </c>
      <c r="C95" t="str">
        <f t="array" ref="C95">IF(TRIM(A95)="","",
_xlfn.TEXTJOIN(" , ",TRUE,
IF((個体台帳!$A$2:$A$1000=TRIM(A95))*(個体台帳!$C$2:$C$1000="小物1"),
個体台帳!$B$2:$B$1000,
"")))</f>
        <v/>
      </c>
      <c r="D95" t="str">
        <f t="array" ref="D95">IF(TRIM(A95)="","",
_xlfn.TEXTJOIN(" , ",TRUE,
IF((個体台帳!$A$2:$A$1000=TRIM(A95))*(個体台帳!$C$2:$C$1000="小物2"),
個体台帳!$B$2:$B$1000,
"")))</f>
        <v/>
      </c>
      <c r="E95" s="8" t="str">
        <f t="array" ref="E95">IF($A95="","",
INDEX(個体台帳!$D$2:$D$1000,
MATCH(1,
(個体台帳!$A$2:$A$1000=$A95)*
(個体台帳!$C$2:$C$1000="服"),
0)))</f>
        <v/>
      </c>
      <c r="F95" t="str">
        <f t="array" ref="F95">IF($A95="","",
IF(COUNTIFS(貸出記録!$B:$B,$A95,貸出記録!$E:$E,"")&gt;0,
"貸出中","在庫"))</f>
        <v/>
      </c>
      <c r="G95" t="s">
        <v>6</v>
      </c>
      <c r="H95" t="s">
        <v>6</v>
      </c>
      <c r="I95" t="s">
        <v>6</v>
      </c>
    </row>
    <row r="96" spans="1:9">
      <c r="A96" s="21" t="s">
        <v>6</v>
      </c>
      <c r="B96" t="str">
        <f t="array" ref="B96">IF(TRIM(A96)="","",
_xlfn.TEXTJOIN(" , ",TRUE,
IF((個体台帳!$A$2:$A$1000=TRIM(A96))*(個体台帳!$C$2:$C$1000="服"),
個体台帳!$B$2:$B$1000,
"")))</f>
        <v/>
      </c>
      <c r="C96" t="str">
        <f t="array" ref="C96">IF(TRIM(A96)="","",
_xlfn.TEXTJOIN(" , ",TRUE,
IF((個体台帳!$A$2:$A$1000=TRIM(A96))*(個体台帳!$C$2:$C$1000="小物1"),
個体台帳!$B$2:$B$1000,
"")))</f>
        <v/>
      </c>
      <c r="D96" t="str">
        <f t="array" ref="D96">IF(TRIM(A96)="","",
_xlfn.TEXTJOIN(" , ",TRUE,
IF((個体台帳!$A$2:$A$1000=TRIM(A96))*(個体台帳!$C$2:$C$1000="小物2"),
個体台帳!$B$2:$B$1000,
"")))</f>
        <v/>
      </c>
      <c r="E96" s="8" t="str">
        <f t="array" ref="E96">IF($A96="","",
INDEX(個体台帳!$D$2:$D$1000,
MATCH(1,
(個体台帳!$A$2:$A$1000=$A96)*
(個体台帳!$C$2:$C$1000="服"),
0)))</f>
        <v/>
      </c>
      <c r="F96" t="str">
        <f t="array" ref="F96">IF($A96="","",
IF(COUNTIFS(貸出記録!$B:$B,$A96,貸出記録!$E:$E,"")&gt;0,
"貸出中","在庫"))</f>
        <v/>
      </c>
      <c r="G96" t="s">
        <v>6</v>
      </c>
      <c r="H96" t="s">
        <v>6</v>
      </c>
      <c r="I96" t="s">
        <v>6</v>
      </c>
    </row>
    <row r="97" spans="1:9">
      <c r="A97" s="21" t="s">
        <v>6</v>
      </c>
      <c r="B97" t="str">
        <f t="array" ref="B97">IF(TRIM(A97)="","",
_xlfn.TEXTJOIN(" , ",TRUE,
IF((個体台帳!$A$2:$A$1000=TRIM(A97))*(個体台帳!$C$2:$C$1000="服"),
個体台帳!$B$2:$B$1000,
"")))</f>
        <v/>
      </c>
      <c r="C97" t="str">
        <f t="array" ref="C97">IF(TRIM(A97)="","",
_xlfn.TEXTJOIN(" , ",TRUE,
IF((個体台帳!$A$2:$A$1000=TRIM(A97))*(個体台帳!$C$2:$C$1000="小物1"),
個体台帳!$B$2:$B$1000,
"")))</f>
        <v/>
      </c>
      <c r="D97" t="str">
        <f t="array" ref="D97">IF(TRIM(A97)="","",
_xlfn.TEXTJOIN(" , ",TRUE,
IF((個体台帳!$A$2:$A$1000=TRIM(A97))*(個体台帳!$C$2:$C$1000="小物2"),
個体台帳!$B$2:$B$1000,
"")))</f>
        <v/>
      </c>
      <c r="E97" s="8" t="str">
        <f t="array" ref="E97">IF($A97="","",
INDEX(個体台帳!$D$2:$D$1000,
MATCH(1,
(個体台帳!$A$2:$A$1000=$A97)*
(個体台帳!$C$2:$C$1000="服"),
0)))</f>
        <v/>
      </c>
      <c r="F97" t="str">
        <f t="array" ref="F97">IF($A97="","",
IF(COUNTIFS(貸出記録!$B:$B,$A97,貸出記録!$E:$E,"")&gt;0,
"貸出中","在庫"))</f>
        <v/>
      </c>
      <c r="G97" t="s">
        <v>6</v>
      </c>
      <c r="H97" t="s">
        <v>6</v>
      </c>
      <c r="I97" t="s">
        <v>6</v>
      </c>
    </row>
    <row r="98" spans="1:9">
      <c r="A98" s="21" t="s">
        <v>6</v>
      </c>
      <c r="B98" t="str">
        <f t="array" ref="B98">IF(TRIM(A98)="","",
_xlfn.TEXTJOIN(" , ",TRUE,
IF((個体台帳!$A$2:$A$1000=TRIM(A98))*(個体台帳!$C$2:$C$1000="服"),
個体台帳!$B$2:$B$1000,
"")))</f>
        <v/>
      </c>
      <c r="C98" t="str">
        <f t="array" ref="C98">IF(TRIM(A98)="","",
_xlfn.TEXTJOIN(" , ",TRUE,
IF((個体台帳!$A$2:$A$1000=TRIM(A98))*(個体台帳!$C$2:$C$1000="小物1"),
個体台帳!$B$2:$B$1000,
"")))</f>
        <v/>
      </c>
      <c r="D98" t="str">
        <f t="array" ref="D98">IF(TRIM(A98)="","",
_xlfn.TEXTJOIN(" , ",TRUE,
IF((個体台帳!$A$2:$A$1000=TRIM(A98))*(個体台帳!$C$2:$C$1000="小物2"),
個体台帳!$B$2:$B$1000,
"")))</f>
        <v/>
      </c>
      <c r="E98" s="8" t="str">
        <f t="array" ref="E98">IF($A98="","",
INDEX(個体台帳!$D$2:$D$1000,
MATCH(1,
(個体台帳!$A$2:$A$1000=$A98)*
(個体台帳!$C$2:$C$1000="服"),
0)))</f>
        <v/>
      </c>
      <c r="F98" t="str">
        <f t="array" ref="F98">IF($A98="","",
IF(COUNTIFS(貸出記録!$B:$B,$A98,貸出記録!$E:$E,"")&gt;0,
"貸出中","在庫"))</f>
        <v/>
      </c>
      <c r="G98" t="s">
        <v>6</v>
      </c>
      <c r="H98" t="s">
        <v>6</v>
      </c>
      <c r="I98" t="s">
        <v>6</v>
      </c>
    </row>
    <row r="99" spans="1:9">
      <c r="A99" s="21" t="s">
        <v>6</v>
      </c>
      <c r="B99" t="str">
        <f t="array" ref="B99">IF(TRIM(A99)="","",
_xlfn.TEXTJOIN(" , ",TRUE,
IF((個体台帳!$A$2:$A$1000=TRIM(A99))*(個体台帳!$C$2:$C$1000="服"),
個体台帳!$B$2:$B$1000,
"")))</f>
        <v/>
      </c>
      <c r="C99" t="str">
        <f t="array" ref="C99">IF(TRIM(A99)="","",
_xlfn.TEXTJOIN(" , ",TRUE,
IF((個体台帳!$A$2:$A$1000=TRIM(A99))*(個体台帳!$C$2:$C$1000="小物1"),
個体台帳!$B$2:$B$1000,
"")))</f>
        <v/>
      </c>
      <c r="D99" t="str">
        <f t="array" ref="D99">IF(TRIM(A99)="","",
_xlfn.TEXTJOIN(" , ",TRUE,
IF((個体台帳!$A$2:$A$1000=TRIM(A99))*(個体台帳!$C$2:$C$1000="小物2"),
個体台帳!$B$2:$B$1000,
"")))</f>
        <v/>
      </c>
      <c r="E99" s="8" t="str">
        <f t="array" ref="E99">IF($A99="","",
INDEX(個体台帳!$D$2:$D$1000,
MATCH(1,
(個体台帳!$A$2:$A$1000=$A99)*
(個体台帳!$C$2:$C$1000="服"),
0)))</f>
        <v/>
      </c>
      <c r="F99" t="str">
        <f t="array" ref="F99">IF($A99="","",
IF(COUNTIFS(貸出記録!$B:$B,$A99,貸出記録!$E:$E,"")&gt;0,
"貸出中","在庫"))</f>
        <v/>
      </c>
      <c r="G99" t="s">
        <v>6</v>
      </c>
      <c r="H99" t="s">
        <v>6</v>
      </c>
      <c r="I99" t="s">
        <v>6</v>
      </c>
    </row>
    <row r="100" spans="1:9">
      <c r="A100" s="21" t="s">
        <v>6</v>
      </c>
      <c r="B100" t="str">
        <f t="array" ref="B100">IF(TRIM(A100)="","",
_xlfn.TEXTJOIN(" , ",TRUE,
IF((個体台帳!$A$2:$A$1000=TRIM(A100))*(個体台帳!$C$2:$C$1000="服"),
個体台帳!$B$2:$B$1000,
"")))</f>
        <v/>
      </c>
      <c r="C100" t="str">
        <f t="array" ref="C100">IF(TRIM(A100)="","",
_xlfn.TEXTJOIN(" , ",TRUE,
IF((個体台帳!$A$2:$A$1000=TRIM(A100))*(個体台帳!$C$2:$C$1000="小物1"),
個体台帳!$B$2:$B$1000,
"")))</f>
        <v/>
      </c>
      <c r="D100" t="str">
        <f t="array" ref="D100">IF(TRIM(A100)="","",
_xlfn.TEXTJOIN(" , ",TRUE,
IF((個体台帳!$A$2:$A$1000=TRIM(A100))*(個体台帳!$C$2:$C$1000="小物2"),
個体台帳!$B$2:$B$1000,
"")))</f>
        <v/>
      </c>
      <c r="E100" s="8" t="str">
        <f t="array" ref="E100">IF($A100="","",
INDEX(個体台帳!$D$2:$D$1000,
MATCH(1,
(個体台帳!$A$2:$A$1000=$A100)*
(個体台帳!$C$2:$C$1000="服"),
0)))</f>
        <v/>
      </c>
      <c r="F100" t="str">
        <f t="array" ref="F100">IF($A100="","",
IF(COUNTIFS(貸出記録!$B:$B,$A100,貸出記録!$E:$E,"")&gt;0,
"貸出中","在庫"))</f>
        <v/>
      </c>
      <c r="G100" t="s">
        <v>6</v>
      </c>
      <c r="H100" t="s">
        <v>6</v>
      </c>
      <c r="I100" t="s">
        <v>6</v>
      </c>
    </row>
    <row r="101" spans="1:9">
      <c r="A101" s="21" t="s">
        <v>6</v>
      </c>
      <c r="B101" t="str">
        <f t="array" ref="B101">IF(TRIM(A101)="","",
_xlfn.TEXTJOIN(" , ",TRUE,
IF((個体台帳!$A$2:$A$1000=TRIM(A101))*(個体台帳!$C$2:$C$1000="服"),
個体台帳!$B$2:$B$1000,
"")))</f>
        <v/>
      </c>
      <c r="C101" t="str">
        <f t="array" ref="C101">IF(TRIM(A101)="","",
_xlfn.TEXTJOIN(" , ",TRUE,
IF((個体台帳!$A$2:$A$1000=TRIM(A101))*(個体台帳!$C$2:$C$1000="小物1"),
個体台帳!$B$2:$B$1000,
"")))</f>
        <v/>
      </c>
      <c r="D101" t="str">
        <f t="array" ref="D101">IF(TRIM(A101)="","",
_xlfn.TEXTJOIN(" , ",TRUE,
IF((個体台帳!$A$2:$A$1000=TRIM(A101))*(個体台帳!$C$2:$C$1000="小物2"),
個体台帳!$B$2:$B$1000,
"")))</f>
        <v/>
      </c>
      <c r="E101" s="8" t="str">
        <f t="array" ref="E101">IF($A101="","",
INDEX(個体台帳!$D$2:$D$1000,
MATCH(1,
(個体台帳!$A$2:$A$1000=$A101)*
(個体台帳!$C$2:$C$1000="服"),
0)))</f>
        <v/>
      </c>
      <c r="F101" t="str">
        <f t="array" ref="F101">IF($A101="","",
IF(COUNTIFS(貸出記録!$B:$B,$A101,貸出記録!$E:$E,"")&gt;0,
"貸出中","在庫"))</f>
        <v/>
      </c>
      <c r="G101" t="s">
        <v>6</v>
      </c>
      <c r="H101" t="s">
        <v>6</v>
      </c>
      <c r="I101" t="s">
        <v>6</v>
      </c>
    </row>
    <row r="102" spans="1:9">
      <c r="A102" s="21" t="s">
        <v>6</v>
      </c>
      <c r="B102" t="str">
        <f t="array" ref="B102">IF(TRIM(A102)="","",
_xlfn.TEXTJOIN(" , ",TRUE,
IF((個体台帳!$A$2:$A$1000=TRIM(A102))*(個体台帳!$C$2:$C$1000="服"),
個体台帳!$B$2:$B$1000,
"")))</f>
        <v/>
      </c>
      <c r="C102" t="str">
        <f t="array" ref="C102">IF(TRIM(A102)="","",
_xlfn.TEXTJOIN(" , ",TRUE,
IF((個体台帳!$A$2:$A$1000=TRIM(A102))*(個体台帳!$C$2:$C$1000="小物1"),
個体台帳!$B$2:$B$1000,
"")))</f>
        <v/>
      </c>
      <c r="D102" t="str">
        <f t="array" ref="D102">IF(TRIM(A102)="","",
_xlfn.TEXTJOIN(" , ",TRUE,
IF((個体台帳!$A$2:$A$1000=TRIM(A102))*(個体台帳!$C$2:$C$1000="小物2"),
個体台帳!$B$2:$B$1000,
"")))</f>
        <v/>
      </c>
      <c r="E102" s="8" t="str">
        <f t="array" ref="E102">IF($A102="","",
INDEX(個体台帳!$D$2:$D$1000,
MATCH(1,
(個体台帳!$A$2:$A$1000=$A102)*
(個体台帳!$C$2:$C$1000="服"),
0)))</f>
        <v/>
      </c>
      <c r="F102" t="str">
        <f t="array" ref="F102">IF($A102="","",
IF(COUNTIFS(貸出記録!$B:$B,$A102,貸出記録!$E:$E,"")&gt;0,
"貸出中","在庫"))</f>
        <v/>
      </c>
      <c r="G102" t="s">
        <v>6</v>
      </c>
      <c r="H102" t="s">
        <v>6</v>
      </c>
      <c r="I102" t="s">
        <v>6</v>
      </c>
    </row>
    <row r="103" spans="1:9">
      <c r="A103" s="21" t="s">
        <v>6</v>
      </c>
      <c r="B103" t="str">
        <f t="array" ref="B103">IF(TRIM(A103)="","",
_xlfn.TEXTJOIN(" , ",TRUE,
IF((個体台帳!$A$2:$A$1000=TRIM(A103))*(個体台帳!$C$2:$C$1000="服"),
個体台帳!$B$2:$B$1000,
"")))</f>
        <v/>
      </c>
      <c r="C103" t="str">
        <f t="array" ref="C103">IF(TRIM(A103)="","",
_xlfn.TEXTJOIN(" , ",TRUE,
IF((個体台帳!$A$2:$A$1000=TRIM(A103))*(個体台帳!$C$2:$C$1000="小物1"),
個体台帳!$B$2:$B$1000,
"")))</f>
        <v/>
      </c>
      <c r="D103" t="str">
        <f t="array" ref="D103">IF(TRIM(A103)="","",
_xlfn.TEXTJOIN(" , ",TRUE,
IF((個体台帳!$A$2:$A$1000=TRIM(A103))*(個体台帳!$C$2:$C$1000="小物2"),
個体台帳!$B$2:$B$1000,
"")))</f>
        <v/>
      </c>
      <c r="E103" s="8" t="str">
        <f t="array" ref="E103">IF($A103="","",
INDEX(個体台帳!$D$2:$D$1000,
MATCH(1,
(個体台帳!$A$2:$A$1000=$A103)*
(個体台帳!$C$2:$C$1000="服"),
0)))</f>
        <v/>
      </c>
      <c r="F103" t="str">
        <f t="array" ref="F103">IF($A103="","",
IF(COUNTIFS(貸出記録!$B:$B,$A103,貸出記録!$E:$E,"")&gt;0,
"貸出中","在庫"))</f>
        <v/>
      </c>
      <c r="G103" t="s">
        <v>6</v>
      </c>
      <c r="H103" t="s">
        <v>6</v>
      </c>
      <c r="I103" t="s">
        <v>6</v>
      </c>
    </row>
    <row r="104" spans="1:9">
      <c r="A104" s="21" t="s">
        <v>6</v>
      </c>
      <c r="B104" t="str">
        <f t="array" ref="B104">IF(TRIM(A104)="","",
_xlfn.TEXTJOIN(" , ",TRUE,
IF((個体台帳!$A$2:$A$1000=TRIM(A104))*(個体台帳!$C$2:$C$1000="服"),
個体台帳!$B$2:$B$1000,
"")))</f>
        <v/>
      </c>
      <c r="C104" t="str">
        <f t="array" ref="C104">IF(TRIM(A104)="","",
_xlfn.TEXTJOIN(" , ",TRUE,
IF((個体台帳!$A$2:$A$1000=TRIM(A104))*(個体台帳!$C$2:$C$1000="小物1"),
個体台帳!$B$2:$B$1000,
"")))</f>
        <v/>
      </c>
      <c r="D104" t="str">
        <f t="array" ref="D104">IF(TRIM(A104)="","",
_xlfn.TEXTJOIN(" , ",TRUE,
IF((個体台帳!$A$2:$A$1000=TRIM(A104))*(個体台帳!$C$2:$C$1000="小物2"),
個体台帳!$B$2:$B$1000,
"")))</f>
        <v/>
      </c>
      <c r="E104" s="8" t="str">
        <f t="array" ref="E104">IF($A104="","",
INDEX(個体台帳!$D$2:$D$1000,
MATCH(1,
(個体台帳!$A$2:$A$1000=$A104)*
(個体台帳!$C$2:$C$1000="服"),
0)))</f>
        <v/>
      </c>
      <c r="F104" t="str">
        <f t="array" ref="F104">IF($A104="","",
IF(COUNTIFS(貸出記録!$B:$B,$A104,貸出記録!$E:$E,"")&gt;0,
"貸出中","在庫"))</f>
        <v/>
      </c>
      <c r="G104" t="s">
        <v>6</v>
      </c>
      <c r="H104" t="s">
        <v>6</v>
      </c>
      <c r="I104" t="s">
        <v>6</v>
      </c>
    </row>
    <row r="105" spans="1:9">
      <c r="A105" s="21" t="s">
        <v>6</v>
      </c>
      <c r="B105" t="str">
        <f t="array" ref="B105">IF(TRIM(A105)="","",
_xlfn.TEXTJOIN(" , ",TRUE,
IF((個体台帳!$A$2:$A$1000=TRIM(A105))*(個体台帳!$C$2:$C$1000="服"),
個体台帳!$B$2:$B$1000,
"")))</f>
        <v/>
      </c>
      <c r="C105" t="str">
        <f t="array" ref="C105">IF(TRIM(A105)="","",
_xlfn.TEXTJOIN(" , ",TRUE,
IF((個体台帳!$A$2:$A$1000=TRIM(A105))*(個体台帳!$C$2:$C$1000="小物1"),
個体台帳!$B$2:$B$1000,
"")))</f>
        <v/>
      </c>
      <c r="D105" t="str">
        <f t="array" ref="D105">IF(TRIM(A105)="","",
_xlfn.TEXTJOIN(" , ",TRUE,
IF((個体台帳!$A$2:$A$1000=TRIM(A105))*(個体台帳!$C$2:$C$1000="小物2"),
個体台帳!$B$2:$B$1000,
"")))</f>
        <v/>
      </c>
      <c r="E105" s="8" t="str">
        <f t="array" ref="E105">IF($A105="","",
INDEX(個体台帳!$D$2:$D$1000,
MATCH(1,
(個体台帳!$A$2:$A$1000=$A105)*
(個体台帳!$C$2:$C$1000="服"),
0)))</f>
        <v/>
      </c>
      <c r="F105" t="str">
        <f t="array" ref="F105">IF($A105="","",
IF(COUNTIFS(貸出記録!$B:$B,$A105,貸出記録!$E:$E,"")&gt;0,
"貸出中","在庫"))</f>
        <v/>
      </c>
      <c r="G105" t="s">
        <v>6</v>
      </c>
      <c r="H105" t="s">
        <v>6</v>
      </c>
      <c r="I105" t="s">
        <v>6</v>
      </c>
    </row>
    <row r="106" spans="1:9">
      <c r="A106" s="21" t="s">
        <v>6</v>
      </c>
      <c r="B106" t="str">
        <f t="array" ref="B106">IF(TRIM(A106)="","",
_xlfn.TEXTJOIN(" , ",TRUE,
IF((個体台帳!$A$2:$A$1000=TRIM(A106))*(個体台帳!$C$2:$C$1000="服"),
個体台帳!$B$2:$B$1000,
"")))</f>
        <v/>
      </c>
      <c r="C106" t="str">
        <f t="array" ref="C106">IF(TRIM(A106)="","",
_xlfn.TEXTJOIN(" , ",TRUE,
IF((個体台帳!$A$2:$A$1000=TRIM(A106))*(個体台帳!$C$2:$C$1000="小物1"),
個体台帳!$B$2:$B$1000,
"")))</f>
        <v/>
      </c>
      <c r="D106" t="str">
        <f t="array" ref="D106">IF(TRIM(A106)="","",
_xlfn.TEXTJOIN(" , ",TRUE,
IF((個体台帳!$A$2:$A$1000=TRIM(A106))*(個体台帳!$C$2:$C$1000="小物2"),
個体台帳!$B$2:$B$1000,
"")))</f>
        <v/>
      </c>
      <c r="E106" s="8" t="str">
        <f t="array" ref="E106">IF($A106="","",
INDEX(個体台帳!$D$2:$D$1000,
MATCH(1,
(個体台帳!$A$2:$A$1000=$A106)*
(個体台帳!$C$2:$C$1000="服"),
0)))</f>
        <v/>
      </c>
      <c r="F106" t="str">
        <f t="array" ref="F106">IF($A106="","",
IF(COUNTIFS(貸出記録!$B:$B,$A106,貸出記録!$E:$E,"")&gt;0,
"貸出中","在庫"))</f>
        <v/>
      </c>
      <c r="G106" t="s">
        <v>6</v>
      </c>
      <c r="H106" t="s">
        <v>6</v>
      </c>
      <c r="I106" t="s">
        <v>6</v>
      </c>
    </row>
    <row r="107" spans="1:9">
      <c r="A107" s="21" t="s">
        <v>6</v>
      </c>
      <c r="B107" t="str">
        <f t="array" ref="B107">IF(TRIM(A107)="","",
_xlfn.TEXTJOIN(" , ",TRUE,
IF((個体台帳!$A$2:$A$1000=TRIM(A107))*(個体台帳!$C$2:$C$1000="服"),
個体台帳!$B$2:$B$1000,
"")))</f>
        <v/>
      </c>
      <c r="C107" t="str">
        <f t="array" ref="C107">IF(TRIM(A107)="","",
_xlfn.TEXTJOIN(" , ",TRUE,
IF((個体台帳!$A$2:$A$1000=TRIM(A107))*(個体台帳!$C$2:$C$1000="小物1"),
個体台帳!$B$2:$B$1000,
"")))</f>
        <v/>
      </c>
      <c r="D107" t="str">
        <f t="array" ref="D107">IF(TRIM(A107)="","",
_xlfn.TEXTJOIN(" , ",TRUE,
IF((個体台帳!$A$2:$A$1000=TRIM(A107))*(個体台帳!$C$2:$C$1000="小物2"),
個体台帳!$B$2:$B$1000,
"")))</f>
        <v/>
      </c>
      <c r="E107" s="8" t="str">
        <f t="array" ref="E107">IF($A107="","",
INDEX(個体台帳!$D$2:$D$1000,
MATCH(1,
(個体台帳!$A$2:$A$1000=$A107)*
(個体台帳!$C$2:$C$1000="服"),
0)))</f>
        <v/>
      </c>
      <c r="F107" t="str">
        <f t="array" ref="F107">IF($A107="","",
IF(COUNTIFS(貸出記録!$B:$B,$A107,貸出記録!$E:$E,"")&gt;0,
"貸出中","在庫"))</f>
        <v/>
      </c>
      <c r="G107" t="s">
        <v>6</v>
      </c>
      <c r="H107" t="s">
        <v>6</v>
      </c>
      <c r="I107" t="s">
        <v>6</v>
      </c>
    </row>
    <row r="108" spans="1:9">
      <c r="A108" s="21" t="s">
        <v>6</v>
      </c>
      <c r="B108" t="str">
        <f t="array" ref="B108">IF(TRIM(A108)="","",
_xlfn.TEXTJOIN(" , ",TRUE,
IF((個体台帳!$A$2:$A$1000=TRIM(A108))*(個体台帳!$C$2:$C$1000="服"),
個体台帳!$B$2:$B$1000,
"")))</f>
        <v/>
      </c>
      <c r="C108" t="str">
        <f t="array" ref="C108">IF(TRIM(A108)="","",
_xlfn.TEXTJOIN(" , ",TRUE,
IF((個体台帳!$A$2:$A$1000=TRIM(A108))*(個体台帳!$C$2:$C$1000="小物1"),
個体台帳!$B$2:$B$1000,
"")))</f>
        <v/>
      </c>
      <c r="D108" t="str">
        <f t="array" ref="D108">IF(TRIM(A108)="","",
_xlfn.TEXTJOIN(" , ",TRUE,
IF((個体台帳!$A$2:$A$1000=TRIM(A108))*(個体台帳!$C$2:$C$1000="小物2"),
個体台帳!$B$2:$B$1000,
"")))</f>
        <v/>
      </c>
      <c r="E108" s="8" t="str">
        <f t="array" ref="E108">IF($A108="","",
INDEX(個体台帳!$D$2:$D$1000,
MATCH(1,
(個体台帳!$A$2:$A$1000=$A108)*
(個体台帳!$C$2:$C$1000="服"),
0)))</f>
        <v/>
      </c>
      <c r="F108" t="str">
        <f t="array" ref="F108">IF($A108="","",
IF(COUNTIFS(貸出記録!$B:$B,$A108,貸出記録!$E:$E,"")&gt;0,
"貸出中","在庫"))</f>
        <v/>
      </c>
      <c r="G108" t="s">
        <v>6</v>
      </c>
      <c r="H108" t="s">
        <v>6</v>
      </c>
      <c r="I108" t="s">
        <v>6</v>
      </c>
    </row>
    <row r="109" spans="1:9">
      <c r="A109" s="21" t="s">
        <v>6</v>
      </c>
      <c r="B109" t="str">
        <f t="array" ref="B109">IF(TRIM(A109)="","",
_xlfn.TEXTJOIN(" , ",TRUE,
IF((個体台帳!$A$2:$A$1000=TRIM(A109))*(個体台帳!$C$2:$C$1000="服"),
個体台帳!$B$2:$B$1000,
"")))</f>
        <v/>
      </c>
      <c r="C109" t="str">
        <f t="array" ref="C109">IF(TRIM(A109)="","",
_xlfn.TEXTJOIN(" , ",TRUE,
IF((個体台帳!$A$2:$A$1000=TRIM(A109))*(個体台帳!$C$2:$C$1000="小物1"),
個体台帳!$B$2:$B$1000,
"")))</f>
        <v/>
      </c>
      <c r="D109" t="str">
        <f t="array" ref="D109">IF(TRIM(A109)="","",
_xlfn.TEXTJOIN(" , ",TRUE,
IF((個体台帳!$A$2:$A$1000=TRIM(A109))*(個体台帳!$C$2:$C$1000="小物2"),
個体台帳!$B$2:$B$1000,
"")))</f>
        <v/>
      </c>
      <c r="E109" s="8" t="str">
        <f t="array" ref="E109">IF($A109="","",
INDEX(個体台帳!$D$2:$D$1000,
MATCH(1,
(個体台帳!$A$2:$A$1000=$A109)*
(個体台帳!$C$2:$C$1000="服"),
0)))</f>
        <v/>
      </c>
      <c r="F109" t="str">
        <f t="array" ref="F109">IF($A109="","",
IF(COUNTIFS(貸出記録!$B:$B,$A109,貸出記録!$E:$E,"")&gt;0,
"貸出中","在庫"))</f>
        <v/>
      </c>
      <c r="G109" t="s">
        <v>6</v>
      </c>
      <c r="H109" t="s">
        <v>6</v>
      </c>
      <c r="I109" t="s">
        <v>6</v>
      </c>
    </row>
    <row r="110" spans="1:9">
      <c r="A110" s="21" t="s">
        <v>6</v>
      </c>
      <c r="B110" t="str">
        <f t="array" ref="B110">IF(TRIM(A110)="","",
_xlfn.TEXTJOIN(" , ",TRUE,
IF((個体台帳!$A$2:$A$1000=TRIM(A110))*(個体台帳!$C$2:$C$1000="服"),
個体台帳!$B$2:$B$1000,
"")))</f>
        <v/>
      </c>
      <c r="C110" t="str">
        <f t="array" ref="C110">IF(TRIM(A110)="","",
_xlfn.TEXTJOIN(" , ",TRUE,
IF((個体台帳!$A$2:$A$1000=TRIM(A110))*(個体台帳!$C$2:$C$1000="小物1"),
個体台帳!$B$2:$B$1000,
"")))</f>
        <v/>
      </c>
      <c r="D110" t="str">
        <f t="array" ref="D110">IF(TRIM(A110)="","",
_xlfn.TEXTJOIN(" , ",TRUE,
IF((個体台帳!$A$2:$A$1000=TRIM(A110))*(個体台帳!$C$2:$C$1000="小物2"),
個体台帳!$B$2:$B$1000,
"")))</f>
        <v/>
      </c>
      <c r="E110" s="8" t="str">
        <f t="array" ref="E110">IF($A110="","",
INDEX(個体台帳!$D$2:$D$1000,
MATCH(1,
(個体台帳!$A$2:$A$1000=$A110)*
(個体台帳!$C$2:$C$1000="服"),
0)))</f>
        <v/>
      </c>
      <c r="F110" t="str">
        <f t="array" ref="F110">IF($A110="","",
IF(COUNTIFS(貸出記録!$B:$B,$A110,貸出記録!$E:$E,"")&gt;0,
"貸出中","在庫"))</f>
        <v/>
      </c>
      <c r="G110" t="s">
        <v>6</v>
      </c>
      <c r="H110" t="s">
        <v>6</v>
      </c>
      <c r="I110" t="s">
        <v>6</v>
      </c>
    </row>
    <row r="111" spans="1:9">
      <c r="A111" s="21" t="s">
        <v>6</v>
      </c>
      <c r="B111" t="str">
        <f t="array" ref="B111">IF(TRIM(A111)="","",
_xlfn.TEXTJOIN(" , ",TRUE,
IF((個体台帳!$A$2:$A$1000=TRIM(A111))*(個体台帳!$C$2:$C$1000="服"),
個体台帳!$B$2:$B$1000,
"")))</f>
        <v/>
      </c>
      <c r="C111" t="str">
        <f t="array" ref="C111">IF(TRIM(A111)="","",
_xlfn.TEXTJOIN(" , ",TRUE,
IF((個体台帳!$A$2:$A$1000=TRIM(A111))*(個体台帳!$C$2:$C$1000="小物1"),
個体台帳!$B$2:$B$1000,
"")))</f>
        <v/>
      </c>
      <c r="D111" t="str">
        <f t="array" ref="D111">IF(TRIM(A111)="","",
_xlfn.TEXTJOIN(" , ",TRUE,
IF((個体台帳!$A$2:$A$1000=TRIM(A111))*(個体台帳!$C$2:$C$1000="小物2"),
個体台帳!$B$2:$B$1000,
"")))</f>
        <v/>
      </c>
      <c r="E111" s="8" t="str">
        <f t="array" ref="E111">IF($A111="","",
INDEX(個体台帳!$D$2:$D$1000,
MATCH(1,
(個体台帳!$A$2:$A$1000=$A111)*
(個体台帳!$C$2:$C$1000="服"),
0)))</f>
        <v/>
      </c>
      <c r="F111" t="str">
        <f t="array" ref="F111">IF($A111="","",
IF(COUNTIFS(貸出記録!$B:$B,$A111,貸出記録!$E:$E,"")&gt;0,
"貸出中","在庫"))</f>
        <v/>
      </c>
      <c r="G111" t="s">
        <v>6</v>
      </c>
      <c r="H111" t="s">
        <v>6</v>
      </c>
      <c r="I111" t="s">
        <v>6</v>
      </c>
    </row>
    <row r="112" spans="1:9">
      <c r="A112" s="21" t="s">
        <v>6</v>
      </c>
      <c r="B112" t="str">
        <f t="array" ref="B112">IF(TRIM(A112)="","",
_xlfn.TEXTJOIN(" , ",TRUE,
IF((個体台帳!$A$2:$A$1000=TRIM(A112))*(個体台帳!$C$2:$C$1000="服"),
個体台帳!$B$2:$B$1000,
"")))</f>
        <v/>
      </c>
      <c r="C112" t="str">
        <f t="array" ref="C112">IF(TRIM(A112)="","",
_xlfn.TEXTJOIN(" , ",TRUE,
IF((個体台帳!$A$2:$A$1000=TRIM(A112))*(個体台帳!$C$2:$C$1000="小物1"),
個体台帳!$B$2:$B$1000,
"")))</f>
        <v/>
      </c>
      <c r="D112" t="str">
        <f t="array" ref="D112">IF(TRIM(A112)="","",
_xlfn.TEXTJOIN(" , ",TRUE,
IF((個体台帳!$A$2:$A$1000=TRIM(A112))*(個体台帳!$C$2:$C$1000="小物2"),
個体台帳!$B$2:$B$1000,
"")))</f>
        <v/>
      </c>
      <c r="E112" s="8" t="str">
        <f t="array" ref="E112">IF($A112="","",
INDEX(個体台帳!$D$2:$D$1000,
MATCH(1,
(個体台帳!$A$2:$A$1000=$A112)*
(個体台帳!$C$2:$C$1000="服"),
0)))</f>
        <v/>
      </c>
      <c r="F112" t="str">
        <f t="array" ref="F112">IF($A112="","",
IF(COUNTIFS(貸出記録!$B:$B,$A112,貸出記録!$E:$E,"")&gt;0,
"貸出中","在庫"))</f>
        <v/>
      </c>
      <c r="G112" t="s">
        <v>6</v>
      </c>
      <c r="H112" t="s">
        <v>6</v>
      </c>
      <c r="I112" t="s">
        <v>6</v>
      </c>
    </row>
    <row r="113" spans="1:9">
      <c r="A113" s="21" t="s">
        <v>6</v>
      </c>
      <c r="B113" t="str">
        <f t="array" ref="B113">IF(TRIM(A113)="","",
_xlfn.TEXTJOIN(" , ",TRUE,
IF((個体台帳!$A$2:$A$1000=TRIM(A113))*(個体台帳!$C$2:$C$1000="服"),
個体台帳!$B$2:$B$1000,
"")))</f>
        <v/>
      </c>
      <c r="C113" t="str">
        <f t="array" ref="C113">IF(TRIM(A113)="","",
_xlfn.TEXTJOIN(" , ",TRUE,
IF((個体台帳!$A$2:$A$1000=TRIM(A113))*(個体台帳!$C$2:$C$1000="小物1"),
個体台帳!$B$2:$B$1000,
"")))</f>
        <v/>
      </c>
      <c r="D113" t="str">
        <f t="array" ref="D113">IF(TRIM(A113)="","",
_xlfn.TEXTJOIN(" , ",TRUE,
IF((個体台帳!$A$2:$A$1000=TRIM(A113))*(個体台帳!$C$2:$C$1000="小物2"),
個体台帳!$B$2:$B$1000,
"")))</f>
        <v/>
      </c>
      <c r="E113" s="8" t="str">
        <f t="array" ref="E113">IF($A113="","",
INDEX(個体台帳!$D$2:$D$1000,
MATCH(1,
(個体台帳!$A$2:$A$1000=$A113)*
(個体台帳!$C$2:$C$1000="服"),
0)))</f>
        <v/>
      </c>
      <c r="F113" t="str">
        <f t="array" ref="F113">IF($A113="","",
IF(COUNTIFS(貸出記録!$B:$B,$A113,貸出記録!$E:$E,"")&gt;0,
"貸出中","在庫"))</f>
        <v/>
      </c>
      <c r="G113" t="s">
        <v>6</v>
      </c>
      <c r="H113" t="s">
        <v>6</v>
      </c>
      <c r="I113" t="s">
        <v>6</v>
      </c>
    </row>
    <row r="114" spans="1:9">
      <c r="A114" s="21" t="s">
        <v>6</v>
      </c>
      <c r="B114" t="str">
        <f t="array" ref="B114">IF(TRIM(A114)="","",
_xlfn.TEXTJOIN(" , ",TRUE,
IF((個体台帳!$A$2:$A$1000=TRIM(A114))*(個体台帳!$C$2:$C$1000="服"),
個体台帳!$B$2:$B$1000,
"")))</f>
        <v/>
      </c>
      <c r="C114" t="str">
        <f t="array" ref="C114">IF(TRIM(A114)="","",
_xlfn.TEXTJOIN(" , ",TRUE,
IF((個体台帳!$A$2:$A$1000=TRIM(A114))*(個体台帳!$C$2:$C$1000="小物1"),
個体台帳!$B$2:$B$1000,
"")))</f>
        <v/>
      </c>
      <c r="D114" t="str">
        <f t="array" ref="D114">IF(TRIM(A114)="","",
_xlfn.TEXTJOIN(" , ",TRUE,
IF((個体台帳!$A$2:$A$1000=TRIM(A114))*(個体台帳!$C$2:$C$1000="小物2"),
個体台帳!$B$2:$B$1000,
"")))</f>
        <v/>
      </c>
      <c r="E114" s="8" t="str">
        <f t="array" ref="E114">IF($A114="","",
INDEX(個体台帳!$D$2:$D$1000,
MATCH(1,
(個体台帳!$A$2:$A$1000=$A114)*
(個体台帳!$C$2:$C$1000="服"),
0)))</f>
        <v/>
      </c>
      <c r="F114" t="str">
        <f t="array" ref="F114">IF($A114="","",
IF(COUNTIFS(貸出記録!$B:$B,$A114,貸出記録!$E:$E,"")&gt;0,
"貸出中","在庫"))</f>
        <v/>
      </c>
      <c r="G114" t="s">
        <v>6</v>
      </c>
      <c r="H114" t="s">
        <v>6</v>
      </c>
      <c r="I114" t="s">
        <v>6</v>
      </c>
    </row>
    <row r="115" spans="1:9">
      <c r="A115" s="21" t="s">
        <v>6</v>
      </c>
      <c r="B115" t="str">
        <f t="array" ref="B115">IF(TRIM(A115)="","",
_xlfn.TEXTJOIN(" , ",TRUE,
IF((個体台帳!$A$2:$A$1000=TRIM(A115))*(個体台帳!$C$2:$C$1000="服"),
個体台帳!$B$2:$B$1000,
"")))</f>
        <v/>
      </c>
      <c r="C115" t="str">
        <f t="array" ref="C115">IF(TRIM(A115)="","",
_xlfn.TEXTJOIN(" , ",TRUE,
IF((個体台帳!$A$2:$A$1000=TRIM(A115))*(個体台帳!$C$2:$C$1000="小物1"),
個体台帳!$B$2:$B$1000,
"")))</f>
        <v/>
      </c>
      <c r="D115" t="str">
        <f t="array" ref="D115">IF(TRIM(A115)="","",
_xlfn.TEXTJOIN(" , ",TRUE,
IF((個体台帳!$A$2:$A$1000=TRIM(A115))*(個体台帳!$C$2:$C$1000="小物2"),
個体台帳!$B$2:$B$1000,
"")))</f>
        <v/>
      </c>
      <c r="E115" s="8" t="str">
        <f t="array" ref="E115">IF($A115="","",
INDEX(個体台帳!$D$2:$D$1000,
MATCH(1,
(個体台帳!$A$2:$A$1000=$A115)*
(個体台帳!$C$2:$C$1000="服"),
0)))</f>
        <v/>
      </c>
      <c r="F115" t="str">
        <f t="array" ref="F115">IF($A115="","",
IF(COUNTIFS(貸出記録!$B:$B,$A115,貸出記録!$E:$E,"")&gt;0,
"貸出中","在庫"))</f>
        <v/>
      </c>
      <c r="G115" t="s">
        <v>6</v>
      </c>
      <c r="H115" t="s">
        <v>6</v>
      </c>
      <c r="I115" t="s">
        <v>6</v>
      </c>
    </row>
    <row r="116" spans="1:9">
      <c r="A116" s="21" t="s">
        <v>6</v>
      </c>
      <c r="B116" t="str">
        <f t="array" ref="B116">IF(TRIM(A116)="","",
_xlfn.TEXTJOIN(" , ",TRUE,
IF((個体台帳!$A$2:$A$1000=TRIM(A116))*(個体台帳!$C$2:$C$1000="服"),
個体台帳!$B$2:$B$1000,
"")))</f>
        <v/>
      </c>
      <c r="C116" t="str">
        <f t="array" ref="C116">IF(TRIM(A116)="","",
_xlfn.TEXTJOIN(" , ",TRUE,
IF((個体台帳!$A$2:$A$1000=TRIM(A116))*(個体台帳!$C$2:$C$1000="小物1"),
個体台帳!$B$2:$B$1000,
"")))</f>
        <v/>
      </c>
      <c r="D116" t="str">
        <f t="array" ref="D116">IF(TRIM(A116)="","",
_xlfn.TEXTJOIN(" , ",TRUE,
IF((個体台帳!$A$2:$A$1000=TRIM(A116))*(個体台帳!$C$2:$C$1000="小物2"),
個体台帳!$B$2:$B$1000,
"")))</f>
        <v/>
      </c>
      <c r="E116" s="8" t="str">
        <f t="array" ref="E116">IF($A116="","",
INDEX(個体台帳!$D$2:$D$1000,
MATCH(1,
(個体台帳!$A$2:$A$1000=$A116)*
(個体台帳!$C$2:$C$1000="服"),
0)))</f>
        <v/>
      </c>
      <c r="F116" t="str">
        <f t="array" ref="F116">IF($A116="","",
IF(COUNTIFS(貸出記録!$B:$B,$A116,貸出記録!$E:$E,"")&gt;0,
"貸出中","在庫"))</f>
        <v/>
      </c>
      <c r="G116" t="s">
        <v>6</v>
      </c>
      <c r="H116" t="s">
        <v>6</v>
      </c>
      <c r="I116" t="s">
        <v>6</v>
      </c>
    </row>
    <row r="117" spans="1:9">
      <c r="A117" s="21" t="s">
        <v>6</v>
      </c>
      <c r="B117" t="str">
        <f t="array" ref="B117">IF(TRIM(A117)="","",
_xlfn.TEXTJOIN(" , ",TRUE,
IF((個体台帳!$A$2:$A$1000=TRIM(A117))*(個体台帳!$C$2:$C$1000="服"),
個体台帳!$B$2:$B$1000,
"")))</f>
        <v/>
      </c>
      <c r="C117" t="str">
        <f t="array" ref="C117">IF(TRIM(A117)="","",
_xlfn.TEXTJOIN(" , ",TRUE,
IF((個体台帳!$A$2:$A$1000=TRIM(A117))*(個体台帳!$C$2:$C$1000="小物1"),
個体台帳!$B$2:$B$1000,
"")))</f>
        <v/>
      </c>
      <c r="D117" t="str">
        <f t="array" ref="D117">IF(TRIM(A117)="","",
_xlfn.TEXTJOIN(" , ",TRUE,
IF((個体台帳!$A$2:$A$1000=TRIM(A117))*(個体台帳!$C$2:$C$1000="小物2"),
個体台帳!$B$2:$B$1000,
"")))</f>
        <v/>
      </c>
      <c r="E117" s="8" t="str">
        <f t="array" ref="E117">IF($A117="","",
INDEX(個体台帳!$D$2:$D$1000,
MATCH(1,
(個体台帳!$A$2:$A$1000=$A117)*
(個体台帳!$C$2:$C$1000="服"),
0)))</f>
        <v/>
      </c>
      <c r="F117" t="str">
        <f t="array" ref="F117">IF($A117="","",
IF(COUNTIFS(貸出記録!$B:$B,$A117,貸出記録!$E:$E,"")&gt;0,
"貸出中","在庫"))</f>
        <v/>
      </c>
      <c r="G117" t="s">
        <v>6</v>
      </c>
      <c r="H117" t="s">
        <v>6</v>
      </c>
      <c r="I117" t="s">
        <v>6</v>
      </c>
    </row>
    <row r="118" spans="1:9">
      <c r="A118" s="21" t="s">
        <v>6</v>
      </c>
      <c r="B118" t="str">
        <f t="array" ref="B118">IF(TRIM(A118)="","",
_xlfn.TEXTJOIN(" , ",TRUE,
IF((個体台帳!$A$2:$A$1000=TRIM(A118))*(個体台帳!$C$2:$C$1000="服"),
個体台帳!$B$2:$B$1000,
"")))</f>
        <v/>
      </c>
      <c r="C118" t="str">
        <f t="array" ref="C118">IF(TRIM(A118)="","",
_xlfn.TEXTJOIN(" , ",TRUE,
IF((個体台帳!$A$2:$A$1000=TRIM(A118))*(個体台帳!$C$2:$C$1000="小物1"),
個体台帳!$B$2:$B$1000,
"")))</f>
        <v/>
      </c>
      <c r="D118" t="str">
        <f t="array" ref="D118">IF(TRIM(A118)="","",
_xlfn.TEXTJOIN(" , ",TRUE,
IF((個体台帳!$A$2:$A$1000=TRIM(A118))*(個体台帳!$C$2:$C$1000="小物2"),
個体台帳!$B$2:$B$1000,
"")))</f>
        <v/>
      </c>
      <c r="E118" s="8" t="str">
        <f t="array" ref="E118">IF($A118="","",
INDEX(個体台帳!$D$2:$D$1000,
MATCH(1,
(個体台帳!$A$2:$A$1000=$A118)*
(個体台帳!$C$2:$C$1000="服"),
0)))</f>
        <v/>
      </c>
      <c r="F118" t="str">
        <f t="array" ref="F118">IF($A118="","",
IF(COUNTIFS(貸出記録!$B:$B,$A118,貸出記録!$E:$E,"")&gt;0,
"貸出中","在庫"))</f>
        <v/>
      </c>
      <c r="G118" t="s">
        <v>6</v>
      </c>
      <c r="H118" t="s">
        <v>6</v>
      </c>
      <c r="I118" t="s">
        <v>6</v>
      </c>
    </row>
    <row r="119" spans="1:9">
      <c r="A119" s="21" t="s">
        <v>6</v>
      </c>
      <c r="B119" t="str">
        <f t="array" ref="B119">IF(TRIM(A119)="","",
_xlfn.TEXTJOIN(" , ",TRUE,
IF((個体台帳!$A$2:$A$1000=TRIM(A119))*(個体台帳!$C$2:$C$1000="服"),
個体台帳!$B$2:$B$1000,
"")))</f>
        <v/>
      </c>
      <c r="C119" t="str">
        <f t="array" ref="C119">IF(TRIM(A119)="","",
_xlfn.TEXTJOIN(" , ",TRUE,
IF((個体台帳!$A$2:$A$1000=TRIM(A119))*(個体台帳!$C$2:$C$1000="小物1"),
個体台帳!$B$2:$B$1000,
"")))</f>
        <v/>
      </c>
      <c r="D119" t="str">
        <f t="array" ref="D119">IF(TRIM(A119)="","",
_xlfn.TEXTJOIN(" , ",TRUE,
IF((個体台帳!$A$2:$A$1000=TRIM(A119))*(個体台帳!$C$2:$C$1000="小物2"),
個体台帳!$B$2:$B$1000,
"")))</f>
        <v/>
      </c>
      <c r="E119" s="8" t="str">
        <f t="array" ref="E119">IF($A119="","",
INDEX(個体台帳!$D$2:$D$1000,
MATCH(1,
(個体台帳!$A$2:$A$1000=$A119)*
(個体台帳!$C$2:$C$1000="服"),
0)))</f>
        <v/>
      </c>
      <c r="F119" t="str">
        <f t="array" ref="F119">IF($A119="","",
IF(COUNTIFS(貸出記録!$B:$B,$A119,貸出記録!$E:$E,"")&gt;0,
"貸出中","在庫"))</f>
        <v/>
      </c>
      <c r="G119" t="s">
        <v>6</v>
      </c>
      <c r="H119" t="s">
        <v>6</v>
      </c>
      <c r="I119" t="s">
        <v>6</v>
      </c>
    </row>
    <row r="120" spans="1:9">
      <c r="A120" s="21" t="s">
        <v>6</v>
      </c>
      <c r="B120" t="str">
        <f t="array" ref="B120">IF(TRIM(A120)="","",
_xlfn.TEXTJOIN(" , ",TRUE,
IF((個体台帳!$A$2:$A$1000=TRIM(A120))*(個体台帳!$C$2:$C$1000="服"),
個体台帳!$B$2:$B$1000,
"")))</f>
        <v/>
      </c>
      <c r="C120" t="str">
        <f t="array" ref="C120">IF(TRIM(A120)="","",
_xlfn.TEXTJOIN(" , ",TRUE,
IF((個体台帳!$A$2:$A$1000=TRIM(A120))*(個体台帳!$C$2:$C$1000="小物1"),
個体台帳!$B$2:$B$1000,
"")))</f>
        <v/>
      </c>
      <c r="D120" t="str">
        <f t="array" ref="D120">IF(TRIM(A120)="","",
_xlfn.TEXTJOIN(" , ",TRUE,
IF((個体台帳!$A$2:$A$1000=TRIM(A120))*(個体台帳!$C$2:$C$1000="小物2"),
個体台帳!$B$2:$B$1000,
"")))</f>
        <v/>
      </c>
      <c r="E120" s="8" t="str">
        <f t="array" ref="E120">IF($A120="","",
INDEX(個体台帳!$D$2:$D$1000,
MATCH(1,
(個体台帳!$A$2:$A$1000=$A120)*
(個体台帳!$C$2:$C$1000="服"),
0)))</f>
        <v/>
      </c>
      <c r="F120" t="str">
        <f t="array" ref="F120">IF($A120="","",
IF(COUNTIFS(貸出記録!$B:$B,$A120,貸出記録!$E:$E,"")&gt;0,
"貸出中","在庫"))</f>
        <v/>
      </c>
      <c r="G120" t="s">
        <v>6</v>
      </c>
      <c r="H120" t="s">
        <v>6</v>
      </c>
      <c r="I120" t="s">
        <v>6</v>
      </c>
    </row>
    <row r="121" spans="1:9">
      <c r="A121" s="21" t="s">
        <v>6</v>
      </c>
      <c r="B121" t="str">
        <f t="array" ref="B121">IF(TRIM(A121)="","",
_xlfn.TEXTJOIN(" , ",TRUE,
IF((個体台帳!$A$2:$A$1000=TRIM(A121))*(個体台帳!$C$2:$C$1000="服"),
個体台帳!$B$2:$B$1000,
"")))</f>
        <v/>
      </c>
      <c r="C121" t="str">
        <f t="array" ref="C121">IF(TRIM(A121)="","",
_xlfn.TEXTJOIN(" , ",TRUE,
IF((個体台帳!$A$2:$A$1000=TRIM(A121))*(個体台帳!$C$2:$C$1000="小物1"),
個体台帳!$B$2:$B$1000,
"")))</f>
        <v/>
      </c>
      <c r="D121" t="str">
        <f t="array" ref="D121">IF(TRIM(A121)="","",
_xlfn.TEXTJOIN(" , ",TRUE,
IF((個体台帳!$A$2:$A$1000=TRIM(A121))*(個体台帳!$C$2:$C$1000="小物2"),
個体台帳!$B$2:$B$1000,
"")))</f>
        <v/>
      </c>
      <c r="E121" s="8" t="str">
        <f t="array" ref="E121">IF($A121="","",
INDEX(個体台帳!$D$2:$D$1000,
MATCH(1,
(個体台帳!$A$2:$A$1000=$A121)*
(個体台帳!$C$2:$C$1000="服"),
0)))</f>
        <v/>
      </c>
      <c r="F121" t="str">
        <f t="array" ref="F121">IF($A121="","",
IF(COUNTIFS(貸出記録!$B:$B,$A121,貸出記録!$E:$E,"")&gt;0,
"貸出中","在庫"))</f>
        <v/>
      </c>
      <c r="G121" t="s">
        <v>6</v>
      </c>
      <c r="H121" t="s">
        <v>6</v>
      </c>
      <c r="I121" t="s">
        <v>6</v>
      </c>
    </row>
    <row r="122" spans="1:9">
      <c r="A122" s="21" t="s">
        <v>6</v>
      </c>
      <c r="B122" t="str">
        <f t="array" ref="B122">IF(TRIM(A122)="","",
_xlfn.TEXTJOIN(" , ",TRUE,
IF((個体台帳!$A$2:$A$1000=TRIM(A122))*(個体台帳!$C$2:$C$1000="服"),
個体台帳!$B$2:$B$1000,
"")))</f>
        <v/>
      </c>
      <c r="C122" t="str">
        <f t="array" ref="C122">IF(TRIM(A122)="","",
_xlfn.TEXTJOIN(" , ",TRUE,
IF((個体台帳!$A$2:$A$1000=TRIM(A122))*(個体台帳!$C$2:$C$1000="小物1"),
個体台帳!$B$2:$B$1000,
"")))</f>
        <v/>
      </c>
      <c r="D122" t="str">
        <f t="array" ref="D122">IF(TRIM(A122)="","",
_xlfn.TEXTJOIN(" , ",TRUE,
IF((個体台帳!$A$2:$A$1000=TRIM(A122))*(個体台帳!$C$2:$C$1000="小物2"),
個体台帳!$B$2:$B$1000,
"")))</f>
        <v/>
      </c>
      <c r="E122" s="8" t="str">
        <f t="array" ref="E122">IF($A122="","",
INDEX(個体台帳!$D$2:$D$1000,
MATCH(1,
(個体台帳!$A$2:$A$1000=$A122)*
(個体台帳!$C$2:$C$1000="服"),
0)))</f>
        <v/>
      </c>
      <c r="F122" t="str">
        <f t="array" ref="F122">IF($A122="","",
IF(COUNTIFS(貸出記録!$B:$B,$A122,貸出記録!$E:$E,"")&gt;0,
"貸出中","在庫"))</f>
        <v/>
      </c>
      <c r="G122" t="s">
        <v>6</v>
      </c>
      <c r="H122" t="s">
        <v>6</v>
      </c>
      <c r="I122" t="s">
        <v>6</v>
      </c>
    </row>
    <row r="123" spans="1:9">
      <c r="A123" s="21" t="s">
        <v>6</v>
      </c>
      <c r="B123" t="str">
        <f t="array" ref="B123">IF(TRIM(A123)="","",
_xlfn.TEXTJOIN(" , ",TRUE,
IF((個体台帳!$A$2:$A$1000=TRIM(A123))*(個体台帳!$C$2:$C$1000="服"),
個体台帳!$B$2:$B$1000,
"")))</f>
        <v/>
      </c>
      <c r="C123" t="str">
        <f t="array" ref="C123">IF(TRIM(A123)="","",
_xlfn.TEXTJOIN(" , ",TRUE,
IF((個体台帳!$A$2:$A$1000=TRIM(A123))*(個体台帳!$C$2:$C$1000="小物1"),
個体台帳!$B$2:$B$1000,
"")))</f>
        <v/>
      </c>
      <c r="D123" t="str">
        <f t="array" ref="D123">IF(TRIM(A123)="","",
_xlfn.TEXTJOIN(" , ",TRUE,
IF((個体台帳!$A$2:$A$1000=TRIM(A123))*(個体台帳!$C$2:$C$1000="小物2"),
個体台帳!$B$2:$B$1000,
"")))</f>
        <v/>
      </c>
      <c r="E123" s="8" t="str">
        <f t="array" ref="E123">IF($A123="","",
INDEX(個体台帳!$D$2:$D$1000,
MATCH(1,
(個体台帳!$A$2:$A$1000=$A123)*
(個体台帳!$C$2:$C$1000="服"),
0)))</f>
        <v/>
      </c>
      <c r="F123" t="str">
        <f t="array" ref="F123">IF($A123="","",
IF(COUNTIFS(貸出記録!$B:$B,$A123,貸出記録!$E:$E,"")&gt;0,
"貸出中","在庫"))</f>
        <v/>
      </c>
      <c r="G123" t="s">
        <v>6</v>
      </c>
      <c r="H123" t="s">
        <v>6</v>
      </c>
      <c r="I123" t="s">
        <v>6</v>
      </c>
    </row>
    <row r="124" spans="1:9">
      <c r="A124" s="21" t="s">
        <v>6</v>
      </c>
      <c r="B124" t="str">
        <f t="array" ref="B124">IF(TRIM(A124)="","",
_xlfn.TEXTJOIN(" , ",TRUE,
IF((個体台帳!$A$2:$A$1000=TRIM(A124))*(個体台帳!$C$2:$C$1000="服"),
個体台帳!$B$2:$B$1000,
"")))</f>
        <v/>
      </c>
      <c r="C124" t="str">
        <f t="array" ref="C124">IF(TRIM(A124)="","",
_xlfn.TEXTJOIN(" , ",TRUE,
IF((個体台帳!$A$2:$A$1000=TRIM(A124))*(個体台帳!$C$2:$C$1000="小物1"),
個体台帳!$B$2:$B$1000,
"")))</f>
        <v/>
      </c>
      <c r="D124" t="str">
        <f t="array" ref="D124">IF(TRIM(A124)="","",
_xlfn.TEXTJOIN(" , ",TRUE,
IF((個体台帳!$A$2:$A$1000=TRIM(A124))*(個体台帳!$C$2:$C$1000="小物2"),
個体台帳!$B$2:$B$1000,
"")))</f>
        <v/>
      </c>
      <c r="E124" s="8" t="str">
        <f t="array" ref="E124">IF($A124="","",
INDEX(個体台帳!$D$2:$D$1000,
MATCH(1,
(個体台帳!$A$2:$A$1000=$A124)*
(個体台帳!$C$2:$C$1000="服"),
0)))</f>
        <v/>
      </c>
      <c r="F124" t="str">
        <f t="array" ref="F124">IF($A124="","",
IF(COUNTIFS(貸出記録!$B:$B,$A124,貸出記録!$E:$E,"")&gt;0,
"貸出中","在庫"))</f>
        <v/>
      </c>
      <c r="G124" t="s">
        <v>6</v>
      </c>
      <c r="H124" t="s">
        <v>6</v>
      </c>
      <c r="I124" t="s">
        <v>6</v>
      </c>
    </row>
    <row r="125" spans="1:9">
      <c r="A125" s="21" t="s">
        <v>6</v>
      </c>
      <c r="B125" t="str">
        <f t="array" ref="B125">IF(TRIM(A125)="","",
_xlfn.TEXTJOIN(" , ",TRUE,
IF((個体台帳!$A$2:$A$1000=TRIM(A125))*(個体台帳!$C$2:$C$1000="服"),
個体台帳!$B$2:$B$1000,
"")))</f>
        <v/>
      </c>
      <c r="C125" t="str">
        <f t="array" ref="C125">IF(TRIM(A125)="","",
_xlfn.TEXTJOIN(" , ",TRUE,
IF((個体台帳!$A$2:$A$1000=TRIM(A125))*(個体台帳!$C$2:$C$1000="小物1"),
個体台帳!$B$2:$B$1000,
"")))</f>
        <v/>
      </c>
      <c r="D125" t="str">
        <f t="array" ref="D125">IF(TRIM(A125)="","",
_xlfn.TEXTJOIN(" , ",TRUE,
IF((個体台帳!$A$2:$A$1000=TRIM(A125))*(個体台帳!$C$2:$C$1000="小物2"),
個体台帳!$B$2:$B$1000,
"")))</f>
        <v/>
      </c>
      <c r="E125" s="8" t="str">
        <f t="array" ref="E125">IF($A125="","",
INDEX(個体台帳!$D$2:$D$1000,
MATCH(1,
(個体台帳!$A$2:$A$1000=$A125)*
(個体台帳!$C$2:$C$1000="服"),
0)))</f>
        <v/>
      </c>
      <c r="F125" t="str">
        <f t="array" ref="F125">IF($A125="","",
IF(COUNTIFS(貸出記録!$B:$B,$A125,貸出記録!$E:$E,"")&gt;0,
"貸出中","在庫"))</f>
        <v/>
      </c>
      <c r="G125" t="s">
        <v>6</v>
      </c>
      <c r="H125" t="s">
        <v>6</v>
      </c>
      <c r="I125" t="s">
        <v>6</v>
      </c>
    </row>
    <row r="126" spans="1:9">
      <c r="A126" s="21" t="s">
        <v>6</v>
      </c>
      <c r="B126" t="str">
        <f t="array" ref="B126">IF(TRIM(A126)="","",
_xlfn.TEXTJOIN(" , ",TRUE,
IF((個体台帳!$A$2:$A$1000=TRIM(A126))*(個体台帳!$C$2:$C$1000="服"),
個体台帳!$B$2:$B$1000,
"")))</f>
        <v/>
      </c>
      <c r="C126" t="str">
        <f t="array" ref="C126">IF(TRIM(A126)="","",
_xlfn.TEXTJOIN(" , ",TRUE,
IF((個体台帳!$A$2:$A$1000=TRIM(A126))*(個体台帳!$C$2:$C$1000="小物1"),
個体台帳!$B$2:$B$1000,
"")))</f>
        <v/>
      </c>
      <c r="D126" t="str">
        <f t="array" ref="D126">IF(TRIM(A126)="","",
_xlfn.TEXTJOIN(" , ",TRUE,
IF((個体台帳!$A$2:$A$1000=TRIM(A126))*(個体台帳!$C$2:$C$1000="小物2"),
個体台帳!$B$2:$B$1000,
"")))</f>
        <v/>
      </c>
      <c r="E126" s="8" t="str">
        <f t="array" ref="E126">IF($A126="","",
INDEX(個体台帳!$D$2:$D$1000,
MATCH(1,
(個体台帳!$A$2:$A$1000=$A126)*
(個体台帳!$C$2:$C$1000="服"),
0)))</f>
        <v/>
      </c>
      <c r="F126" t="str">
        <f t="array" ref="F126">IF($A126="","",
IF(COUNTIFS(貸出記録!$B:$B,$A126,貸出記録!$E:$E,"")&gt;0,
"貸出中","在庫"))</f>
        <v/>
      </c>
      <c r="G126" t="s">
        <v>6</v>
      </c>
      <c r="H126" t="s">
        <v>6</v>
      </c>
      <c r="I126" t="s">
        <v>6</v>
      </c>
    </row>
    <row r="127" spans="1:9">
      <c r="A127" s="21" t="s">
        <v>6</v>
      </c>
      <c r="B127" t="str">
        <f t="array" ref="B127">IF(TRIM(A127)="","",
_xlfn.TEXTJOIN(" , ",TRUE,
IF((個体台帳!$A$2:$A$1000=TRIM(A127))*(個体台帳!$C$2:$C$1000="服"),
個体台帳!$B$2:$B$1000,
"")))</f>
        <v/>
      </c>
      <c r="C127" t="str">
        <f t="array" ref="C127">IF(TRIM(A127)="","",
_xlfn.TEXTJOIN(" , ",TRUE,
IF((個体台帳!$A$2:$A$1000=TRIM(A127))*(個体台帳!$C$2:$C$1000="小物1"),
個体台帳!$B$2:$B$1000,
"")))</f>
        <v/>
      </c>
      <c r="D127" t="str">
        <f t="array" ref="D127">IF(TRIM(A127)="","",
_xlfn.TEXTJOIN(" , ",TRUE,
IF((個体台帳!$A$2:$A$1000=TRIM(A127))*(個体台帳!$C$2:$C$1000="小物2"),
個体台帳!$B$2:$B$1000,
"")))</f>
        <v/>
      </c>
      <c r="E127" s="8" t="str">
        <f t="array" ref="E127">IF($A127="","",
INDEX(個体台帳!$D$2:$D$1000,
MATCH(1,
(個体台帳!$A$2:$A$1000=$A127)*
(個体台帳!$C$2:$C$1000="服"),
0)))</f>
        <v/>
      </c>
      <c r="F127" t="str">
        <f t="array" ref="F127">IF($A127="","",
IF(COUNTIFS(貸出記録!$B:$B,$A127,貸出記録!$E:$E,"")&gt;0,
"貸出中","在庫"))</f>
        <v/>
      </c>
      <c r="G127" t="s">
        <v>6</v>
      </c>
      <c r="H127" t="s">
        <v>6</v>
      </c>
      <c r="I127" t="s">
        <v>6</v>
      </c>
    </row>
    <row r="128" spans="1:9">
      <c r="A128" s="21" t="s">
        <v>6</v>
      </c>
      <c r="B128" t="str">
        <f t="array" ref="B128">IF(TRIM(A128)="","",
_xlfn.TEXTJOIN(" , ",TRUE,
IF((個体台帳!$A$2:$A$1000=TRIM(A128))*(個体台帳!$C$2:$C$1000="服"),
個体台帳!$B$2:$B$1000,
"")))</f>
        <v/>
      </c>
      <c r="C128" t="str">
        <f t="array" ref="C128">IF(TRIM(A128)="","",
_xlfn.TEXTJOIN(" , ",TRUE,
IF((個体台帳!$A$2:$A$1000=TRIM(A128))*(個体台帳!$C$2:$C$1000="小物1"),
個体台帳!$B$2:$B$1000,
"")))</f>
        <v/>
      </c>
      <c r="D128" t="str">
        <f t="array" ref="D128">IF(TRIM(A128)="","",
_xlfn.TEXTJOIN(" , ",TRUE,
IF((個体台帳!$A$2:$A$1000=TRIM(A128))*(個体台帳!$C$2:$C$1000="小物2"),
個体台帳!$B$2:$B$1000,
"")))</f>
        <v/>
      </c>
      <c r="E128" s="8" t="str">
        <f t="array" ref="E128">IF($A128="","",
INDEX(個体台帳!$D$2:$D$1000,
MATCH(1,
(個体台帳!$A$2:$A$1000=$A128)*
(個体台帳!$C$2:$C$1000="服"),
0)))</f>
        <v/>
      </c>
      <c r="F128" t="str">
        <f t="array" ref="F128">IF($A128="","",
IF(COUNTIFS(貸出記録!$B:$B,$A128,貸出記録!$E:$E,"")&gt;0,
"貸出中","在庫"))</f>
        <v/>
      </c>
      <c r="G128" t="s">
        <v>6</v>
      </c>
      <c r="H128" t="s">
        <v>6</v>
      </c>
      <c r="I128" t="s">
        <v>6</v>
      </c>
    </row>
    <row r="129" spans="1:9">
      <c r="A129" s="21" t="s">
        <v>6</v>
      </c>
      <c r="B129" t="str">
        <f t="array" ref="B129">IF(TRIM(A129)="","",
_xlfn.TEXTJOIN(" , ",TRUE,
IF((個体台帳!$A$2:$A$1000=TRIM(A129))*(個体台帳!$C$2:$C$1000="服"),
個体台帳!$B$2:$B$1000,
"")))</f>
        <v/>
      </c>
      <c r="C129" t="str">
        <f t="array" ref="C129">IF(TRIM(A129)="","",
_xlfn.TEXTJOIN(" , ",TRUE,
IF((個体台帳!$A$2:$A$1000=TRIM(A129))*(個体台帳!$C$2:$C$1000="小物1"),
個体台帳!$B$2:$B$1000,
"")))</f>
        <v/>
      </c>
      <c r="D129" t="str">
        <f t="array" ref="D129">IF(TRIM(A129)="","",
_xlfn.TEXTJOIN(" , ",TRUE,
IF((個体台帳!$A$2:$A$1000=TRIM(A129))*(個体台帳!$C$2:$C$1000="小物2"),
個体台帳!$B$2:$B$1000,
"")))</f>
        <v/>
      </c>
      <c r="E129" s="8" t="str">
        <f t="array" ref="E129">IF($A129="","",
INDEX(個体台帳!$D$2:$D$1000,
MATCH(1,
(個体台帳!$A$2:$A$1000=$A129)*
(個体台帳!$C$2:$C$1000="服"),
0)))</f>
        <v/>
      </c>
      <c r="F129" t="str">
        <f t="array" ref="F129">IF($A129="","",
IF(COUNTIFS(貸出記録!$B:$B,$A129,貸出記録!$E:$E,"")&gt;0,
"貸出中","在庫"))</f>
        <v/>
      </c>
      <c r="G129" t="s">
        <v>6</v>
      </c>
      <c r="H129" t="s">
        <v>6</v>
      </c>
      <c r="I129" t="s">
        <v>6</v>
      </c>
    </row>
    <row r="130" spans="1:9">
      <c r="A130" s="21" t="s">
        <v>6</v>
      </c>
      <c r="B130" t="str">
        <f t="array" ref="B130">IF(TRIM(A130)="","",
_xlfn.TEXTJOIN(" , ",TRUE,
IF((個体台帳!$A$2:$A$1000=TRIM(A130))*(個体台帳!$C$2:$C$1000="服"),
個体台帳!$B$2:$B$1000,
"")))</f>
        <v/>
      </c>
      <c r="C130" t="str">
        <f t="array" ref="C130">IF(TRIM(A130)="","",
_xlfn.TEXTJOIN(" , ",TRUE,
IF((個体台帳!$A$2:$A$1000=TRIM(A130))*(個体台帳!$C$2:$C$1000="小物1"),
個体台帳!$B$2:$B$1000,
"")))</f>
        <v/>
      </c>
      <c r="D130" t="str">
        <f t="array" ref="D130">IF(TRIM(A130)="","",
_xlfn.TEXTJOIN(" , ",TRUE,
IF((個体台帳!$A$2:$A$1000=TRIM(A130))*(個体台帳!$C$2:$C$1000="小物2"),
個体台帳!$B$2:$B$1000,
"")))</f>
        <v/>
      </c>
      <c r="E130" s="8" t="str">
        <f t="array" ref="E130">IF($A130="","",
INDEX(個体台帳!$D$2:$D$1000,
MATCH(1,
(個体台帳!$A$2:$A$1000=$A130)*
(個体台帳!$C$2:$C$1000="服"),
0)))</f>
        <v/>
      </c>
      <c r="F130" t="str">
        <f t="array" ref="F130">IF($A130="","",
IF(COUNTIFS(貸出記録!$B:$B,$A130,貸出記録!$E:$E,"")&gt;0,
"貸出中","在庫"))</f>
        <v/>
      </c>
      <c r="G130" t="s">
        <v>6</v>
      </c>
      <c r="H130" t="s">
        <v>6</v>
      </c>
      <c r="I130" t="s">
        <v>6</v>
      </c>
    </row>
    <row r="131" spans="1:9">
      <c r="A131" s="21" t="s">
        <v>6</v>
      </c>
      <c r="B131" t="str">
        <f t="array" ref="B131">IF(TRIM(A131)="","",
_xlfn.TEXTJOIN(" , ",TRUE,
IF((個体台帳!$A$2:$A$1000=TRIM(A131))*(個体台帳!$C$2:$C$1000="服"),
個体台帳!$B$2:$B$1000,
"")))</f>
        <v/>
      </c>
      <c r="C131" t="str">
        <f t="array" ref="C131">IF(TRIM(A131)="","",
_xlfn.TEXTJOIN(" , ",TRUE,
IF((個体台帳!$A$2:$A$1000=TRIM(A131))*(個体台帳!$C$2:$C$1000="小物1"),
個体台帳!$B$2:$B$1000,
"")))</f>
        <v/>
      </c>
      <c r="D131" t="str">
        <f t="array" ref="D131">IF(TRIM(A131)="","",
_xlfn.TEXTJOIN(" , ",TRUE,
IF((個体台帳!$A$2:$A$1000=TRIM(A131))*(個体台帳!$C$2:$C$1000="小物2"),
個体台帳!$B$2:$B$1000,
"")))</f>
        <v/>
      </c>
      <c r="E131" s="8" t="str">
        <f t="array" ref="E131">IF($A131="","",
INDEX(個体台帳!$D$2:$D$1000,
MATCH(1,
(個体台帳!$A$2:$A$1000=$A131)*
(個体台帳!$C$2:$C$1000="服"),
0)))</f>
        <v/>
      </c>
      <c r="F131" t="str">
        <f t="array" ref="F131">IF($A131="","",
IF(COUNTIFS(貸出記録!$B:$B,$A131,貸出記録!$E:$E,"")&gt;0,
"貸出中","在庫"))</f>
        <v/>
      </c>
      <c r="G131" t="s">
        <v>6</v>
      </c>
      <c r="H131" t="s">
        <v>6</v>
      </c>
      <c r="I131" t="s">
        <v>6</v>
      </c>
    </row>
    <row r="132" spans="1:9">
      <c r="A132" s="21" t="s">
        <v>6</v>
      </c>
      <c r="B132" t="str">
        <f t="array" ref="B132">IF(TRIM(A132)="","",
_xlfn.TEXTJOIN(" , ",TRUE,
IF((個体台帳!$A$2:$A$1000=TRIM(A132))*(個体台帳!$C$2:$C$1000="服"),
個体台帳!$B$2:$B$1000,
"")))</f>
        <v/>
      </c>
      <c r="C132" t="str">
        <f t="array" ref="C132">IF(TRIM(A132)="","",
_xlfn.TEXTJOIN(" , ",TRUE,
IF((個体台帳!$A$2:$A$1000=TRIM(A132))*(個体台帳!$C$2:$C$1000="小物1"),
個体台帳!$B$2:$B$1000,
"")))</f>
        <v/>
      </c>
      <c r="D132" t="str">
        <f t="array" ref="D132">IF(TRIM(A132)="","",
_xlfn.TEXTJOIN(" , ",TRUE,
IF((個体台帳!$A$2:$A$1000=TRIM(A132))*(個体台帳!$C$2:$C$1000="小物2"),
個体台帳!$B$2:$B$1000,
"")))</f>
        <v/>
      </c>
      <c r="E132" s="8" t="str">
        <f t="array" ref="E132">IF($A132="","",
INDEX(個体台帳!$D$2:$D$1000,
MATCH(1,
(個体台帳!$A$2:$A$1000=$A132)*
(個体台帳!$C$2:$C$1000="服"),
0)))</f>
        <v/>
      </c>
      <c r="F132" t="str">
        <f t="array" ref="F132">IF($A132="","",
IF(COUNTIFS(貸出記録!$B:$B,$A132,貸出記録!$E:$E,"")&gt;0,
"貸出中","在庫"))</f>
        <v/>
      </c>
      <c r="G132" t="s">
        <v>6</v>
      </c>
      <c r="H132" t="s">
        <v>6</v>
      </c>
      <c r="I132" t="s">
        <v>6</v>
      </c>
    </row>
    <row r="133" spans="1:9">
      <c r="A133" s="21" t="s">
        <v>6</v>
      </c>
      <c r="B133" t="str">
        <f t="array" ref="B133">IF(TRIM(A133)="","",
_xlfn.TEXTJOIN(" , ",TRUE,
IF((個体台帳!$A$2:$A$1000=TRIM(A133))*(個体台帳!$C$2:$C$1000="服"),
個体台帳!$B$2:$B$1000,
"")))</f>
        <v/>
      </c>
      <c r="C133" t="str">
        <f t="array" ref="C133">IF(TRIM(A133)="","",
_xlfn.TEXTJOIN(" , ",TRUE,
IF((個体台帳!$A$2:$A$1000=TRIM(A133))*(個体台帳!$C$2:$C$1000="小物1"),
個体台帳!$B$2:$B$1000,
"")))</f>
        <v/>
      </c>
      <c r="D133" t="str">
        <f t="array" ref="D133">IF(TRIM(A133)="","",
_xlfn.TEXTJOIN(" , ",TRUE,
IF((個体台帳!$A$2:$A$1000=TRIM(A133))*(個体台帳!$C$2:$C$1000="小物2"),
個体台帳!$B$2:$B$1000,
"")))</f>
        <v/>
      </c>
      <c r="E133" s="8" t="str">
        <f t="array" ref="E133">IF($A133="","",
INDEX(個体台帳!$D$2:$D$1000,
MATCH(1,
(個体台帳!$A$2:$A$1000=$A133)*
(個体台帳!$C$2:$C$1000="服"),
0)))</f>
        <v/>
      </c>
      <c r="F133" t="str">
        <f t="array" ref="F133">IF($A133="","",
IF(COUNTIFS(貸出記録!$B:$B,$A133,貸出記録!$E:$E,"")&gt;0,
"貸出中","在庫"))</f>
        <v/>
      </c>
      <c r="G133" t="s">
        <v>6</v>
      </c>
      <c r="H133" t="s">
        <v>6</v>
      </c>
      <c r="I133" t="s">
        <v>6</v>
      </c>
    </row>
    <row r="134" spans="1:9">
      <c r="A134" s="21" t="s">
        <v>6</v>
      </c>
      <c r="B134" t="str">
        <f t="array" ref="B134">IF(TRIM(A134)="","",
_xlfn.TEXTJOIN(" , ",TRUE,
IF((個体台帳!$A$2:$A$1000=TRIM(A134))*(個体台帳!$C$2:$C$1000="服"),
個体台帳!$B$2:$B$1000,
"")))</f>
        <v/>
      </c>
      <c r="C134" t="str">
        <f t="array" ref="C134">IF(TRIM(A134)="","",
_xlfn.TEXTJOIN(" , ",TRUE,
IF((個体台帳!$A$2:$A$1000=TRIM(A134))*(個体台帳!$C$2:$C$1000="小物1"),
個体台帳!$B$2:$B$1000,
"")))</f>
        <v/>
      </c>
      <c r="D134" t="str">
        <f t="array" ref="D134">IF(TRIM(A134)="","",
_xlfn.TEXTJOIN(" , ",TRUE,
IF((個体台帳!$A$2:$A$1000=TRIM(A134))*(個体台帳!$C$2:$C$1000="小物2"),
個体台帳!$B$2:$B$1000,
"")))</f>
        <v/>
      </c>
      <c r="E134" s="8" t="str">
        <f t="array" ref="E134">IF($A134="","",
INDEX(個体台帳!$D$2:$D$1000,
MATCH(1,
(個体台帳!$A$2:$A$1000=$A134)*
(個体台帳!$C$2:$C$1000="服"),
0)))</f>
        <v/>
      </c>
      <c r="F134" t="str">
        <f t="array" ref="F134">IF($A134="","",
IF(COUNTIFS(貸出記録!$B:$B,$A134,貸出記録!$E:$E,"")&gt;0,
"貸出中","在庫"))</f>
        <v/>
      </c>
      <c r="G134" t="s">
        <v>6</v>
      </c>
      <c r="H134" t="s">
        <v>6</v>
      </c>
      <c r="I134" t="s">
        <v>6</v>
      </c>
    </row>
    <row r="135" spans="1:9">
      <c r="A135" s="21" t="s">
        <v>6</v>
      </c>
      <c r="B135" t="str">
        <f t="array" ref="B135">IF(TRIM(A135)="","",
_xlfn.TEXTJOIN(" , ",TRUE,
IF((個体台帳!$A$2:$A$1000=TRIM(A135))*(個体台帳!$C$2:$C$1000="服"),
個体台帳!$B$2:$B$1000,
"")))</f>
        <v/>
      </c>
      <c r="C135" t="str">
        <f t="array" ref="C135">IF(TRIM(A135)="","",
_xlfn.TEXTJOIN(" , ",TRUE,
IF((個体台帳!$A$2:$A$1000=TRIM(A135))*(個体台帳!$C$2:$C$1000="小物1"),
個体台帳!$B$2:$B$1000,
"")))</f>
        <v/>
      </c>
      <c r="D135" t="str">
        <f t="array" ref="D135">IF(TRIM(A135)="","",
_xlfn.TEXTJOIN(" , ",TRUE,
IF((個体台帳!$A$2:$A$1000=TRIM(A135))*(個体台帳!$C$2:$C$1000="小物2"),
個体台帳!$B$2:$B$1000,
"")))</f>
        <v/>
      </c>
      <c r="E135" s="8" t="str">
        <f t="array" ref="E135">IF($A135="","",
INDEX(個体台帳!$D$2:$D$1000,
MATCH(1,
(個体台帳!$A$2:$A$1000=$A135)*
(個体台帳!$C$2:$C$1000="服"),
0)))</f>
        <v/>
      </c>
      <c r="F135" t="str">
        <f t="array" ref="F135">IF($A135="","",
IF(COUNTIFS(貸出記録!$B:$B,$A135,貸出記録!$E:$E,"")&gt;0,
"貸出中","在庫"))</f>
        <v/>
      </c>
      <c r="G135" t="s">
        <v>6</v>
      </c>
      <c r="H135" t="s">
        <v>6</v>
      </c>
      <c r="I135" t="s">
        <v>6</v>
      </c>
    </row>
    <row r="136" spans="1:9">
      <c r="A136" s="21" t="s">
        <v>6</v>
      </c>
      <c r="B136" t="str">
        <f t="array" ref="B136">IF(TRIM(A136)="","",
_xlfn.TEXTJOIN(" , ",TRUE,
IF((個体台帳!$A$2:$A$1000=TRIM(A136))*(個体台帳!$C$2:$C$1000="服"),
個体台帳!$B$2:$B$1000,
"")))</f>
        <v/>
      </c>
      <c r="C136" t="str">
        <f t="array" ref="C136">IF(TRIM(A136)="","",
_xlfn.TEXTJOIN(" , ",TRUE,
IF((個体台帳!$A$2:$A$1000=TRIM(A136))*(個体台帳!$C$2:$C$1000="小物1"),
個体台帳!$B$2:$B$1000,
"")))</f>
        <v/>
      </c>
      <c r="D136" t="str">
        <f t="array" ref="D136">IF(TRIM(A136)="","",
_xlfn.TEXTJOIN(" , ",TRUE,
IF((個体台帳!$A$2:$A$1000=TRIM(A136))*(個体台帳!$C$2:$C$1000="小物2"),
個体台帳!$B$2:$B$1000,
"")))</f>
        <v/>
      </c>
      <c r="E136" s="8" t="str">
        <f t="array" ref="E136">IF($A136="","",
INDEX(個体台帳!$D$2:$D$1000,
MATCH(1,
(個体台帳!$A$2:$A$1000=$A136)*
(個体台帳!$C$2:$C$1000="服"),
0)))</f>
        <v/>
      </c>
      <c r="F136" t="str">
        <f t="array" ref="F136">IF($A136="","",
IF(COUNTIFS(貸出記録!$B:$B,$A136,貸出記録!$E:$E,"")&gt;0,
"貸出中","在庫"))</f>
        <v/>
      </c>
      <c r="G136" t="s">
        <v>6</v>
      </c>
      <c r="H136" t="s">
        <v>6</v>
      </c>
      <c r="I136" t="s">
        <v>6</v>
      </c>
    </row>
    <row r="137" spans="1:9">
      <c r="A137" s="21" t="s">
        <v>6</v>
      </c>
      <c r="B137" t="str">
        <f t="array" ref="B137">IF(TRIM(A137)="","",
_xlfn.TEXTJOIN(" , ",TRUE,
IF((個体台帳!$A$2:$A$1000=TRIM(A137))*(個体台帳!$C$2:$C$1000="服"),
個体台帳!$B$2:$B$1000,
"")))</f>
        <v/>
      </c>
      <c r="C137" t="str">
        <f t="array" ref="C137">IF(TRIM(A137)="","",
_xlfn.TEXTJOIN(" , ",TRUE,
IF((個体台帳!$A$2:$A$1000=TRIM(A137))*(個体台帳!$C$2:$C$1000="小物1"),
個体台帳!$B$2:$B$1000,
"")))</f>
        <v/>
      </c>
      <c r="D137" t="str">
        <f t="array" ref="D137">IF(TRIM(A137)="","",
_xlfn.TEXTJOIN(" , ",TRUE,
IF((個体台帳!$A$2:$A$1000=TRIM(A137))*(個体台帳!$C$2:$C$1000="小物2"),
個体台帳!$B$2:$B$1000,
"")))</f>
        <v/>
      </c>
      <c r="E137" s="8" t="str">
        <f t="array" ref="E137">IF($A137="","",
INDEX(個体台帳!$D$2:$D$1000,
MATCH(1,
(個体台帳!$A$2:$A$1000=$A137)*
(個体台帳!$C$2:$C$1000="服"),
0)))</f>
        <v/>
      </c>
      <c r="F137" t="str">
        <f t="array" ref="F137">IF($A137="","",
IF(COUNTIFS(貸出記録!$B:$B,$A137,貸出記録!$E:$E,"")&gt;0,
"貸出中","在庫"))</f>
        <v/>
      </c>
      <c r="G137" t="s">
        <v>6</v>
      </c>
      <c r="H137" t="s">
        <v>6</v>
      </c>
      <c r="I137" t="s">
        <v>6</v>
      </c>
    </row>
    <row r="138" spans="1:9">
      <c r="A138" s="21" t="s">
        <v>6</v>
      </c>
      <c r="B138" t="str">
        <f t="array" ref="B138">IF(TRIM(A138)="","",
_xlfn.TEXTJOIN(" , ",TRUE,
IF((個体台帳!$A$2:$A$1000=TRIM(A138))*(個体台帳!$C$2:$C$1000="服"),
個体台帳!$B$2:$B$1000,
"")))</f>
        <v/>
      </c>
      <c r="C138" t="str">
        <f t="array" ref="C138">IF(TRIM(A138)="","",
_xlfn.TEXTJOIN(" , ",TRUE,
IF((個体台帳!$A$2:$A$1000=TRIM(A138))*(個体台帳!$C$2:$C$1000="小物1"),
個体台帳!$B$2:$B$1000,
"")))</f>
        <v/>
      </c>
      <c r="D138" t="str">
        <f t="array" ref="D138">IF(TRIM(A138)="","",
_xlfn.TEXTJOIN(" , ",TRUE,
IF((個体台帳!$A$2:$A$1000=TRIM(A138))*(個体台帳!$C$2:$C$1000="小物2"),
個体台帳!$B$2:$B$1000,
"")))</f>
        <v/>
      </c>
      <c r="E138" s="8" t="str">
        <f t="array" ref="E138">IF($A138="","",
INDEX(個体台帳!$D$2:$D$1000,
MATCH(1,
(個体台帳!$A$2:$A$1000=$A138)*
(個体台帳!$C$2:$C$1000="服"),
0)))</f>
        <v/>
      </c>
      <c r="F138" t="str">
        <f t="array" ref="F138">IF($A138="","",
IF(COUNTIFS(貸出記録!$B:$B,$A138,貸出記録!$E:$E,"")&gt;0,
"貸出中","在庫"))</f>
        <v/>
      </c>
      <c r="G138" t="s">
        <v>6</v>
      </c>
      <c r="H138" t="s">
        <v>6</v>
      </c>
      <c r="I138" t="s">
        <v>6</v>
      </c>
    </row>
    <row r="139" spans="1:9">
      <c r="A139" s="21" t="s">
        <v>6</v>
      </c>
      <c r="B139" t="str">
        <f t="array" ref="B139">IF(TRIM(A139)="","",
_xlfn.TEXTJOIN(" , ",TRUE,
IF((個体台帳!$A$2:$A$1000=TRIM(A139))*(個体台帳!$C$2:$C$1000="服"),
個体台帳!$B$2:$B$1000,
"")))</f>
        <v/>
      </c>
      <c r="C139" t="str">
        <f t="array" ref="C139">IF(TRIM(A139)="","",
_xlfn.TEXTJOIN(" , ",TRUE,
IF((個体台帳!$A$2:$A$1000=TRIM(A139))*(個体台帳!$C$2:$C$1000="小物1"),
個体台帳!$B$2:$B$1000,
"")))</f>
        <v/>
      </c>
      <c r="D139" t="str">
        <f t="array" ref="D139">IF(TRIM(A139)="","",
_xlfn.TEXTJOIN(" , ",TRUE,
IF((個体台帳!$A$2:$A$1000=TRIM(A139))*(個体台帳!$C$2:$C$1000="小物2"),
個体台帳!$B$2:$B$1000,
"")))</f>
        <v/>
      </c>
      <c r="E139" s="8" t="str">
        <f t="array" ref="E139">IF($A139="","",
INDEX(個体台帳!$D$2:$D$1000,
MATCH(1,
(個体台帳!$A$2:$A$1000=$A139)*
(個体台帳!$C$2:$C$1000="服"),
0)))</f>
        <v/>
      </c>
      <c r="F139" t="str">
        <f t="array" ref="F139">IF($A139="","",
IF(COUNTIFS(貸出記録!$B:$B,$A139,貸出記録!$E:$E,"")&gt;0,
"貸出中","在庫"))</f>
        <v/>
      </c>
      <c r="G139" t="s">
        <v>6</v>
      </c>
      <c r="H139" t="s">
        <v>6</v>
      </c>
      <c r="I139" t="s">
        <v>6</v>
      </c>
    </row>
    <row r="140" spans="1:9">
      <c r="A140" s="21" t="s">
        <v>6</v>
      </c>
      <c r="B140" t="str">
        <f t="array" ref="B140">IF(TRIM(A140)="","",
_xlfn.TEXTJOIN(" , ",TRUE,
IF((個体台帳!$A$2:$A$1000=TRIM(A140))*(個体台帳!$C$2:$C$1000="服"),
個体台帳!$B$2:$B$1000,
"")))</f>
        <v/>
      </c>
      <c r="C140" t="str">
        <f t="array" ref="C140">IF(TRIM(A140)="","",
_xlfn.TEXTJOIN(" , ",TRUE,
IF((個体台帳!$A$2:$A$1000=TRIM(A140))*(個体台帳!$C$2:$C$1000="小物1"),
個体台帳!$B$2:$B$1000,
"")))</f>
        <v/>
      </c>
      <c r="D140" t="str">
        <f t="array" ref="D140">IF(TRIM(A140)="","",
_xlfn.TEXTJOIN(" , ",TRUE,
IF((個体台帳!$A$2:$A$1000=TRIM(A140))*(個体台帳!$C$2:$C$1000="小物2"),
個体台帳!$B$2:$B$1000,
"")))</f>
        <v/>
      </c>
      <c r="E140" s="8" t="str">
        <f t="array" ref="E140">IF($A140="","",
INDEX(個体台帳!$D$2:$D$1000,
MATCH(1,
(個体台帳!$A$2:$A$1000=$A140)*
(個体台帳!$C$2:$C$1000="服"),
0)))</f>
        <v/>
      </c>
      <c r="F140" t="str">
        <f t="array" ref="F140">IF($A140="","",
IF(COUNTIFS(貸出記録!$B:$B,$A140,貸出記録!$E:$E,"")&gt;0,
"貸出中","在庫"))</f>
        <v/>
      </c>
      <c r="G140" t="s">
        <v>6</v>
      </c>
      <c r="H140" t="s">
        <v>6</v>
      </c>
      <c r="I140" t="s">
        <v>6</v>
      </c>
    </row>
    <row r="141" spans="1:9">
      <c r="A141" s="21" t="s">
        <v>6</v>
      </c>
      <c r="B141" t="str">
        <f t="array" ref="B141">IF(TRIM(A141)="","",
_xlfn.TEXTJOIN(" , ",TRUE,
IF((個体台帳!$A$2:$A$1000=TRIM(A141))*(個体台帳!$C$2:$C$1000="服"),
個体台帳!$B$2:$B$1000,
"")))</f>
        <v/>
      </c>
      <c r="C141" t="str">
        <f t="array" ref="C141">IF(TRIM(A141)="","",
_xlfn.TEXTJOIN(" , ",TRUE,
IF((個体台帳!$A$2:$A$1000=TRIM(A141))*(個体台帳!$C$2:$C$1000="小物1"),
個体台帳!$B$2:$B$1000,
"")))</f>
        <v/>
      </c>
      <c r="D141" t="str">
        <f t="array" ref="D141">IF(TRIM(A141)="","",
_xlfn.TEXTJOIN(" , ",TRUE,
IF((個体台帳!$A$2:$A$1000=TRIM(A141))*(個体台帳!$C$2:$C$1000="小物2"),
個体台帳!$B$2:$B$1000,
"")))</f>
        <v/>
      </c>
      <c r="E141" s="8" t="str">
        <f t="array" ref="E141">IF($A141="","",
INDEX(個体台帳!$D$2:$D$1000,
MATCH(1,
(個体台帳!$A$2:$A$1000=$A141)*
(個体台帳!$C$2:$C$1000="服"),
0)))</f>
        <v/>
      </c>
      <c r="F141" t="str">
        <f t="array" ref="F141">IF($A141="","",
IF(COUNTIFS(貸出記録!$B:$B,$A141,貸出記録!$E:$E,"")&gt;0,
"貸出中","在庫"))</f>
        <v/>
      </c>
      <c r="G141" t="s">
        <v>6</v>
      </c>
      <c r="H141" t="s">
        <v>6</v>
      </c>
      <c r="I141" t="s">
        <v>6</v>
      </c>
    </row>
    <row r="142" spans="1:9">
      <c r="A142" s="21" t="s">
        <v>6</v>
      </c>
      <c r="B142" t="str">
        <f t="array" ref="B142">IF(TRIM(A142)="","",
_xlfn.TEXTJOIN(" , ",TRUE,
IF((個体台帳!$A$2:$A$1000=TRIM(A142))*(個体台帳!$C$2:$C$1000="服"),
個体台帳!$B$2:$B$1000,
"")))</f>
        <v/>
      </c>
      <c r="C142" t="str">
        <f t="array" ref="C142">IF(TRIM(A142)="","",
_xlfn.TEXTJOIN(" , ",TRUE,
IF((個体台帳!$A$2:$A$1000=TRIM(A142))*(個体台帳!$C$2:$C$1000="小物1"),
個体台帳!$B$2:$B$1000,
"")))</f>
        <v/>
      </c>
      <c r="D142" t="str">
        <f t="array" ref="D142">IF(TRIM(A142)="","",
_xlfn.TEXTJOIN(" , ",TRUE,
IF((個体台帳!$A$2:$A$1000=TRIM(A142))*(個体台帳!$C$2:$C$1000="小物2"),
個体台帳!$B$2:$B$1000,
"")))</f>
        <v/>
      </c>
      <c r="E142" s="8" t="str">
        <f t="array" ref="E142">IF($A142="","",
INDEX(個体台帳!$D$2:$D$1000,
MATCH(1,
(個体台帳!$A$2:$A$1000=$A142)*
(個体台帳!$C$2:$C$1000="服"),
0)))</f>
        <v/>
      </c>
      <c r="F142" t="str">
        <f t="array" ref="F142">IF($A142="","",
IF(COUNTIFS(貸出記録!$B:$B,$A142,貸出記録!$E:$E,"")&gt;0,
"貸出中","在庫"))</f>
        <v/>
      </c>
      <c r="G142" t="s">
        <v>6</v>
      </c>
      <c r="H142" t="s">
        <v>6</v>
      </c>
      <c r="I142" t="s">
        <v>6</v>
      </c>
    </row>
    <row r="143" spans="1:9">
      <c r="A143" s="21" t="s">
        <v>6</v>
      </c>
      <c r="B143" t="str">
        <f t="array" ref="B143">IF(TRIM(A143)="","",
_xlfn.TEXTJOIN(" , ",TRUE,
IF((個体台帳!$A$2:$A$1000=TRIM(A143))*(個体台帳!$C$2:$C$1000="服"),
個体台帳!$B$2:$B$1000,
"")))</f>
        <v/>
      </c>
      <c r="C143" t="str">
        <f t="array" ref="C143">IF(TRIM(A143)="","",
_xlfn.TEXTJOIN(" , ",TRUE,
IF((個体台帳!$A$2:$A$1000=TRIM(A143))*(個体台帳!$C$2:$C$1000="小物1"),
個体台帳!$B$2:$B$1000,
"")))</f>
        <v/>
      </c>
      <c r="D143" t="str">
        <f t="array" ref="D143">IF(TRIM(A143)="","",
_xlfn.TEXTJOIN(" , ",TRUE,
IF((個体台帳!$A$2:$A$1000=TRIM(A143))*(個体台帳!$C$2:$C$1000="小物2"),
個体台帳!$B$2:$B$1000,
"")))</f>
        <v/>
      </c>
      <c r="E143" s="8" t="str">
        <f t="array" ref="E143">IF($A143="","",
INDEX(個体台帳!$D$2:$D$1000,
MATCH(1,
(個体台帳!$A$2:$A$1000=$A143)*
(個体台帳!$C$2:$C$1000="服"),
0)))</f>
        <v/>
      </c>
      <c r="F143" t="str">
        <f t="array" ref="F143">IF($A143="","",
IF(COUNTIFS(貸出記録!$B:$B,$A143,貸出記録!$E:$E,"")&gt;0,
"貸出中","在庫"))</f>
        <v/>
      </c>
      <c r="G143" t="s">
        <v>6</v>
      </c>
      <c r="H143" t="s">
        <v>6</v>
      </c>
      <c r="I143" t="s">
        <v>6</v>
      </c>
    </row>
    <row r="144" spans="1:9">
      <c r="A144" s="21" t="s">
        <v>6</v>
      </c>
      <c r="B144" t="str">
        <f t="array" ref="B144">IF(TRIM(A144)="","",
_xlfn.TEXTJOIN(" , ",TRUE,
IF((個体台帳!$A$2:$A$1000=TRIM(A144))*(個体台帳!$C$2:$C$1000="服"),
個体台帳!$B$2:$B$1000,
"")))</f>
        <v/>
      </c>
      <c r="C144" t="str">
        <f t="array" ref="C144">IF(TRIM(A144)="","",
_xlfn.TEXTJOIN(" , ",TRUE,
IF((個体台帳!$A$2:$A$1000=TRIM(A144))*(個体台帳!$C$2:$C$1000="小物1"),
個体台帳!$B$2:$B$1000,
"")))</f>
        <v/>
      </c>
      <c r="D144" t="str">
        <f t="array" ref="D144">IF(TRIM(A144)="","",
_xlfn.TEXTJOIN(" , ",TRUE,
IF((個体台帳!$A$2:$A$1000=TRIM(A144))*(個体台帳!$C$2:$C$1000="小物2"),
個体台帳!$B$2:$B$1000,
"")))</f>
        <v/>
      </c>
      <c r="E144" s="8" t="str">
        <f t="array" ref="E144">IF($A144="","",
INDEX(個体台帳!$D$2:$D$1000,
MATCH(1,
(個体台帳!$A$2:$A$1000=$A144)*
(個体台帳!$C$2:$C$1000="服"),
0)))</f>
        <v/>
      </c>
      <c r="F144" t="str">
        <f t="array" ref="F144">IF($A144="","",
IF(COUNTIFS(貸出記録!$B:$B,$A144,貸出記録!$E:$E,"")&gt;0,
"貸出中","在庫"))</f>
        <v/>
      </c>
      <c r="G144" t="s">
        <v>6</v>
      </c>
      <c r="H144" t="s">
        <v>6</v>
      </c>
      <c r="I144" t="s">
        <v>6</v>
      </c>
    </row>
    <row r="145" spans="1:9">
      <c r="A145" s="21" t="s">
        <v>6</v>
      </c>
      <c r="B145" t="str">
        <f t="array" ref="B145">IF(TRIM(A145)="","",
_xlfn.TEXTJOIN(" , ",TRUE,
IF((個体台帳!$A$2:$A$1000=TRIM(A145))*(個体台帳!$C$2:$C$1000="服"),
個体台帳!$B$2:$B$1000,
"")))</f>
        <v/>
      </c>
      <c r="C145" t="str">
        <f t="array" ref="C145">IF(TRIM(A145)="","",
_xlfn.TEXTJOIN(" , ",TRUE,
IF((個体台帳!$A$2:$A$1000=TRIM(A145))*(個体台帳!$C$2:$C$1000="小物1"),
個体台帳!$B$2:$B$1000,
"")))</f>
        <v/>
      </c>
      <c r="D145" t="str">
        <f t="array" ref="D145">IF(TRIM(A145)="","",
_xlfn.TEXTJOIN(" , ",TRUE,
IF((個体台帳!$A$2:$A$1000=TRIM(A145))*(個体台帳!$C$2:$C$1000="小物2"),
個体台帳!$B$2:$B$1000,
"")))</f>
        <v/>
      </c>
      <c r="E145" s="8" t="str">
        <f t="array" ref="E145">IF($A145="","",
INDEX(個体台帳!$D$2:$D$1000,
MATCH(1,
(個体台帳!$A$2:$A$1000=$A145)*
(個体台帳!$C$2:$C$1000="服"),
0)))</f>
        <v/>
      </c>
      <c r="F145" t="str">
        <f t="array" ref="F145">IF($A145="","",
IF(COUNTIFS(貸出記録!$B:$B,$A145,貸出記録!$E:$E,"")&gt;0,
"貸出中","在庫"))</f>
        <v/>
      </c>
      <c r="G145" t="s">
        <v>6</v>
      </c>
      <c r="H145" t="s">
        <v>6</v>
      </c>
      <c r="I145" t="s">
        <v>6</v>
      </c>
    </row>
    <row r="146" spans="1:9">
      <c r="A146" s="21" t="s">
        <v>6</v>
      </c>
      <c r="B146" t="str">
        <f t="array" ref="B146">IF(TRIM(A146)="","",
_xlfn.TEXTJOIN(" , ",TRUE,
IF((個体台帳!$A$2:$A$1000=TRIM(A146))*(個体台帳!$C$2:$C$1000="服"),
個体台帳!$B$2:$B$1000,
"")))</f>
        <v/>
      </c>
      <c r="C146" t="str">
        <f t="array" ref="C146">IF(TRIM(A146)="","",
_xlfn.TEXTJOIN(" , ",TRUE,
IF((個体台帳!$A$2:$A$1000=TRIM(A146))*(個体台帳!$C$2:$C$1000="小物1"),
個体台帳!$B$2:$B$1000,
"")))</f>
        <v/>
      </c>
      <c r="D146" t="str">
        <f t="array" ref="D146">IF(TRIM(A146)="","",
_xlfn.TEXTJOIN(" , ",TRUE,
IF((個体台帳!$A$2:$A$1000=TRIM(A146))*(個体台帳!$C$2:$C$1000="小物2"),
個体台帳!$B$2:$B$1000,
"")))</f>
        <v/>
      </c>
      <c r="E146" s="8" t="str">
        <f t="array" ref="E146">IF($A146="","",
INDEX(個体台帳!$D$2:$D$1000,
MATCH(1,
(個体台帳!$A$2:$A$1000=$A146)*
(個体台帳!$C$2:$C$1000="服"),
0)))</f>
        <v/>
      </c>
      <c r="F146" t="str">
        <f t="array" ref="F146">IF($A146="","",
IF(COUNTIFS(貸出記録!$B:$B,$A146,貸出記録!$E:$E,"")&gt;0,
"貸出中","在庫"))</f>
        <v/>
      </c>
      <c r="G146" t="s">
        <v>6</v>
      </c>
      <c r="H146" t="s">
        <v>6</v>
      </c>
      <c r="I146" t="s">
        <v>6</v>
      </c>
    </row>
    <row r="147" spans="1:9">
      <c r="A147" s="21" t="s">
        <v>6</v>
      </c>
      <c r="B147" t="str">
        <f t="array" ref="B147">IF(TRIM(A147)="","",
_xlfn.TEXTJOIN(" , ",TRUE,
IF((個体台帳!$A$2:$A$1000=TRIM(A147))*(個体台帳!$C$2:$C$1000="服"),
個体台帳!$B$2:$B$1000,
"")))</f>
        <v/>
      </c>
      <c r="C147" t="str">
        <f t="array" ref="C147">IF(TRIM(A147)="","",
_xlfn.TEXTJOIN(" , ",TRUE,
IF((個体台帳!$A$2:$A$1000=TRIM(A147))*(個体台帳!$C$2:$C$1000="小物1"),
個体台帳!$B$2:$B$1000,
"")))</f>
        <v/>
      </c>
      <c r="D147" t="str">
        <f t="array" ref="D147">IF(TRIM(A147)="","",
_xlfn.TEXTJOIN(" , ",TRUE,
IF((個体台帳!$A$2:$A$1000=TRIM(A147))*(個体台帳!$C$2:$C$1000="小物2"),
個体台帳!$B$2:$B$1000,
"")))</f>
        <v/>
      </c>
      <c r="E147" s="8" t="str">
        <f t="array" ref="E147">IF($A147="","",
INDEX(個体台帳!$D$2:$D$1000,
MATCH(1,
(個体台帳!$A$2:$A$1000=$A147)*
(個体台帳!$C$2:$C$1000="服"),
0)))</f>
        <v/>
      </c>
      <c r="F147" t="str">
        <f t="array" ref="F147">IF($A147="","",
IF(COUNTIFS(貸出記録!$B:$B,$A147,貸出記録!$E:$E,"")&gt;0,
"貸出中","在庫"))</f>
        <v/>
      </c>
      <c r="G147" t="s">
        <v>6</v>
      </c>
      <c r="H147" t="s">
        <v>6</v>
      </c>
      <c r="I147" t="s">
        <v>6</v>
      </c>
    </row>
    <row r="148" spans="1:9">
      <c r="A148" s="21" t="s">
        <v>6</v>
      </c>
      <c r="B148" t="str">
        <f t="array" ref="B148">IF(TRIM(A148)="","",
_xlfn.TEXTJOIN(" , ",TRUE,
IF((個体台帳!$A$2:$A$1000=TRIM(A148))*(個体台帳!$C$2:$C$1000="服"),
個体台帳!$B$2:$B$1000,
"")))</f>
        <v/>
      </c>
      <c r="C148" t="str">
        <f t="array" ref="C148">IF(TRIM(A148)="","",
_xlfn.TEXTJOIN(" , ",TRUE,
IF((個体台帳!$A$2:$A$1000=TRIM(A148))*(個体台帳!$C$2:$C$1000="小物1"),
個体台帳!$B$2:$B$1000,
"")))</f>
        <v/>
      </c>
      <c r="D148" t="str">
        <f t="array" ref="D148">IF(TRIM(A148)="","",
_xlfn.TEXTJOIN(" , ",TRUE,
IF((個体台帳!$A$2:$A$1000=TRIM(A148))*(個体台帳!$C$2:$C$1000="小物2"),
個体台帳!$B$2:$B$1000,
"")))</f>
        <v/>
      </c>
      <c r="E148" s="8" t="str">
        <f t="array" ref="E148">IF($A148="","",
INDEX(個体台帳!$D$2:$D$1000,
MATCH(1,
(個体台帳!$A$2:$A$1000=$A148)*
(個体台帳!$C$2:$C$1000="服"),
0)))</f>
        <v/>
      </c>
      <c r="F148" t="str">
        <f t="array" ref="F148">IF($A148="","",
IF(COUNTIFS(貸出記録!$B:$B,$A148,貸出記録!$E:$E,"")&gt;0,
"貸出中","在庫"))</f>
        <v/>
      </c>
      <c r="G148" t="s">
        <v>6</v>
      </c>
      <c r="H148" t="s">
        <v>6</v>
      </c>
      <c r="I148" t="s">
        <v>6</v>
      </c>
    </row>
    <row r="149" spans="1:9">
      <c r="A149" s="21" t="s">
        <v>6</v>
      </c>
      <c r="B149" t="str">
        <f t="array" ref="B149">IF(TRIM(A149)="","",
_xlfn.TEXTJOIN(" , ",TRUE,
IF((個体台帳!$A$2:$A$1000=TRIM(A149))*(個体台帳!$C$2:$C$1000="服"),
個体台帳!$B$2:$B$1000,
"")))</f>
        <v/>
      </c>
      <c r="C149" t="str">
        <f t="array" ref="C149">IF(TRIM(A149)="","",
_xlfn.TEXTJOIN(" , ",TRUE,
IF((個体台帳!$A$2:$A$1000=TRIM(A149))*(個体台帳!$C$2:$C$1000="小物1"),
個体台帳!$B$2:$B$1000,
"")))</f>
        <v/>
      </c>
      <c r="D149" t="str">
        <f t="array" ref="D149">IF(TRIM(A149)="","",
_xlfn.TEXTJOIN(" , ",TRUE,
IF((個体台帳!$A$2:$A$1000=TRIM(A149))*(個体台帳!$C$2:$C$1000="小物2"),
個体台帳!$B$2:$B$1000,
"")))</f>
        <v/>
      </c>
      <c r="E149" s="8" t="str">
        <f t="array" ref="E149">IF($A149="","",
INDEX(個体台帳!$D$2:$D$1000,
MATCH(1,
(個体台帳!$A$2:$A$1000=$A149)*
(個体台帳!$C$2:$C$1000="服"),
0)))</f>
        <v/>
      </c>
      <c r="F149" t="str">
        <f t="array" ref="F149">IF($A149="","",
IF(COUNTIFS(貸出記録!$B:$B,$A149,貸出記録!$E:$E,"")&gt;0,
"貸出中","在庫"))</f>
        <v/>
      </c>
      <c r="G149" t="s">
        <v>6</v>
      </c>
      <c r="H149" t="s">
        <v>6</v>
      </c>
      <c r="I149" t="s">
        <v>6</v>
      </c>
    </row>
    <row r="150" spans="1:9">
      <c r="A150" s="21" t="s">
        <v>6</v>
      </c>
      <c r="B150" t="str">
        <f t="array" ref="B150">IF(TRIM(A150)="","",
_xlfn.TEXTJOIN(" , ",TRUE,
IF((個体台帳!$A$2:$A$1000=TRIM(A150))*(個体台帳!$C$2:$C$1000="服"),
個体台帳!$B$2:$B$1000,
"")))</f>
        <v/>
      </c>
      <c r="C150" t="str">
        <f t="array" ref="C150">IF(TRIM(A150)="","",
_xlfn.TEXTJOIN(" , ",TRUE,
IF((個体台帳!$A$2:$A$1000=TRIM(A150))*(個体台帳!$C$2:$C$1000="小物1"),
個体台帳!$B$2:$B$1000,
"")))</f>
        <v/>
      </c>
      <c r="D150" t="str">
        <f t="array" ref="D150">IF(TRIM(A150)="","",
_xlfn.TEXTJOIN(" , ",TRUE,
IF((個体台帳!$A$2:$A$1000=TRIM(A150))*(個体台帳!$C$2:$C$1000="小物2"),
個体台帳!$B$2:$B$1000,
"")))</f>
        <v/>
      </c>
      <c r="E150" s="8" t="str">
        <f t="array" ref="E150">IF($A150="","",
INDEX(個体台帳!$D$2:$D$1000,
MATCH(1,
(個体台帳!$A$2:$A$1000=$A150)*
(個体台帳!$C$2:$C$1000="服"),
0)))</f>
        <v/>
      </c>
      <c r="F150" t="str">
        <f t="array" ref="F150">IF($A150="","",
IF(COUNTIFS(貸出記録!$B:$B,$A150,貸出記録!$E:$E,"")&gt;0,
"貸出中","在庫"))</f>
        <v/>
      </c>
      <c r="G150" t="s">
        <v>6</v>
      </c>
      <c r="H150" t="s">
        <v>6</v>
      </c>
      <c r="I150" t="s">
        <v>6</v>
      </c>
    </row>
    <row r="151" spans="1:9">
      <c r="A151" s="21" t="s">
        <v>6</v>
      </c>
      <c r="B151" t="str">
        <f t="array" ref="B151">IF(TRIM(A151)="","",
_xlfn.TEXTJOIN(" , ",TRUE,
IF((個体台帳!$A$2:$A$1000=TRIM(A151))*(個体台帳!$C$2:$C$1000="服"),
個体台帳!$B$2:$B$1000,
"")))</f>
        <v/>
      </c>
      <c r="C151" t="str">
        <f t="array" ref="C151">IF(TRIM(A151)="","",
_xlfn.TEXTJOIN(" , ",TRUE,
IF((個体台帳!$A$2:$A$1000=TRIM(A151))*(個体台帳!$C$2:$C$1000="小物1"),
個体台帳!$B$2:$B$1000,
"")))</f>
        <v/>
      </c>
      <c r="D151" t="str">
        <f t="array" ref="D151">IF(TRIM(A151)="","",
_xlfn.TEXTJOIN(" , ",TRUE,
IF((個体台帳!$A$2:$A$1000=TRIM(A151))*(個体台帳!$C$2:$C$1000="小物2"),
個体台帳!$B$2:$B$1000,
"")))</f>
        <v/>
      </c>
      <c r="E151" s="8" t="str">
        <f t="array" ref="E151">IF($A151="","",
INDEX(個体台帳!$D$2:$D$1000,
MATCH(1,
(個体台帳!$A$2:$A$1000=$A151)*
(個体台帳!$C$2:$C$1000="服"),
0)))</f>
        <v/>
      </c>
      <c r="F151" t="str">
        <f t="array" ref="F151">IF($A151="","",
IF(COUNTIFS(貸出記録!$B:$B,$A151,貸出記録!$E:$E,"")&gt;0,
"貸出中","在庫"))</f>
        <v/>
      </c>
      <c r="G151" t="s">
        <v>6</v>
      </c>
      <c r="H151" t="s">
        <v>6</v>
      </c>
      <c r="I151" t="s">
        <v>6</v>
      </c>
    </row>
    <row r="152" spans="1:9">
      <c r="A152" s="21" t="s">
        <v>6</v>
      </c>
      <c r="B152" t="str">
        <f t="array" ref="B152">IF(TRIM(A152)="","",
_xlfn.TEXTJOIN(" , ",TRUE,
IF((個体台帳!$A$2:$A$1000=TRIM(A152))*(個体台帳!$C$2:$C$1000="服"),
個体台帳!$B$2:$B$1000,
"")))</f>
        <v/>
      </c>
      <c r="C152" t="str">
        <f t="array" ref="C152">IF(TRIM(A152)="","",
_xlfn.TEXTJOIN(" , ",TRUE,
IF((個体台帳!$A$2:$A$1000=TRIM(A152))*(個体台帳!$C$2:$C$1000="小物1"),
個体台帳!$B$2:$B$1000,
"")))</f>
        <v/>
      </c>
      <c r="D152" t="str">
        <f t="array" ref="D152">IF(TRIM(A152)="","",
_xlfn.TEXTJOIN(" , ",TRUE,
IF((個体台帳!$A$2:$A$1000=TRIM(A152))*(個体台帳!$C$2:$C$1000="小物2"),
個体台帳!$B$2:$B$1000,
"")))</f>
        <v/>
      </c>
      <c r="E152" s="8" t="str">
        <f t="array" ref="E152">IF($A152="","",
INDEX(個体台帳!$D$2:$D$1000,
MATCH(1,
(個体台帳!$A$2:$A$1000=$A152)*
(個体台帳!$C$2:$C$1000="服"),
0)))</f>
        <v/>
      </c>
      <c r="F152" t="str">
        <f t="array" ref="F152">IF($A152="","",
IF(COUNTIFS(貸出記録!$B:$B,$A152,貸出記録!$E:$E,"")&gt;0,
"貸出中","在庫"))</f>
        <v/>
      </c>
      <c r="G152" t="s">
        <v>6</v>
      </c>
      <c r="H152" t="s">
        <v>6</v>
      </c>
      <c r="I152" t="s">
        <v>6</v>
      </c>
    </row>
    <row r="153" spans="1:9">
      <c r="A153" s="21" t="s">
        <v>6</v>
      </c>
      <c r="B153" t="str">
        <f t="array" ref="B153">IF(TRIM(A153)="","",
_xlfn.TEXTJOIN(" , ",TRUE,
IF((個体台帳!$A$2:$A$1000=TRIM(A153))*(個体台帳!$C$2:$C$1000="服"),
個体台帳!$B$2:$B$1000,
"")))</f>
        <v/>
      </c>
      <c r="C153" t="str">
        <f t="array" ref="C153">IF(TRIM(A153)="","",
_xlfn.TEXTJOIN(" , ",TRUE,
IF((個体台帳!$A$2:$A$1000=TRIM(A153))*(個体台帳!$C$2:$C$1000="小物1"),
個体台帳!$B$2:$B$1000,
"")))</f>
        <v/>
      </c>
      <c r="D153" t="str">
        <f t="array" ref="D153">IF(TRIM(A153)="","",
_xlfn.TEXTJOIN(" , ",TRUE,
IF((個体台帳!$A$2:$A$1000=TRIM(A153))*(個体台帳!$C$2:$C$1000="小物2"),
個体台帳!$B$2:$B$1000,
"")))</f>
        <v/>
      </c>
      <c r="E153" s="8" t="str">
        <f t="array" ref="E153">IF($A153="","",
INDEX(個体台帳!$D$2:$D$1000,
MATCH(1,
(個体台帳!$A$2:$A$1000=$A153)*
(個体台帳!$C$2:$C$1000="服"),
0)))</f>
        <v/>
      </c>
      <c r="F153" t="str">
        <f t="array" ref="F153">IF($A153="","",
IF(COUNTIFS(貸出記録!$B:$B,$A153,貸出記録!$E:$E,"")&gt;0,
"貸出中","在庫"))</f>
        <v/>
      </c>
      <c r="G153" t="s">
        <v>6</v>
      </c>
      <c r="H153" t="s">
        <v>6</v>
      </c>
      <c r="I153" t="s">
        <v>6</v>
      </c>
    </row>
    <row r="154" spans="1:9">
      <c r="A154" s="21" t="s">
        <v>6</v>
      </c>
      <c r="B154" t="str">
        <f t="array" ref="B154">IF(TRIM(A154)="","",
_xlfn.TEXTJOIN(" , ",TRUE,
IF((個体台帳!$A$2:$A$1000=TRIM(A154))*(個体台帳!$C$2:$C$1000="服"),
個体台帳!$B$2:$B$1000,
"")))</f>
        <v/>
      </c>
      <c r="C154" t="str">
        <f t="array" ref="C154">IF(TRIM(A154)="","",
_xlfn.TEXTJOIN(" , ",TRUE,
IF((個体台帳!$A$2:$A$1000=TRIM(A154))*(個体台帳!$C$2:$C$1000="小物1"),
個体台帳!$B$2:$B$1000,
"")))</f>
        <v/>
      </c>
      <c r="D154" t="str">
        <f t="array" ref="D154">IF(TRIM(A154)="","",
_xlfn.TEXTJOIN(" , ",TRUE,
IF((個体台帳!$A$2:$A$1000=TRIM(A154))*(個体台帳!$C$2:$C$1000="小物2"),
個体台帳!$B$2:$B$1000,
"")))</f>
        <v/>
      </c>
      <c r="E154" s="8" t="str">
        <f t="array" ref="E154">IF($A154="","",
INDEX(個体台帳!$D$2:$D$1000,
MATCH(1,
(個体台帳!$A$2:$A$1000=$A154)*
(個体台帳!$C$2:$C$1000="服"),
0)))</f>
        <v/>
      </c>
      <c r="F154" t="str">
        <f t="array" ref="F154">IF($A154="","",
IF(COUNTIFS(貸出記録!$B:$B,$A154,貸出記録!$E:$E,"")&gt;0,
"貸出中","在庫"))</f>
        <v/>
      </c>
      <c r="G154" t="s">
        <v>6</v>
      </c>
      <c r="H154" t="s">
        <v>6</v>
      </c>
      <c r="I154" t="s">
        <v>6</v>
      </c>
    </row>
    <row r="155" spans="1:9">
      <c r="A155" s="21" t="s">
        <v>6</v>
      </c>
      <c r="B155" t="str">
        <f t="array" ref="B155">IF(TRIM(A155)="","",
_xlfn.TEXTJOIN(" , ",TRUE,
IF((個体台帳!$A$2:$A$1000=TRIM(A155))*(個体台帳!$C$2:$C$1000="服"),
個体台帳!$B$2:$B$1000,
"")))</f>
        <v/>
      </c>
      <c r="C155" t="str">
        <f t="array" ref="C155">IF(TRIM(A155)="","",
_xlfn.TEXTJOIN(" , ",TRUE,
IF((個体台帳!$A$2:$A$1000=TRIM(A155))*(個体台帳!$C$2:$C$1000="小物1"),
個体台帳!$B$2:$B$1000,
"")))</f>
        <v/>
      </c>
      <c r="D155" t="str">
        <f t="array" ref="D155">IF(TRIM(A155)="","",
_xlfn.TEXTJOIN(" , ",TRUE,
IF((個体台帳!$A$2:$A$1000=TRIM(A155))*(個体台帳!$C$2:$C$1000="小物2"),
個体台帳!$B$2:$B$1000,
"")))</f>
        <v/>
      </c>
      <c r="E155" s="8" t="str">
        <f t="array" ref="E155">IF($A155="","",
INDEX(個体台帳!$D$2:$D$1000,
MATCH(1,
(個体台帳!$A$2:$A$1000=$A155)*
(個体台帳!$C$2:$C$1000="服"),
0)))</f>
        <v/>
      </c>
      <c r="F155" t="str">
        <f t="array" ref="F155">IF($A155="","",
IF(COUNTIFS(貸出記録!$B:$B,$A155,貸出記録!$E:$E,"")&gt;0,
"貸出中","在庫"))</f>
        <v/>
      </c>
      <c r="G155" t="s">
        <v>6</v>
      </c>
      <c r="H155" t="s">
        <v>6</v>
      </c>
      <c r="I155" t="s">
        <v>6</v>
      </c>
    </row>
    <row r="156" spans="1:9">
      <c r="A156" s="21" t="s">
        <v>6</v>
      </c>
      <c r="B156" t="str">
        <f t="array" ref="B156">IF(TRIM(A156)="","",
_xlfn.TEXTJOIN(" , ",TRUE,
IF((個体台帳!$A$2:$A$1000=TRIM(A156))*(個体台帳!$C$2:$C$1000="服"),
個体台帳!$B$2:$B$1000,
"")))</f>
        <v/>
      </c>
      <c r="C156" t="str">
        <f t="array" ref="C156">IF(TRIM(A156)="","",
_xlfn.TEXTJOIN(" , ",TRUE,
IF((個体台帳!$A$2:$A$1000=TRIM(A156))*(個体台帳!$C$2:$C$1000="小物1"),
個体台帳!$B$2:$B$1000,
"")))</f>
        <v/>
      </c>
      <c r="D156" t="str">
        <f t="array" ref="D156">IF(TRIM(A156)="","",
_xlfn.TEXTJOIN(" , ",TRUE,
IF((個体台帳!$A$2:$A$1000=TRIM(A156))*(個体台帳!$C$2:$C$1000="小物2"),
個体台帳!$B$2:$B$1000,
"")))</f>
        <v/>
      </c>
      <c r="E156" s="8" t="str">
        <f t="array" ref="E156">IF($A156="","",
INDEX(個体台帳!$D$2:$D$1000,
MATCH(1,
(個体台帳!$A$2:$A$1000=$A156)*
(個体台帳!$C$2:$C$1000="服"),
0)))</f>
        <v/>
      </c>
      <c r="F156" t="str">
        <f t="array" ref="F156">IF($A156="","",
IF(COUNTIFS(貸出記録!$B:$B,$A156,貸出記録!$E:$E,"")&gt;0,
"貸出中","在庫"))</f>
        <v/>
      </c>
      <c r="G156" t="s">
        <v>6</v>
      </c>
      <c r="H156" t="s">
        <v>6</v>
      </c>
      <c r="I156" t="s">
        <v>6</v>
      </c>
    </row>
    <row r="157" spans="1:9">
      <c r="A157" s="21" t="s">
        <v>6</v>
      </c>
      <c r="B157" t="str">
        <f t="array" ref="B157">IF(TRIM(A157)="","",
_xlfn.TEXTJOIN(" , ",TRUE,
IF((個体台帳!$A$2:$A$1000=TRIM(A157))*(個体台帳!$C$2:$C$1000="服"),
個体台帳!$B$2:$B$1000,
"")))</f>
        <v/>
      </c>
      <c r="C157" t="str">
        <f t="array" ref="C157">IF(TRIM(A157)="","",
_xlfn.TEXTJOIN(" , ",TRUE,
IF((個体台帳!$A$2:$A$1000=TRIM(A157))*(個体台帳!$C$2:$C$1000="小物1"),
個体台帳!$B$2:$B$1000,
"")))</f>
        <v/>
      </c>
      <c r="D157" t="str">
        <f t="array" ref="D157">IF(TRIM(A157)="","",
_xlfn.TEXTJOIN(" , ",TRUE,
IF((個体台帳!$A$2:$A$1000=TRIM(A157))*(個体台帳!$C$2:$C$1000="小物2"),
個体台帳!$B$2:$B$1000,
"")))</f>
        <v/>
      </c>
      <c r="E157" s="8" t="str">
        <f t="array" ref="E157">IF($A157="","",
INDEX(個体台帳!$D$2:$D$1000,
MATCH(1,
(個体台帳!$A$2:$A$1000=$A157)*
(個体台帳!$C$2:$C$1000="服"),
0)))</f>
        <v/>
      </c>
      <c r="F157" t="str">
        <f t="array" ref="F157">IF($A157="","",
IF(COUNTIFS(貸出記録!$B:$B,$A157,貸出記録!$E:$E,"")&gt;0,
"貸出中","在庫"))</f>
        <v/>
      </c>
      <c r="G157" t="s">
        <v>6</v>
      </c>
      <c r="H157" t="s">
        <v>6</v>
      </c>
      <c r="I157" t="s">
        <v>6</v>
      </c>
    </row>
    <row r="158" spans="1:9">
      <c r="A158" s="21" t="s">
        <v>6</v>
      </c>
      <c r="B158" t="str">
        <f t="array" ref="B158">IF(TRIM(A158)="","",
_xlfn.TEXTJOIN(" , ",TRUE,
IF((個体台帳!$A$2:$A$1000=TRIM(A158))*(個体台帳!$C$2:$C$1000="服"),
個体台帳!$B$2:$B$1000,
"")))</f>
        <v/>
      </c>
      <c r="C158" t="str">
        <f t="array" ref="C158">IF(TRIM(A158)="","",
_xlfn.TEXTJOIN(" , ",TRUE,
IF((個体台帳!$A$2:$A$1000=TRIM(A158))*(個体台帳!$C$2:$C$1000="小物1"),
個体台帳!$B$2:$B$1000,
"")))</f>
        <v/>
      </c>
      <c r="D158" t="str">
        <f t="array" ref="D158">IF(TRIM(A158)="","",
_xlfn.TEXTJOIN(" , ",TRUE,
IF((個体台帳!$A$2:$A$1000=TRIM(A158))*(個体台帳!$C$2:$C$1000="小物2"),
個体台帳!$B$2:$B$1000,
"")))</f>
        <v/>
      </c>
      <c r="E158" s="8" t="str">
        <f t="array" ref="E158">IF($A158="","",
INDEX(個体台帳!$D$2:$D$1000,
MATCH(1,
(個体台帳!$A$2:$A$1000=$A158)*
(個体台帳!$C$2:$C$1000="服"),
0)))</f>
        <v/>
      </c>
      <c r="F158" t="str">
        <f t="array" ref="F158">IF($A158="","",
IF(COUNTIFS(貸出記録!$B:$B,$A158,貸出記録!$E:$E,"")&gt;0,
"貸出中","在庫"))</f>
        <v/>
      </c>
      <c r="G158" t="s">
        <v>6</v>
      </c>
      <c r="H158" t="s">
        <v>6</v>
      </c>
      <c r="I158" t="s">
        <v>6</v>
      </c>
    </row>
    <row r="159" spans="1:9">
      <c r="A159" s="21" t="s">
        <v>6</v>
      </c>
      <c r="B159" t="str">
        <f t="array" ref="B159">IF(TRIM(A159)="","",
_xlfn.TEXTJOIN(" , ",TRUE,
IF((個体台帳!$A$2:$A$1000=TRIM(A159))*(個体台帳!$C$2:$C$1000="服"),
個体台帳!$B$2:$B$1000,
"")))</f>
        <v/>
      </c>
      <c r="C159" t="str">
        <f t="array" ref="C159">IF(TRIM(A159)="","",
_xlfn.TEXTJOIN(" , ",TRUE,
IF((個体台帳!$A$2:$A$1000=TRIM(A159))*(個体台帳!$C$2:$C$1000="小物1"),
個体台帳!$B$2:$B$1000,
"")))</f>
        <v/>
      </c>
      <c r="D159" t="str">
        <f t="array" ref="D159">IF(TRIM(A159)="","",
_xlfn.TEXTJOIN(" , ",TRUE,
IF((個体台帳!$A$2:$A$1000=TRIM(A159))*(個体台帳!$C$2:$C$1000="小物2"),
個体台帳!$B$2:$B$1000,
"")))</f>
        <v/>
      </c>
      <c r="E159" s="8" t="str">
        <f t="array" ref="E159">IF($A159="","",
INDEX(個体台帳!$D$2:$D$1000,
MATCH(1,
(個体台帳!$A$2:$A$1000=$A159)*
(個体台帳!$C$2:$C$1000="服"),
0)))</f>
        <v/>
      </c>
      <c r="F159" t="str">
        <f t="array" ref="F159">IF($A159="","",
IF(COUNTIFS(貸出記録!$B:$B,$A159,貸出記録!$E:$E,"")&gt;0,
"貸出中","在庫"))</f>
        <v/>
      </c>
      <c r="G159" t="s">
        <v>6</v>
      </c>
      <c r="H159" t="s">
        <v>6</v>
      </c>
      <c r="I159" t="s">
        <v>6</v>
      </c>
    </row>
    <row r="160" spans="1:9">
      <c r="A160" s="21" t="s">
        <v>6</v>
      </c>
      <c r="B160" t="str">
        <f t="array" ref="B160">IF(TRIM(A160)="","",
_xlfn.TEXTJOIN(" , ",TRUE,
IF((個体台帳!$A$2:$A$1000=TRIM(A160))*(個体台帳!$C$2:$C$1000="服"),
個体台帳!$B$2:$B$1000,
"")))</f>
        <v/>
      </c>
      <c r="C160" t="str">
        <f t="array" ref="C160">IF(TRIM(A160)="","",
_xlfn.TEXTJOIN(" , ",TRUE,
IF((個体台帳!$A$2:$A$1000=TRIM(A160))*(個体台帳!$C$2:$C$1000="小物1"),
個体台帳!$B$2:$B$1000,
"")))</f>
        <v/>
      </c>
      <c r="D160" t="str">
        <f t="array" ref="D160">IF(TRIM(A160)="","",
_xlfn.TEXTJOIN(" , ",TRUE,
IF((個体台帳!$A$2:$A$1000=TRIM(A160))*(個体台帳!$C$2:$C$1000="小物2"),
個体台帳!$B$2:$B$1000,
"")))</f>
        <v/>
      </c>
      <c r="E160" s="8" t="str">
        <f t="array" ref="E160">IF($A160="","",
INDEX(個体台帳!$D$2:$D$1000,
MATCH(1,
(個体台帳!$A$2:$A$1000=$A160)*
(個体台帳!$C$2:$C$1000="服"),
0)))</f>
        <v/>
      </c>
      <c r="F160" t="str">
        <f t="array" ref="F160">IF($A160="","",
IF(COUNTIFS(貸出記録!$B:$B,$A160,貸出記録!$E:$E,"")&gt;0,
"貸出中","在庫"))</f>
        <v/>
      </c>
      <c r="G160" t="s">
        <v>6</v>
      </c>
      <c r="H160" t="s">
        <v>6</v>
      </c>
      <c r="I160" t="s">
        <v>6</v>
      </c>
    </row>
    <row r="161" spans="1:9">
      <c r="A161" s="21" t="s">
        <v>6</v>
      </c>
      <c r="B161" t="str">
        <f t="array" ref="B161">IF(TRIM(A161)="","",
_xlfn.TEXTJOIN(" , ",TRUE,
IF((個体台帳!$A$2:$A$1000=TRIM(A161))*(個体台帳!$C$2:$C$1000="服"),
個体台帳!$B$2:$B$1000,
"")))</f>
        <v/>
      </c>
      <c r="C161" t="str">
        <f t="array" ref="C161">IF(TRIM(A161)="","",
_xlfn.TEXTJOIN(" , ",TRUE,
IF((個体台帳!$A$2:$A$1000=TRIM(A161))*(個体台帳!$C$2:$C$1000="小物1"),
個体台帳!$B$2:$B$1000,
"")))</f>
        <v/>
      </c>
      <c r="D161" t="str">
        <f t="array" ref="D161">IF(TRIM(A161)="","",
_xlfn.TEXTJOIN(" , ",TRUE,
IF((個体台帳!$A$2:$A$1000=TRIM(A161))*(個体台帳!$C$2:$C$1000="小物2"),
個体台帳!$B$2:$B$1000,
"")))</f>
        <v/>
      </c>
      <c r="E161" s="8" t="str">
        <f t="array" ref="E161">IF($A161="","",
INDEX(個体台帳!$D$2:$D$1000,
MATCH(1,
(個体台帳!$A$2:$A$1000=$A161)*
(個体台帳!$C$2:$C$1000="服"),
0)))</f>
        <v/>
      </c>
      <c r="F161" t="str">
        <f t="array" ref="F161">IF($A161="","",
IF(COUNTIFS(貸出記録!$B:$B,$A161,貸出記録!$E:$E,"")&gt;0,
"貸出中","在庫"))</f>
        <v/>
      </c>
      <c r="G161" t="s">
        <v>6</v>
      </c>
      <c r="H161" t="s">
        <v>6</v>
      </c>
      <c r="I161" t="s">
        <v>6</v>
      </c>
    </row>
    <row r="162" spans="1:9">
      <c r="A162" s="21" t="s">
        <v>6</v>
      </c>
      <c r="B162" t="str">
        <f t="array" ref="B162">IF(TRIM(A162)="","",
_xlfn.TEXTJOIN(" , ",TRUE,
IF((個体台帳!$A$2:$A$1000=TRIM(A162))*(個体台帳!$C$2:$C$1000="服"),
個体台帳!$B$2:$B$1000,
"")))</f>
        <v/>
      </c>
      <c r="C162" t="str">
        <f t="array" ref="C162">IF(TRIM(A162)="","",
_xlfn.TEXTJOIN(" , ",TRUE,
IF((個体台帳!$A$2:$A$1000=TRIM(A162))*(個体台帳!$C$2:$C$1000="小物1"),
個体台帳!$B$2:$B$1000,
"")))</f>
        <v/>
      </c>
      <c r="D162" t="str">
        <f t="array" ref="D162">IF(TRIM(A162)="","",
_xlfn.TEXTJOIN(" , ",TRUE,
IF((個体台帳!$A$2:$A$1000=TRIM(A162))*(個体台帳!$C$2:$C$1000="小物2"),
個体台帳!$B$2:$B$1000,
"")))</f>
        <v/>
      </c>
      <c r="E162" s="8" t="str">
        <f t="array" ref="E162">IF($A162="","",
INDEX(個体台帳!$D$2:$D$1000,
MATCH(1,
(個体台帳!$A$2:$A$1000=$A162)*
(個体台帳!$C$2:$C$1000="服"),
0)))</f>
        <v/>
      </c>
      <c r="F162" t="str">
        <f t="array" ref="F162">IF($A162="","",
IF(COUNTIFS(貸出記録!$B:$B,$A162,貸出記録!$E:$E,"")&gt;0,
"貸出中","在庫"))</f>
        <v/>
      </c>
      <c r="G162" t="s">
        <v>6</v>
      </c>
      <c r="H162" t="s">
        <v>6</v>
      </c>
      <c r="I162" t="s">
        <v>6</v>
      </c>
    </row>
    <row r="163" spans="1:9">
      <c r="A163" s="21" t="s">
        <v>6</v>
      </c>
      <c r="B163" t="str">
        <f t="array" ref="B163">IF(TRIM(A163)="","",
_xlfn.TEXTJOIN(" , ",TRUE,
IF((個体台帳!$A$2:$A$1000=TRIM(A163))*(個体台帳!$C$2:$C$1000="服"),
個体台帳!$B$2:$B$1000,
"")))</f>
        <v/>
      </c>
      <c r="C163" t="str">
        <f t="array" ref="C163">IF(TRIM(A163)="","",
_xlfn.TEXTJOIN(" , ",TRUE,
IF((個体台帳!$A$2:$A$1000=TRIM(A163))*(個体台帳!$C$2:$C$1000="小物1"),
個体台帳!$B$2:$B$1000,
"")))</f>
        <v/>
      </c>
      <c r="D163" t="str">
        <f t="array" ref="D163">IF(TRIM(A163)="","",
_xlfn.TEXTJOIN(" , ",TRUE,
IF((個体台帳!$A$2:$A$1000=TRIM(A163))*(個体台帳!$C$2:$C$1000="小物2"),
個体台帳!$B$2:$B$1000,
"")))</f>
        <v/>
      </c>
      <c r="E163" s="8" t="str">
        <f t="array" ref="E163">IF($A163="","",
INDEX(個体台帳!$D$2:$D$1000,
MATCH(1,
(個体台帳!$A$2:$A$1000=$A163)*
(個体台帳!$C$2:$C$1000="服"),
0)))</f>
        <v/>
      </c>
      <c r="F163" t="str">
        <f t="array" ref="F163">IF($A163="","",
IF(COUNTIFS(貸出記録!$B:$B,$A163,貸出記録!$E:$E,"")&gt;0,
"貸出中","在庫"))</f>
        <v/>
      </c>
      <c r="G163" t="s">
        <v>6</v>
      </c>
      <c r="H163" t="s">
        <v>6</v>
      </c>
      <c r="I163" t="s">
        <v>6</v>
      </c>
    </row>
    <row r="164" spans="1:9">
      <c r="A164" s="21" t="s">
        <v>6</v>
      </c>
      <c r="B164" t="str">
        <f t="array" ref="B164">IF(TRIM(A164)="","",
_xlfn.TEXTJOIN(" , ",TRUE,
IF((個体台帳!$A$2:$A$1000=TRIM(A164))*(個体台帳!$C$2:$C$1000="服"),
個体台帳!$B$2:$B$1000,
"")))</f>
        <v/>
      </c>
      <c r="C164" t="str">
        <f t="array" ref="C164">IF(TRIM(A164)="","",
_xlfn.TEXTJOIN(" , ",TRUE,
IF((個体台帳!$A$2:$A$1000=TRIM(A164))*(個体台帳!$C$2:$C$1000="小物1"),
個体台帳!$B$2:$B$1000,
"")))</f>
        <v/>
      </c>
      <c r="D164" t="str">
        <f t="array" ref="D164">IF(TRIM(A164)="","",
_xlfn.TEXTJOIN(" , ",TRUE,
IF((個体台帳!$A$2:$A$1000=TRIM(A164))*(個体台帳!$C$2:$C$1000="小物2"),
個体台帳!$B$2:$B$1000,
"")))</f>
        <v/>
      </c>
      <c r="E164" s="8" t="str">
        <f t="array" ref="E164">IF($A164="","",
INDEX(個体台帳!$D$2:$D$1000,
MATCH(1,
(個体台帳!$A$2:$A$1000=$A164)*
(個体台帳!$C$2:$C$1000="服"),
0)))</f>
        <v/>
      </c>
      <c r="F164" t="str">
        <f t="array" ref="F164">IF($A164="","",
IF(COUNTIFS(貸出記録!$B:$B,$A164,貸出記録!$E:$E,"")&gt;0,
"貸出中","在庫"))</f>
        <v/>
      </c>
      <c r="G164" t="s">
        <v>6</v>
      </c>
      <c r="H164" t="s">
        <v>6</v>
      </c>
      <c r="I164" t="s">
        <v>6</v>
      </c>
    </row>
    <row r="165" spans="1:9">
      <c r="A165" s="21" t="s">
        <v>6</v>
      </c>
      <c r="B165" t="str">
        <f t="array" ref="B165">IF(TRIM(A165)="","",
_xlfn.TEXTJOIN(" , ",TRUE,
IF((個体台帳!$A$2:$A$1000=TRIM(A165))*(個体台帳!$C$2:$C$1000="服"),
個体台帳!$B$2:$B$1000,
"")))</f>
        <v/>
      </c>
      <c r="C165" t="str">
        <f t="array" ref="C165">IF(TRIM(A165)="","",
_xlfn.TEXTJOIN(" , ",TRUE,
IF((個体台帳!$A$2:$A$1000=TRIM(A165))*(個体台帳!$C$2:$C$1000="小物1"),
個体台帳!$B$2:$B$1000,
"")))</f>
        <v/>
      </c>
      <c r="D165" t="str">
        <f t="array" ref="D165">IF(TRIM(A165)="","",
_xlfn.TEXTJOIN(" , ",TRUE,
IF((個体台帳!$A$2:$A$1000=TRIM(A165))*(個体台帳!$C$2:$C$1000="小物2"),
個体台帳!$B$2:$B$1000,
"")))</f>
        <v/>
      </c>
      <c r="E165" s="8" t="str">
        <f t="array" ref="E165">IF($A165="","",
INDEX(個体台帳!$D$2:$D$1000,
MATCH(1,
(個体台帳!$A$2:$A$1000=$A165)*
(個体台帳!$C$2:$C$1000="服"),
0)))</f>
        <v/>
      </c>
      <c r="F165" t="str">
        <f t="array" ref="F165">IF($A165="","",
IF(COUNTIFS(貸出記録!$B:$B,$A165,貸出記録!$E:$E,"")&gt;0,
"貸出中","在庫"))</f>
        <v/>
      </c>
      <c r="G165" t="s">
        <v>6</v>
      </c>
      <c r="H165" t="s">
        <v>6</v>
      </c>
      <c r="I165" t="s">
        <v>6</v>
      </c>
    </row>
    <row r="166" spans="1:9">
      <c r="A166" s="21" t="s">
        <v>6</v>
      </c>
      <c r="B166" t="str">
        <f t="array" ref="B166">IF(TRIM(A166)="","",
_xlfn.TEXTJOIN(" , ",TRUE,
IF((個体台帳!$A$2:$A$1000=TRIM(A166))*(個体台帳!$C$2:$C$1000="服"),
個体台帳!$B$2:$B$1000,
"")))</f>
        <v/>
      </c>
      <c r="C166" t="str">
        <f t="array" ref="C166">IF(TRIM(A166)="","",
_xlfn.TEXTJOIN(" , ",TRUE,
IF((個体台帳!$A$2:$A$1000=TRIM(A166))*(個体台帳!$C$2:$C$1000="小物1"),
個体台帳!$B$2:$B$1000,
"")))</f>
        <v/>
      </c>
      <c r="D166" t="str">
        <f t="array" ref="D166">IF(TRIM(A166)="","",
_xlfn.TEXTJOIN(" , ",TRUE,
IF((個体台帳!$A$2:$A$1000=TRIM(A166))*(個体台帳!$C$2:$C$1000="小物2"),
個体台帳!$B$2:$B$1000,
"")))</f>
        <v/>
      </c>
      <c r="E166" s="8" t="str">
        <f t="array" ref="E166">IF($A166="","",
INDEX(個体台帳!$D$2:$D$1000,
MATCH(1,
(個体台帳!$A$2:$A$1000=$A166)*
(個体台帳!$C$2:$C$1000="服"),
0)))</f>
        <v/>
      </c>
      <c r="F166" t="str">
        <f t="array" ref="F166">IF($A166="","",
IF(COUNTIFS(貸出記録!$B:$B,$A166,貸出記録!$E:$E,"")&gt;0,
"貸出中","在庫"))</f>
        <v/>
      </c>
      <c r="G166" t="s">
        <v>6</v>
      </c>
      <c r="H166" t="s">
        <v>6</v>
      </c>
      <c r="I166" t="s">
        <v>6</v>
      </c>
    </row>
    <row r="167" spans="1:9">
      <c r="A167" s="21" t="s">
        <v>6</v>
      </c>
      <c r="B167" t="str">
        <f t="array" ref="B167">IF(TRIM(A167)="","",
_xlfn.TEXTJOIN(" , ",TRUE,
IF((個体台帳!$A$2:$A$1000=TRIM(A167))*(個体台帳!$C$2:$C$1000="服"),
個体台帳!$B$2:$B$1000,
"")))</f>
        <v/>
      </c>
      <c r="C167" t="str">
        <f t="array" ref="C167">IF(TRIM(A167)="","",
_xlfn.TEXTJOIN(" , ",TRUE,
IF((個体台帳!$A$2:$A$1000=TRIM(A167))*(個体台帳!$C$2:$C$1000="小物1"),
個体台帳!$B$2:$B$1000,
"")))</f>
        <v/>
      </c>
      <c r="D167" t="str">
        <f t="array" ref="D167">IF(TRIM(A167)="","",
_xlfn.TEXTJOIN(" , ",TRUE,
IF((個体台帳!$A$2:$A$1000=TRIM(A167))*(個体台帳!$C$2:$C$1000="小物2"),
個体台帳!$B$2:$B$1000,
"")))</f>
        <v/>
      </c>
      <c r="E167" s="8" t="str">
        <f t="array" ref="E167">IF($A167="","",
INDEX(個体台帳!$D$2:$D$1000,
MATCH(1,
(個体台帳!$A$2:$A$1000=$A167)*
(個体台帳!$C$2:$C$1000="服"),
0)))</f>
        <v/>
      </c>
      <c r="F167" t="str">
        <f t="array" ref="F167">IF($A167="","",
IF(COUNTIFS(貸出記録!$B:$B,$A167,貸出記録!$E:$E,"")&gt;0,
"貸出中","在庫"))</f>
        <v/>
      </c>
      <c r="G167" t="s">
        <v>6</v>
      </c>
      <c r="H167" t="s">
        <v>6</v>
      </c>
      <c r="I167" t="s">
        <v>6</v>
      </c>
    </row>
    <row r="168" spans="1:9">
      <c r="A168" s="21" t="s">
        <v>6</v>
      </c>
      <c r="B168" t="str">
        <f t="array" ref="B168">IF(TRIM(A168)="","",
_xlfn.TEXTJOIN(" , ",TRUE,
IF((個体台帳!$A$2:$A$1000=TRIM(A168))*(個体台帳!$C$2:$C$1000="服"),
個体台帳!$B$2:$B$1000,
"")))</f>
        <v/>
      </c>
      <c r="C168" t="str">
        <f t="array" ref="C168">IF(TRIM(A168)="","",
_xlfn.TEXTJOIN(" , ",TRUE,
IF((個体台帳!$A$2:$A$1000=TRIM(A168))*(個体台帳!$C$2:$C$1000="小物1"),
個体台帳!$B$2:$B$1000,
"")))</f>
        <v/>
      </c>
      <c r="D168" t="str">
        <f t="array" ref="D168">IF(TRIM(A168)="","",
_xlfn.TEXTJOIN(" , ",TRUE,
IF((個体台帳!$A$2:$A$1000=TRIM(A168))*(個体台帳!$C$2:$C$1000="小物2"),
個体台帳!$B$2:$B$1000,
"")))</f>
        <v/>
      </c>
      <c r="E168" s="8" t="str">
        <f t="array" ref="E168">IF($A168="","",
INDEX(個体台帳!$D$2:$D$1000,
MATCH(1,
(個体台帳!$A$2:$A$1000=$A168)*
(個体台帳!$C$2:$C$1000="服"),
0)))</f>
        <v/>
      </c>
      <c r="F168" t="str">
        <f t="array" ref="F168">IF($A168="","",
IF(COUNTIFS(貸出記録!$B:$B,$A168,貸出記録!$E:$E,"")&gt;0,
"貸出中","在庫"))</f>
        <v/>
      </c>
      <c r="G168" t="s">
        <v>6</v>
      </c>
      <c r="H168" t="s">
        <v>6</v>
      </c>
      <c r="I168" t="s">
        <v>6</v>
      </c>
    </row>
    <row r="169" spans="1:9">
      <c r="A169" s="21" t="s">
        <v>6</v>
      </c>
      <c r="B169" t="str">
        <f t="array" ref="B169">IF(TRIM(A169)="","",
_xlfn.TEXTJOIN(" , ",TRUE,
IF((個体台帳!$A$2:$A$1000=TRIM(A169))*(個体台帳!$C$2:$C$1000="服"),
個体台帳!$B$2:$B$1000,
"")))</f>
        <v/>
      </c>
      <c r="C169" t="str">
        <f t="array" ref="C169">IF(TRIM(A169)="","",
_xlfn.TEXTJOIN(" , ",TRUE,
IF((個体台帳!$A$2:$A$1000=TRIM(A169))*(個体台帳!$C$2:$C$1000="小物1"),
個体台帳!$B$2:$B$1000,
"")))</f>
        <v/>
      </c>
      <c r="D169" t="str">
        <f t="array" ref="D169">IF(TRIM(A169)="","",
_xlfn.TEXTJOIN(" , ",TRUE,
IF((個体台帳!$A$2:$A$1000=TRIM(A169))*(個体台帳!$C$2:$C$1000="小物2"),
個体台帳!$B$2:$B$1000,
"")))</f>
        <v/>
      </c>
      <c r="E169" s="8" t="str">
        <f t="array" ref="E169">IF($A169="","",
INDEX(個体台帳!$D$2:$D$1000,
MATCH(1,
(個体台帳!$A$2:$A$1000=$A169)*
(個体台帳!$C$2:$C$1000="服"),
0)))</f>
        <v/>
      </c>
      <c r="F169" t="str">
        <f t="array" ref="F169">IF($A169="","",
IF(COUNTIFS(貸出記録!$B:$B,$A169,貸出記録!$E:$E,"")&gt;0,
"貸出中","在庫"))</f>
        <v/>
      </c>
      <c r="G169" t="s">
        <v>6</v>
      </c>
      <c r="H169" t="s">
        <v>6</v>
      </c>
      <c r="I169" t="s">
        <v>6</v>
      </c>
    </row>
    <row r="170" spans="1:9">
      <c r="A170" s="21" t="s">
        <v>6</v>
      </c>
      <c r="B170" t="str">
        <f t="array" ref="B170">IF(TRIM(A170)="","",
_xlfn.TEXTJOIN(" , ",TRUE,
IF((個体台帳!$A$2:$A$1000=TRIM(A170))*(個体台帳!$C$2:$C$1000="服"),
個体台帳!$B$2:$B$1000,
"")))</f>
        <v/>
      </c>
      <c r="C170" t="str">
        <f t="array" ref="C170">IF(TRIM(A170)="","",
_xlfn.TEXTJOIN(" , ",TRUE,
IF((個体台帳!$A$2:$A$1000=TRIM(A170))*(個体台帳!$C$2:$C$1000="小物1"),
個体台帳!$B$2:$B$1000,
"")))</f>
        <v/>
      </c>
      <c r="D170" t="str">
        <f t="array" ref="D170">IF(TRIM(A170)="","",
_xlfn.TEXTJOIN(" , ",TRUE,
IF((個体台帳!$A$2:$A$1000=TRIM(A170))*(個体台帳!$C$2:$C$1000="小物2"),
個体台帳!$B$2:$B$1000,
"")))</f>
        <v/>
      </c>
      <c r="E170" s="8" t="str">
        <f t="array" ref="E170">IF($A170="","",
INDEX(個体台帳!$D$2:$D$1000,
MATCH(1,
(個体台帳!$A$2:$A$1000=$A170)*
(個体台帳!$C$2:$C$1000="服"),
0)))</f>
        <v/>
      </c>
      <c r="F170" t="str">
        <f t="array" ref="F170">IF($A170="","",
IF(COUNTIFS(貸出記録!$B:$B,$A170,貸出記録!$E:$E,"")&gt;0,
"貸出中","在庫"))</f>
        <v/>
      </c>
      <c r="G170" t="s">
        <v>6</v>
      </c>
      <c r="H170" t="s">
        <v>6</v>
      </c>
      <c r="I170" t="s">
        <v>6</v>
      </c>
    </row>
    <row r="171" spans="1:9">
      <c r="A171" s="21" t="s">
        <v>6</v>
      </c>
      <c r="B171" t="str">
        <f t="array" ref="B171">IF(TRIM(A171)="","",
_xlfn.TEXTJOIN(" , ",TRUE,
IF((個体台帳!$A$2:$A$1000=TRIM(A171))*(個体台帳!$C$2:$C$1000="服"),
個体台帳!$B$2:$B$1000,
"")))</f>
        <v/>
      </c>
      <c r="C171" t="str">
        <f t="array" ref="C171">IF(TRIM(A171)="","",
_xlfn.TEXTJOIN(" , ",TRUE,
IF((個体台帳!$A$2:$A$1000=TRIM(A171))*(個体台帳!$C$2:$C$1000="小物1"),
個体台帳!$B$2:$B$1000,
"")))</f>
        <v/>
      </c>
      <c r="D171" t="str">
        <f t="array" ref="D171">IF(TRIM(A171)="","",
_xlfn.TEXTJOIN(" , ",TRUE,
IF((個体台帳!$A$2:$A$1000=TRIM(A171))*(個体台帳!$C$2:$C$1000="小物2"),
個体台帳!$B$2:$B$1000,
"")))</f>
        <v/>
      </c>
      <c r="E171" s="8" t="str">
        <f t="array" ref="E171">IF($A171="","",
INDEX(個体台帳!$D$2:$D$1000,
MATCH(1,
(個体台帳!$A$2:$A$1000=$A171)*
(個体台帳!$C$2:$C$1000="服"),
0)))</f>
        <v/>
      </c>
      <c r="F171" t="str">
        <f t="array" ref="F171">IF($A171="","",
IF(COUNTIFS(貸出記録!$B:$B,$A171,貸出記録!$E:$E,"")&gt;0,
"貸出中","在庫"))</f>
        <v/>
      </c>
      <c r="G171" t="s">
        <v>6</v>
      </c>
      <c r="H171" t="s">
        <v>6</v>
      </c>
      <c r="I171" t="s">
        <v>6</v>
      </c>
    </row>
    <row r="172" spans="1:9">
      <c r="A172" s="21" t="s">
        <v>6</v>
      </c>
      <c r="B172" t="str">
        <f t="array" ref="B172">IF(TRIM(A172)="","",
_xlfn.TEXTJOIN(" , ",TRUE,
IF((個体台帳!$A$2:$A$1000=TRIM(A172))*(個体台帳!$C$2:$C$1000="服"),
個体台帳!$B$2:$B$1000,
"")))</f>
        <v/>
      </c>
      <c r="C172" t="str">
        <f t="array" ref="C172">IF(TRIM(A172)="","",
_xlfn.TEXTJOIN(" , ",TRUE,
IF((個体台帳!$A$2:$A$1000=TRIM(A172))*(個体台帳!$C$2:$C$1000="小物1"),
個体台帳!$B$2:$B$1000,
"")))</f>
        <v/>
      </c>
      <c r="D172" t="str">
        <f t="array" ref="D172">IF(TRIM(A172)="","",
_xlfn.TEXTJOIN(" , ",TRUE,
IF((個体台帳!$A$2:$A$1000=TRIM(A172))*(個体台帳!$C$2:$C$1000="小物2"),
個体台帳!$B$2:$B$1000,
"")))</f>
        <v/>
      </c>
      <c r="E172" s="8" t="str">
        <f t="array" ref="E172">IF($A172="","",
INDEX(個体台帳!$D$2:$D$1000,
MATCH(1,
(個体台帳!$A$2:$A$1000=$A172)*
(個体台帳!$C$2:$C$1000="服"),
0)))</f>
        <v/>
      </c>
      <c r="F172" t="str">
        <f t="array" ref="F172">IF($A172="","",
IF(COUNTIFS(貸出記録!$B:$B,$A172,貸出記録!$E:$E,"")&gt;0,
"貸出中","在庫"))</f>
        <v/>
      </c>
      <c r="G172" t="s">
        <v>6</v>
      </c>
      <c r="H172" t="s">
        <v>6</v>
      </c>
      <c r="I172" t="s">
        <v>6</v>
      </c>
    </row>
    <row r="173" spans="1:9">
      <c r="A173" s="21" t="s">
        <v>6</v>
      </c>
      <c r="B173" t="str">
        <f t="array" ref="B173">IF(TRIM(A173)="","",
_xlfn.TEXTJOIN(" , ",TRUE,
IF((個体台帳!$A$2:$A$1000=TRIM(A173))*(個体台帳!$C$2:$C$1000="服"),
個体台帳!$B$2:$B$1000,
"")))</f>
        <v/>
      </c>
      <c r="C173" t="str">
        <f t="array" ref="C173">IF(TRIM(A173)="","",
_xlfn.TEXTJOIN(" , ",TRUE,
IF((個体台帳!$A$2:$A$1000=TRIM(A173))*(個体台帳!$C$2:$C$1000="小物1"),
個体台帳!$B$2:$B$1000,
"")))</f>
        <v/>
      </c>
      <c r="D173" t="str">
        <f t="array" ref="D173">IF(TRIM(A173)="","",
_xlfn.TEXTJOIN(" , ",TRUE,
IF((個体台帳!$A$2:$A$1000=TRIM(A173))*(個体台帳!$C$2:$C$1000="小物2"),
個体台帳!$B$2:$B$1000,
"")))</f>
        <v/>
      </c>
      <c r="E173" s="8" t="str">
        <f t="array" ref="E173">IF($A173="","",
INDEX(個体台帳!$D$2:$D$1000,
MATCH(1,
(個体台帳!$A$2:$A$1000=$A173)*
(個体台帳!$C$2:$C$1000="服"),
0)))</f>
        <v/>
      </c>
      <c r="F173" t="str">
        <f t="array" ref="F173">IF($A173="","",
IF(COUNTIFS(貸出記録!$B:$B,$A173,貸出記録!$E:$E,"")&gt;0,
"貸出中","在庫"))</f>
        <v/>
      </c>
      <c r="G173" t="s">
        <v>6</v>
      </c>
      <c r="H173" t="s">
        <v>6</v>
      </c>
      <c r="I173" t="s">
        <v>6</v>
      </c>
    </row>
    <row r="174" spans="1:9">
      <c r="A174" s="21" t="s">
        <v>6</v>
      </c>
      <c r="B174" t="str">
        <f t="array" ref="B174">IF(TRIM(A174)="","",
_xlfn.TEXTJOIN(" , ",TRUE,
IF((個体台帳!$A$2:$A$1000=TRIM(A174))*(個体台帳!$C$2:$C$1000="服"),
個体台帳!$B$2:$B$1000,
"")))</f>
        <v/>
      </c>
      <c r="C174" t="str">
        <f t="array" ref="C174">IF(TRIM(A174)="","",
_xlfn.TEXTJOIN(" , ",TRUE,
IF((個体台帳!$A$2:$A$1000=TRIM(A174))*(個体台帳!$C$2:$C$1000="小物1"),
個体台帳!$B$2:$B$1000,
"")))</f>
        <v/>
      </c>
      <c r="D174" t="str">
        <f t="array" ref="D174">IF(TRIM(A174)="","",
_xlfn.TEXTJOIN(" , ",TRUE,
IF((個体台帳!$A$2:$A$1000=TRIM(A174))*(個体台帳!$C$2:$C$1000="小物2"),
個体台帳!$B$2:$B$1000,
"")))</f>
        <v/>
      </c>
      <c r="E174" s="8" t="str">
        <f t="array" ref="E174">IF($A174="","",
INDEX(個体台帳!$D$2:$D$1000,
MATCH(1,
(個体台帳!$A$2:$A$1000=$A174)*
(個体台帳!$C$2:$C$1000="服"),
0)))</f>
        <v/>
      </c>
      <c r="F174" t="str">
        <f t="array" ref="F174">IF($A174="","",
IF(COUNTIFS(貸出記録!$B:$B,$A174,貸出記録!$E:$E,"")&gt;0,
"貸出中","在庫"))</f>
        <v/>
      </c>
      <c r="G174" t="s">
        <v>6</v>
      </c>
      <c r="H174" t="s">
        <v>6</v>
      </c>
      <c r="I174" t="s">
        <v>6</v>
      </c>
    </row>
    <row r="175" spans="1:9">
      <c r="A175" s="21" t="s">
        <v>6</v>
      </c>
      <c r="B175" t="str">
        <f t="array" ref="B175">IF(TRIM(A175)="","",
_xlfn.TEXTJOIN(" , ",TRUE,
IF((個体台帳!$A$2:$A$1000=TRIM(A175))*(個体台帳!$C$2:$C$1000="服"),
個体台帳!$B$2:$B$1000,
"")))</f>
        <v/>
      </c>
      <c r="C175" t="str">
        <f t="array" ref="C175">IF(TRIM(A175)="","",
_xlfn.TEXTJOIN(" , ",TRUE,
IF((個体台帳!$A$2:$A$1000=TRIM(A175))*(個体台帳!$C$2:$C$1000="小物1"),
個体台帳!$B$2:$B$1000,
"")))</f>
        <v/>
      </c>
      <c r="D175" t="str">
        <f t="array" ref="D175">IF(TRIM(A175)="","",
_xlfn.TEXTJOIN(" , ",TRUE,
IF((個体台帳!$A$2:$A$1000=TRIM(A175))*(個体台帳!$C$2:$C$1000="小物2"),
個体台帳!$B$2:$B$1000,
"")))</f>
        <v/>
      </c>
      <c r="E175" s="8" t="str">
        <f t="array" ref="E175">IF($A175="","",
INDEX(個体台帳!$D$2:$D$1000,
MATCH(1,
(個体台帳!$A$2:$A$1000=$A175)*
(個体台帳!$C$2:$C$1000="服"),
0)))</f>
        <v/>
      </c>
      <c r="F175" t="str">
        <f t="array" ref="F175">IF($A175="","",
IF(COUNTIFS(貸出記録!$B:$B,$A175,貸出記録!$E:$E,"")&gt;0,
"貸出中","在庫"))</f>
        <v/>
      </c>
      <c r="G175" t="s">
        <v>6</v>
      </c>
      <c r="H175" t="s">
        <v>6</v>
      </c>
      <c r="I175" t="s">
        <v>6</v>
      </c>
    </row>
    <row r="176" spans="1:9">
      <c r="A176" s="21" t="s">
        <v>6</v>
      </c>
      <c r="B176" t="str">
        <f t="array" ref="B176">IF(TRIM(A176)="","",
_xlfn.TEXTJOIN(" , ",TRUE,
IF((個体台帳!$A$2:$A$1000=TRIM(A176))*(個体台帳!$C$2:$C$1000="服"),
個体台帳!$B$2:$B$1000,
"")))</f>
        <v/>
      </c>
      <c r="C176" t="str">
        <f t="array" ref="C176">IF(TRIM(A176)="","",
_xlfn.TEXTJOIN(" , ",TRUE,
IF((個体台帳!$A$2:$A$1000=TRIM(A176))*(個体台帳!$C$2:$C$1000="小物1"),
個体台帳!$B$2:$B$1000,
"")))</f>
        <v/>
      </c>
      <c r="D176" t="str">
        <f t="array" ref="D176">IF(TRIM(A176)="","",
_xlfn.TEXTJOIN(" , ",TRUE,
IF((個体台帳!$A$2:$A$1000=TRIM(A176))*(個体台帳!$C$2:$C$1000="小物2"),
個体台帳!$B$2:$B$1000,
"")))</f>
        <v/>
      </c>
      <c r="E176" s="8" t="str">
        <f t="array" ref="E176">IF($A176="","",
INDEX(個体台帳!$D$2:$D$1000,
MATCH(1,
(個体台帳!$A$2:$A$1000=$A176)*
(個体台帳!$C$2:$C$1000="服"),
0)))</f>
        <v/>
      </c>
      <c r="F176" t="str">
        <f t="array" ref="F176">IF($A176="","",
IF(COUNTIFS(貸出記録!$B:$B,$A176,貸出記録!$E:$E,"")&gt;0,
"貸出中","在庫"))</f>
        <v/>
      </c>
      <c r="G176" t="s">
        <v>6</v>
      </c>
      <c r="H176" t="s">
        <v>6</v>
      </c>
      <c r="I176" t="s">
        <v>6</v>
      </c>
    </row>
    <row r="177" spans="1:9">
      <c r="A177" s="21" t="s">
        <v>6</v>
      </c>
      <c r="B177" t="str">
        <f t="array" ref="B177">IF(TRIM(A177)="","",
_xlfn.TEXTJOIN(" , ",TRUE,
IF((個体台帳!$A$2:$A$1000=TRIM(A177))*(個体台帳!$C$2:$C$1000="服"),
個体台帳!$B$2:$B$1000,
"")))</f>
        <v/>
      </c>
      <c r="C177" t="str">
        <f t="array" ref="C177">IF(TRIM(A177)="","",
_xlfn.TEXTJOIN(" , ",TRUE,
IF((個体台帳!$A$2:$A$1000=TRIM(A177))*(個体台帳!$C$2:$C$1000="小物1"),
個体台帳!$B$2:$B$1000,
"")))</f>
        <v/>
      </c>
      <c r="D177" t="str">
        <f t="array" ref="D177">IF(TRIM(A177)="","",
_xlfn.TEXTJOIN(" , ",TRUE,
IF((個体台帳!$A$2:$A$1000=TRIM(A177))*(個体台帳!$C$2:$C$1000="小物2"),
個体台帳!$B$2:$B$1000,
"")))</f>
        <v/>
      </c>
      <c r="E177" s="8" t="str">
        <f t="array" ref="E177">IF($A177="","",
INDEX(個体台帳!$D$2:$D$1000,
MATCH(1,
(個体台帳!$A$2:$A$1000=$A177)*
(個体台帳!$C$2:$C$1000="服"),
0)))</f>
        <v/>
      </c>
      <c r="F177" t="str">
        <f t="array" ref="F177">IF($A177="","",
IF(COUNTIFS(貸出記録!$B:$B,$A177,貸出記録!$E:$E,"")&gt;0,
"貸出中","在庫"))</f>
        <v/>
      </c>
      <c r="G177" t="s">
        <v>6</v>
      </c>
      <c r="H177" t="s">
        <v>6</v>
      </c>
      <c r="I177" t="s">
        <v>6</v>
      </c>
    </row>
    <row r="178" spans="1:9">
      <c r="A178" s="21" t="s">
        <v>6</v>
      </c>
      <c r="B178" t="str">
        <f t="array" ref="B178">IF(TRIM(A178)="","",
_xlfn.TEXTJOIN(" , ",TRUE,
IF((個体台帳!$A$2:$A$1000=TRIM(A178))*(個体台帳!$C$2:$C$1000="服"),
個体台帳!$B$2:$B$1000,
"")))</f>
        <v/>
      </c>
      <c r="C178" t="str">
        <f t="array" ref="C178">IF(TRIM(A178)="","",
_xlfn.TEXTJOIN(" , ",TRUE,
IF((個体台帳!$A$2:$A$1000=TRIM(A178))*(個体台帳!$C$2:$C$1000="小物1"),
個体台帳!$B$2:$B$1000,
"")))</f>
        <v/>
      </c>
      <c r="D178" t="str">
        <f t="array" ref="D178">IF(TRIM(A178)="","",
_xlfn.TEXTJOIN(" , ",TRUE,
IF((個体台帳!$A$2:$A$1000=TRIM(A178))*(個体台帳!$C$2:$C$1000="小物2"),
個体台帳!$B$2:$B$1000,
"")))</f>
        <v/>
      </c>
      <c r="E178" s="8" t="str">
        <f t="array" ref="E178">IF($A178="","",
INDEX(個体台帳!$D$2:$D$1000,
MATCH(1,
(個体台帳!$A$2:$A$1000=$A178)*
(個体台帳!$C$2:$C$1000="服"),
0)))</f>
        <v/>
      </c>
      <c r="F178" t="str">
        <f t="array" ref="F178">IF($A178="","",
IF(COUNTIFS(貸出記録!$B:$B,$A178,貸出記録!$E:$E,"")&gt;0,
"貸出中","在庫"))</f>
        <v/>
      </c>
      <c r="G178" t="s">
        <v>6</v>
      </c>
      <c r="H178" t="s">
        <v>6</v>
      </c>
      <c r="I178" t="s">
        <v>6</v>
      </c>
    </row>
    <row r="179" spans="1:9">
      <c r="A179" s="21" t="s">
        <v>6</v>
      </c>
      <c r="B179" t="str">
        <f t="array" ref="B179">IF(TRIM(A179)="","",
_xlfn.TEXTJOIN(" , ",TRUE,
IF((個体台帳!$A$2:$A$1000=TRIM(A179))*(個体台帳!$C$2:$C$1000="服"),
個体台帳!$B$2:$B$1000,
"")))</f>
        <v/>
      </c>
      <c r="C179" t="str">
        <f t="array" ref="C179">IF(TRIM(A179)="","",
_xlfn.TEXTJOIN(" , ",TRUE,
IF((個体台帳!$A$2:$A$1000=TRIM(A179))*(個体台帳!$C$2:$C$1000="小物1"),
個体台帳!$B$2:$B$1000,
"")))</f>
        <v/>
      </c>
      <c r="D179" t="str">
        <f t="array" ref="D179">IF(TRIM(A179)="","",
_xlfn.TEXTJOIN(" , ",TRUE,
IF((個体台帳!$A$2:$A$1000=TRIM(A179))*(個体台帳!$C$2:$C$1000="小物2"),
個体台帳!$B$2:$B$1000,
"")))</f>
        <v/>
      </c>
      <c r="E179" s="8" t="str">
        <f t="array" ref="E179">IF($A179="","",
INDEX(個体台帳!$D$2:$D$1000,
MATCH(1,
(個体台帳!$A$2:$A$1000=$A179)*
(個体台帳!$C$2:$C$1000="服"),
0)))</f>
        <v/>
      </c>
      <c r="F179" t="str">
        <f t="array" ref="F179">IF($A179="","",
IF(COUNTIFS(貸出記録!$B:$B,$A179,貸出記録!$E:$E,"")&gt;0,
"貸出中","在庫"))</f>
        <v/>
      </c>
      <c r="G179" t="s">
        <v>6</v>
      </c>
      <c r="H179" t="s">
        <v>6</v>
      </c>
      <c r="I179" t="s">
        <v>6</v>
      </c>
    </row>
    <row r="180" spans="1:9">
      <c r="A180" s="21" t="s">
        <v>6</v>
      </c>
      <c r="B180" t="str">
        <f t="array" ref="B180">IF(TRIM(A180)="","",
_xlfn.TEXTJOIN(" , ",TRUE,
IF((個体台帳!$A$2:$A$1000=TRIM(A180))*(個体台帳!$C$2:$C$1000="服"),
個体台帳!$B$2:$B$1000,
"")))</f>
        <v/>
      </c>
      <c r="C180" t="str">
        <f t="array" ref="C180">IF(TRIM(A180)="","",
_xlfn.TEXTJOIN(" , ",TRUE,
IF((個体台帳!$A$2:$A$1000=TRIM(A180))*(個体台帳!$C$2:$C$1000="小物1"),
個体台帳!$B$2:$B$1000,
"")))</f>
        <v/>
      </c>
      <c r="D180" t="str">
        <f t="array" ref="D180">IF(TRIM(A180)="","",
_xlfn.TEXTJOIN(" , ",TRUE,
IF((個体台帳!$A$2:$A$1000=TRIM(A180))*(個体台帳!$C$2:$C$1000="小物2"),
個体台帳!$B$2:$B$1000,
"")))</f>
        <v/>
      </c>
      <c r="E180" s="8" t="str">
        <f t="array" ref="E180">IF($A180="","",
INDEX(個体台帳!$D$2:$D$1000,
MATCH(1,
(個体台帳!$A$2:$A$1000=$A180)*
(個体台帳!$C$2:$C$1000="服"),
0)))</f>
        <v/>
      </c>
      <c r="F180" t="str">
        <f t="array" ref="F180">IF($A180="","",
IF(COUNTIFS(貸出記録!$B:$B,$A180,貸出記録!$E:$E,"")&gt;0,
"貸出中","在庫"))</f>
        <v/>
      </c>
      <c r="G180" t="s">
        <v>6</v>
      </c>
      <c r="H180" t="s">
        <v>6</v>
      </c>
      <c r="I180" t="s">
        <v>6</v>
      </c>
    </row>
    <row r="181" spans="1:9">
      <c r="A181" s="21" t="s">
        <v>6</v>
      </c>
      <c r="B181" t="str">
        <f t="array" ref="B181">IF(TRIM(A181)="","",
_xlfn.TEXTJOIN(" , ",TRUE,
IF((個体台帳!$A$2:$A$1000=TRIM(A181))*(個体台帳!$C$2:$C$1000="服"),
個体台帳!$B$2:$B$1000,
"")))</f>
        <v/>
      </c>
      <c r="C181" t="str">
        <f t="array" ref="C181">IF(TRIM(A181)="","",
_xlfn.TEXTJOIN(" , ",TRUE,
IF((個体台帳!$A$2:$A$1000=TRIM(A181))*(個体台帳!$C$2:$C$1000="小物1"),
個体台帳!$B$2:$B$1000,
"")))</f>
        <v/>
      </c>
      <c r="D181" t="str">
        <f t="array" ref="D181">IF(TRIM(A181)="","",
_xlfn.TEXTJOIN(" , ",TRUE,
IF((個体台帳!$A$2:$A$1000=TRIM(A181))*(個体台帳!$C$2:$C$1000="小物2"),
個体台帳!$B$2:$B$1000,
"")))</f>
        <v/>
      </c>
      <c r="E181" s="8" t="str">
        <f t="array" ref="E181">IF($A181="","",
INDEX(個体台帳!$D$2:$D$1000,
MATCH(1,
(個体台帳!$A$2:$A$1000=$A181)*
(個体台帳!$C$2:$C$1000="服"),
0)))</f>
        <v/>
      </c>
      <c r="F181" t="str">
        <f t="array" ref="F181">IF($A181="","",
IF(COUNTIFS(貸出記録!$B:$B,$A181,貸出記録!$E:$E,"")&gt;0,
"貸出中","在庫"))</f>
        <v/>
      </c>
      <c r="G181" t="s">
        <v>6</v>
      </c>
      <c r="H181" t="s">
        <v>6</v>
      </c>
      <c r="I181" t="s">
        <v>6</v>
      </c>
    </row>
    <row r="182" spans="1:9">
      <c r="A182" s="21" t="s">
        <v>6</v>
      </c>
      <c r="B182" t="str">
        <f t="array" ref="B182">IF(TRIM(A182)="","",
_xlfn.TEXTJOIN(" , ",TRUE,
IF((個体台帳!$A$2:$A$1000=TRIM(A182))*(個体台帳!$C$2:$C$1000="服"),
個体台帳!$B$2:$B$1000,
"")))</f>
        <v/>
      </c>
      <c r="C182" t="str">
        <f t="array" ref="C182">IF(TRIM(A182)="","",
_xlfn.TEXTJOIN(" , ",TRUE,
IF((個体台帳!$A$2:$A$1000=TRIM(A182))*(個体台帳!$C$2:$C$1000="小物1"),
個体台帳!$B$2:$B$1000,
"")))</f>
        <v/>
      </c>
      <c r="D182" t="str">
        <f t="array" ref="D182">IF(TRIM(A182)="","",
_xlfn.TEXTJOIN(" , ",TRUE,
IF((個体台帳!$A$2:$A$1000=TRIM(A182))*(個体台帳!$C$2:$C$1000="小物2"),
個体台帳!$B$2:$B$1000,
"")))</f>
        <v/>
      </c>
      <c r="E182" s="8" t="str">
        <f t="array" ref="E182">IF($A182="","",
INDEX(個体台帳!$D$2:$D$1000,
MATCH(1,
(個体台帳!$A$2:$A$1000=$A182)*
(個体台帳!$C$2:$C$1000="服"),
0)))</f>
        <v/>
      </c>
      <c r="F182" t="str">
        <f t="array" ref="F182">IF($A182="","",
IF(COUNTIFS(貸出記録!$B:$B,$A182,貸出記録!$E:$E,"")&gt;0,
"貸出中","在庫"))</f>
        <v/>
      </c>
      <c r="G182" t="s">
        <v>6</v>
      </c>
      <c r="H182" t="s">
        <v>6</v>
      </c>
      <c r="I182" t="s">
        <v>6</v>
      </c>
    </row>
    <row r="183" spans="1:9">
      <c r="A183" s="21" t="s">
        <v>6</v>
      </c>
      <c r="B183" t="str">
        <f t="array" ref="B183">IF(TRIM(A183)="","",
_xlfn.TEXTJOIN(" , ",TRUE,
IF((個体台帳!$A$2:$A$1000=TRIM(A183))*(個体台帳!$C$2:$C$1000="服"),
個体台帳!$B$2:$B$1000,
"")))</f>
        <v/>
      </c>
      <c r="C183" t="str">
        <f t="array" ref="C183">IF(TRIM(A183)="","",
_xlfn.TEXTJOIN(" , ",TRUE,
IF((個体台帳!$A$2:$A$1000=TRIM(A183))*(個体台帳!$C$2:$C$1000="小物1"),
個体台帳!$B$2:$B$1000,
"")))</f>
        <v/>
      </c>
      <c r="D183" t="str">
        <f t="array" ref="D183">IF(TRIM(A183)="","",
_xlfn.TEXTJOIN(" , ",TRUE,
IF((個体台帳!$A$2:$A$1000=TRIM(A183))*(個体台帳!$C$2:$C$1000="小物2"),
個体台帳!$B$2:$B$1000,
"")))</f>
        <v/>
      </c>
      <c r="E183" s="8" t="str">
        <f t="array" ref="E183">IF($A183="","",
INDEX(個体台帳!$D$2:$D$1000,
MATCH(1,
(個体台帳!$A$2:$A$1000=$A183)*
(個体台帳!$C$2:$C$1000="服"),
0)))</f>
        <v/>
      </c>
      <c r="F183" t="str">
        <f t="array" ref="F183">IF($A183="","",
IF(COUNTIFS(貸出記録!$B:$B,$A183,貸出記録!$E:$E,"")&gt;0,
"貸出中","在庫"))</f>
        <v/>
      </c>
      <c r="G183" t="s">
        <v>6</v>
      </c>
      <c r="H183" t="s">
        <v>6</v>
      </c>
      <c r="I183" t="s">
        <v>6</v>
      </c>
    </row>
    <row r="184" spans="1:9">
      <c r="A184" s="21" t="s">
        <v>6</v>
      </c>
      <c r="B184" t="str">
        <f t="array" ref="B184">IF(TRIM(A184)="","",
_xlfn.TEXTJOIN(" , ",TRUE,
IF((個体台帳!$A$2:$A$1000=TRIM(A184))*(個体台帳!$C$2:$C$1000="服"),
個体台帳!$B$2:$B$1000,
"")))</f>
        <v/>
      </c>
      <c r="C184" t="str">
        <f t="array" ref="C184">IF(TRIM(A184)="","",
_xlfn.TEXTJOIN(" , ",TRUE,
IF((個体台帳!$A$2:$A$1000=TRIM(A184))*(個体台帳!$C$2:$C$1000="小物1"),
個体台帳!$B$2:$B$1000,
"")))</f>
        <v/>
      </c>
      <c r="D184" t="str">
        <f t="array" ref="D184">IF(TRIM(A184)="","",
_xlfn.TEXTJOIN(" , ",TRUE,
IF((個体台帳!$A$2:$A$1000=TRIM(A184))*(個体台帳!$C$2:$C$1000="小物2"),
個体台帳!$B$2:$B$1000,
"")))</f>
        <v/>
      </c>
      <c r="E184" s="8" t="str">
        <f t="array" ref="E184">IF($A184="","",
INDEX(個体台帳!$D$2:$D$1000,
MATCH(1,
(個体台帳!$A$2:$A$1000=$A184)*
(個体台帳!$C$2:$C$1000="服"),
0)))</f>
        <v/>
      </c>
      <c r="F184" t="str">
        <f t="array" ref="F184">IF($A184="","",
IF(COUNTIFS(貸出記録!$B:$B,$A184,貸出記録!$E:$E,"")&gt;0,
"貸出中","在庫"))</f>
        <v/>
      </c>
      <c r="G184" t="s">
        <v>6</v>
      </c>
      <c r="H184" t="s">
        <v>6</v>
      </c>
      <c r="I184" t="s">
        <v>6</v>
      </c>
    </row>
    <row r="185" spans="1:9">
      <c r="A185" s="21" t="s">
        <v>6</v>
      </c>
      <c r="B185" t="str">
        <f t="array" ref="B185">IF(TRIM(A185)="","",
_xlfn.TEXTJOIN(" , ",TRUE,
IF((個体台帳!$A$2:$A$1000=TRIM(A185))*(個体台帳!$C$2:$C$1000="服"),
個体台帳!$B$2:$B$1000,
"")))</f>
        <v/>
      </c>
      <c r="C185" t="str">
        <f t="array" ref="C185">IF(TRIM(A185)="","",
_xlfn.TEXTJOIN(" , ",TRUE,
IF((個体台帳!$A$2:$A$1000=TRIM(A185))*(個体台帳!$C$2:$C$1000="小物1"),
個体台帳!$B$2:$B$1000,
"")))</f>
        <v/>
      </c>
      <c r="D185" t="str">
        <f t="array" ref="D185">IF(TRIM(A185)="","",
_xlfn.TEXTJOIN(" , ",TRUE,
IF((個体台帳!$A$2:$A$1000=TRIM(A185))*(個体台帳!$C$2:$C$1000="小物2"),
個体台帳!$B$2:$B$1000,
"")))</f>
        <v/>
      </c>
      <c r="E185" s="8" t="str">
        <f t="array" ref="E185">IF($A185="","",
INDEX(個体台帳!$D$2:$D$1000,
MATCH(1,
(個体台帳!$A$2:$A$1000=$A185)*
(個体台帳!$C$2:$C$1000="服"),
0)))</f>
        <v/>
      </c>
      <c r="F185" t="str">
        <f t="array" ref="F185">IF($A185="","",
IF(COUNTIFS(貸出記録!$B:$B,$A185,貸出記録!$E:$E,"")&gt;0,
"貸出中","在庫"))</f>
        <v/>
      </c>
      <c r="G185" t="s">
        <v>6</v>
      </c>
      <c r="H185" t="s">
        <v>6</v>
      </c>
      <c r="I185" t="s">
        <v>6</v>
      </c>
    </row>
    <row r="186" spans="1:9">
      <c r="A186" s="21" t="s">
        <v>6</v>
      </c>
      <c r="B186" t="str">
        <f t="array" ref="B186">IF(TRIM(A186)="","",
_xlfn.TEXTJOIN(" , ",TRUE,
IF((個体台帳!$A$2:$A$1000=TRIM(A186))*(個体台帳!$C$2:$C$1000="服"),
個体台帳!$B$2:$B$1000,
"")))</f>
        <v/>
      </c>
      <c r="C186" t="str">
        <f t="array" ref="C186">IF(TRIM(A186)="","",
_xlfn.TEXTJOIN(" , ",TRUE,
IF((個体台帳!$A$2:$A$1000=TRIM(A186))*(個体台帳!$C$2:$C$1000="小物1"),
個体台帳!$B$2:$B$1000,
"")))</f>
        <v/>
      </c>
      <c r="D186" t="str">
        <f t="array" ref="D186">IF(TRIM(A186)="","",
_xlfn.TEXTJOIN(" , ",TRUE,
IF((個体台帳!$A$2:$A$1000=TRIM(A186))*(個体台帳!$C$2:$C$1000="小物2"),
個体台帳!$B$2:$B$1000,
"")))</f>
        <v/>
      </c>
      <c r="E186" s="8" t="str">
        <f t="array" ref="E186">IF($A186="","",
INDEX(個体台帳!$D$2:$D$1000,
MATCH(1,
(個体台帳!$A$2:$A$1000=$A186)*
(個体台帳!$C$2:$C$1000="服"),
0)))</f>
        <v/>
      </c>
      <c r="F186" t="str">
        <f t="array" ref="F186">IF($A186="","",
IF(COUNTIFS(貸出記録!$B:$B,$A186,貸出記録!$E:$E,"")&gt;0,
"貸出中","在庫"))</f>
        <v/>
      </c>
      <c r="G186" t="s">
        <v>6</v>
      </c>
      <c r="H186" t="s">
        <v>6</v>
      </c>
      <c r="I186" t="s">
        <v>6</v>
      </c>
    </row>
    <row r="187" spans="1:9">
      <c r="A187" s="21" t="s">
        <v>6</v>
      </c>
      <c r="B187" t="str">
        <f t="array" ref="B187">IF(TRIM(A187)="","",
_xlfn.TEXTJOIN(" , ",TRUE,
IF((個体台帳!$A$2:$A$1000=TRIM(A187))*(個体台帳!$C$2:$C$1000="服"),
個体台帳!$B$2:$B$1000,
"")))</f>
        <v/>
      </c>
      <c r="C187" t="str">
        <f t="array" ref="C187">IF(TRIM(A187)="","",
_xlfn.TEXTJOIN(" , ",TRUE,
IF((個体台帳!$A$2:$A$1000=TRIM(A187))*(個体台帳!$C$2:$C$1000="小物1"),
個体台帳!$B$2:$B$1000,
"")))</f>
        <v/>
      </c>
      <c r="D187" t="str">
        <f t="array" ref="D187">IF(TRIM(A187)="","",
_xlfn.TEXTJOIN(" , ",TRUE,
IF((個体台帳!$A$2:$A$1000=TRIM(A187))*(個体台帳!$C$2:$C$1000="小物2"),
個体台帳!$B$2:$B$1000,
"")))</f>
        <v/>
      </c>
      <c r="E187" s="8" t="str">
        <f t="array" ref="E187">IF($A187="","",
INDEX(個体台帳!$D$2:$D$1000,
MATCH(1,
(個体台帳!$A$2:$A$1000=$A187)*
(個体台帳!$C$2:$C$1000="服"),
0)))</f>
        <v/>
      </c>
      <c r="F187" t="str">
        <f t="array" ref="F187">IF($A187="","",
IF(COUNTIFS(貸出記録!$B:$B,$A187,貸出記録!$E:$E,"")&gt;0,
"貸出中","在庫"))</f>
        <v/>
      </c>
      <c r="G187" t="s">
        <v>6</v>
      </c>
      <c r="H187" t="s">
        <v>6</v>
      </c>
      <c r="I187" t="s">
        <v>6</v>
      </c>
    </row>
    <row r="188" spans="1:9">
      <c r="A188" s="21" t="s">
        <v>6</v>
      </c>
      <c r="B188" t="str">
        <f t="array" ref="B188">IF(TRIM(A188)="","",
_xlfn.TEXTJOIN(" , ",TRUE,
IF((個体台帳!$A$2:$A$1000=TRIM(A188))*(個体台帳!$C$2:$C$1000="服"),
個体台帳!$B$2:$B$1000,
"")))</f>
        <v/>
      </c>
      <c r="C188" t="str">
        <f t="array" ref="C188">IF(TRIM(A188)="","",
_xlfn.TEXTJOIN(" , ",TRUE,
IF((個体台帳!$A$2:$A$1000=TRIM(A188))*(個体台帳!$C$2:$C$1000="小物1"),
個体台帳!$B$2:$B$1000,
"")))</f>
        <v/>
      </c>
      <c r="D188" t="str">
        <f t="array" ref="D188">IF(TRIM(A188)="","",
_xlfn.TEXTJOIN(" , ",TRUE,
IF((個体台帳!$A$2:$A$1000=TRIM(A188))*(個体台帳!$C$2:$C$1000="小物2"),
個体台帳!$B$2:$B$1000,
"")))</f>
        <v/>
      </c>
      <c r="E188" s="8" t="str">
        <f t="array" ref="E188">IF($A188="","",
INDEX(個体台帳!$D$2:$D$1000,
MATCH(1,
(個体台帳!$A$2:$A$1000=$A188)*
(個体台帳!$C$2:$C$1000="服"),
0)))</f>
        <v/>
      </c>
      <c r="F188" t="str">
        <f t="array" ref="F188">IF($A188="","",
IF(COUNTIFS(貸出記録!$B:$B,$A188,貸出記録!$E:$E,"")&gt;0,
"貸出中","在庫"))</f>
        <v/>
      </c>
      <c r="G188" t="s">
        <v>6</v>
      </c>
      <c r="H188" t="s">
        <v>6</v>
      </c>
      <c r="I188" t="s">
        <v>6</v>
      </c>
    </row>
    <row r="189" spans="1:9">
      <c r="A189" s="21" t="s">
        <v>6</v>
      </c>
      <c r="B189" t="str">
        <f t="array" ref="B189">IF(TRIM(A189)="","",
_xlfn.TEXTJOIN(" , ",TRUE,
IF((個体台帳!$A$2:$A$1000=TRIM(A189))*(個体台帳!$C$2:$C$1000="服"),
個体台帳!$B$2:$B$1000,
"")))</f>
        <v/>
      </c>
      <c r="C189" t="str">
        <f t="array" ref="C189">IF(TRIM(A189)="","",
_xlfn.TEXTJOIN(" , ",TRUE,
IF((個体台帳!$A$2:$A$1000=TRIM(A189))*(個体台帳!$C$2:$C$1000="小物1"),
個体台帳!$B$2:$B$1000,
"")))</f>
        <v/>
      </c>
      <c r="D189" t="str">
        <f t="array" ref="D189">IF(TRIM(A189)="","",
_xlfn.TEXTJOIN(" , ",TRUE,
IF((個体台帳!$A$2:$A$1000=TRIM(A189))*(個体台帳!$C$2:$C$1000="小物2"),
個体台帳!$B$2:$B$1000,
"")))</f>
        <v/>
      </c>
      <c r="E189" s="8" t="str">
        <f t="array" ref="E189">IF($A189="","",
INDEX(個体台帳!$D$2:$D$1000,
MATCH(1,
(個体台帳!$A$2:$A$1000=$A189)*
(個体台帳!$C$2:$C$1000="服"),
0)))</f>
        <v/>
      </c>
      <c r="F189" t="str">
        <f t="array" ref="F189">IF($A189="","",
IF(COUNTIFS(貸出記録!$B:$B,$A189,貸出記録!$E:$E,"")&gt;0,
"貸出中","在庫"))</f>
        <v/>
      </c>
      <c r="G189" t="s">
        <v>6</v>
      </c>
      <c r="H189" t="s">
        <v>6</v>
      </c>
      <c r="I189" t="s">
        <v>6</v>
      </c>
    </row>
    <row r="190" spans="1:9">
      <c r="A190" s="21" t="s">
        <v>6</v>
      </c>
      <c r="B190" t="str">
        <f t="array" ref="B190">IF(TRIM(A190)="","",
_xlfn.TEXTJOIN(" , ",TRUE,
IF((個体台帳!$A$2:$A$1000=TRIM(A190))*(個体台帳!$C$2:$C$1000="服"),
個体台帳!$B$2:$B$1000,
"")))</f>
        <v/>
      </c>
      <c r="C190" t="str">
        <f t="array" ref="C190">IF(TRIM(A190)="","",
_xlfn.TEXTJOIN(" , ",TRUE,
IF((個体台帳!$A$2:$A$1000=TRIM(A190))*(個体台帳!$C$2:$C$1000="小物1"),
個体台帳!$B$2:$B$1000,
"")))</f>
        <v/>
      </c>
      <c r="D190" t="str">
        <f t="array" ref="D190">IF(TRIM(A190)="","",
_xlfn.TEXTJOIN(" , ",TRUE,
IF((個体台帳!$A$2:$A$1000=TRIM(A190))*(個体台帳!$C$2:$C$1000="小物2"),
個体台帳!$B$2:$B$1000,
"")))</f>
        <v/>
      </c>
      <c r="E190" s="8" t="str">
        <f t="array" ref="E190">IF($A190="","",
INDEX(個体台帳!$D$2:$D$1000,
MATCH(1,
(個体台帳!$A$2:$A$1000=$A190)*
(個体台帳!$C$2:$C$1000="服"),
0)))</f>
        <v/>
      </c>
      <c r="F190" t="str">
        <f t="array" ref="F190">IF($A190="","",
IF(COUNTIFS(貸出記録!$B:$B,$A190,貸出記録!$E:$E,"")&gt;0,
"貸出中","在庫"))</f>
        <v/>
      </c>
      <c r="G190" t="s">
        <v>6</v>
      </c>
      <c r="H190" t="s">
        <v>6</v>
      </c>
      <c r="I190" t="s">
        <v>6</v>
      </c>
    </row>
    <row r="191" spans="1:9">
      <c r="A191" s="21" t="s">
        <v>6</v>
      </c>
      <c r="B191" t="str">
        <f t="array" ref="B191">IF(TRIM(A191)="","",
_xlfn.TEXTJOIN(" , ",TRUE,
IF((個体台帳!$A$2:$A$1000=TRIM(A191))*(個体台帳!$C$2:$C$1000="服"),
個体台帳!$B$2:$B$1000,
"")))</f>
        <v/>
      </c>
      <c r="C191" t="str">
        <f t="array" ref="C191">IF(TRIM(A191)="","",
_xlfn.TEXTJOIN(" , ",TRUE,
IF((個体台帳!$A$2:$A$1000=TRIM(A191))*(個体台帳!$C$2:$C$1000="小物1"),
個体台帳!$B$2:$B$1000,
"")))</f>
        <v/>
      </c>
      <c r="D191" t="str">
        <f t="array" ref="D191">IF(TRIM(A191)="","",
_xlfn.TEXTJOIN(" , ",TRUE,
IF((個体台帳!$A$2:$A$1000=TRIM(A191))*(個体台帳!$C$2:$C$1000="小物2"),
個体台帳!$B$2:$B$1000,
"")))</f>
        <v/>
      </c>
      <c r="E191" s="8" t="str">
        <f t="array" ref="E191">IF($A191="","",
INDEX(個体台帳!$D$2:$D$1000,
MATCH(1,
(個体台帳!$A$2:$A$1000=$A191)*
(個体台帳!$C$2:$C$1000="服"),
0)))</f>
        <v/>
      </c>
      <c r="F191" t="str">
        <f t="array" ref="F191">IF($A191="","",
IF(COUNTIFS(貸出記録!$B:$B,$A191,貸出記録!$E:$E,"")&gt;0,
"貸出中","在庫"))</f>
        <v/>
      </c>
      <c r="G191" t="s">
        <v>6</v>
      </c>
      <c r="H191" t="s">
        <v>6</v>
      </c>
      <c r="I191" t="s">
        <v>6</v>
      </c>
    </row>
    <row r="192" spans="1:9">
      <c r="A192" s="21" t="s">
        <v>6</v>
      </c>
      <c r="B192" t="str">
        <f t="array" ref="B192">IF(TRIM(A192)="","",
_xlfn.TEXTJOIN(" , ",TRUE,
IF((個体台帳!$A$2:$A$1000=TRIM(A192))*(個体台帳!$C$2:$C$1000="服"),
個体台帳!$B$2:$B$1000,
"")))</f>
        <v/>
      </c>
      <c r="C192" t="str">
        <f t="array" ref="C192">IF(TRIM(A192)="","",
_xlfn.TEXTJOIN(" , ",TRUE,
IF((個体台帳!$A$2:$A$1000=TRIM(A192))*(個体台帳!$C$2:$C$1000="小物1"),
個体台帳!$B$2:$B$1000,
"")))</f>
        <v/>
      </c>
      <c r="D192" t="str">
        <f t="array" ref="D192">IF(TRIM(A192)="","",
_xlfn.TEXTJOIN(" , ",TRUE,
IF((個体台帳!$A$2:$A$1000=TRIM(A192))*(個体台帳!$C$2:$C$1000="小物2"),
個体台帳!$B$2:$B$1000,
"")))</f>
        <v/>
      </c>
      <c r="E192" s="8" t="str">
        <f t="array" ref="E192">IF($A192="","",
INDEX(個体台帳!$D$2:$D$1000,
MATCH(1,
(個体台帳!$A$2:$A$1000=$A192)*
(個体台帳!$C$2:$C$1000="服"),
0)))</f>
        <v/>
      </c>
      <c r="F192" t="str">
        <f t="array" ref="F192">IF($A192="","",
IF(COUNTIFS(貸出記録!$B:$B,$A192,貸出記録!$E:$E,"")&gt;0,
"貸出中","在庫"))</f>
        <v/>
      </c>
      <c r="G192" t="s">
        <v>6</v>
      </c>
      <c r="H192" t="s">
        <v>6</v>
      </c>
      <c r="I192" t="s">
        <v>6</v>
      </c>
    </row>
    <row r="193" spans="1:9">
      <c r="A193" s="21" t="s">
        <v>6</v>
      </c>
      <c r="B193" t="str">
        <f t="array" ref="B193">IF(TRIM(A193)="","",
_xlfn.TEXTJOIN(" , ",TRUE,
IF((個体台帳!$A$2:$A$1000=TRIM(A193))*(個体台帳!$C$2:$C$1000="服"),
個体台帳!$B$2:$B$1000,
"")))</f>
        <v/>
      </c>
      <c r="C193" t="str">
        <f t="array" ref="C193">IF(TRIM(A193)="","",
_xlfn.TEXTJOIN(" , ",TRUE,
IF((個体台帳!$A$2:$A$1000=TRIM(A193))*(個体台帳!$C$2:$C$1000="小物1"),
個体台帳!$B$2:$B$1000,
"")))</f>
        <v/>
      </c>
      <c r="D193" t="str">
        <f t="array" ref="D193">IF(TRIM(A193)="","",
_xlfn.TEXTJOIN(" , ",TRUE,
IF((個体台帳!$A$2:$A$1000=TRIM(A193))*(個体台帳!$C$2:$C$1000="小物2"),
個体台帳!$B$2:$B$1000,
"")))</f>
        <v/>
      </c>
      <c r="E193" s="8" t="str">
        <f t="array" ref="E193">IF($A193="","",
INDEX(個体台帳!$D$2:$D$1000,
MATCH(1,
(個体台帳!$A$2:$A$1000=$A193)*
(個体台帳!$C$2:$C$1000="服"),
0)))</f>
        <v/>
      </c>
      <c r="F193" t="str">
        <f t="array" ref="F193">IF($A193="","",
IF(COUNTIFS(貸出記録!$B:$B,$A193,貸出記録!$E:$E,"")&gt;0,
"貸出中","在庫"))</f>
        <v/>
      </c>
      <c r="G193" t="s">
        <v>6</v>
      </c>
      <c r="H193" t="s">
        <v>6</v>
      </c>
      <c r="I193" t="s">
        <v>6</v>
      </c>
    </row>
    <row r="194" spans="1:9">
      <c r="A194" s="21" t="s">
        <v>6</v>
      </c>
      <c r="B194" t="str">
        <f t="array" ref="B194">IF(TRIM(A194)="","",
_xlfn.TEXTJOIN(" , ",TRUE,
IF((個体台帳!$A$2:$A$1000=TRIM(A194))*(個体台帳!$C$2:$C$1000="服"),
個体台帳!$B$2:$B$1000,
"")))</f>
        <v/>
      </c>
      <c r="C194" t="str">
        <f t="array" ref="C194">IF(TRIM(A194)="","",
_xlfn.TEXTJOIN(" , ",TRUE,
IF((個体台帳!$A$2:$A$1000=TRIM(A194))*(個体台帳!$C$2:$C$1000="小物1"),
個体台帳!$B$2:$B$1000,
"")))</f>
        <v/>
      </c>
      <c r="D194" t="str">
        <f t="array" ref="D194">IF(TRIM(A194)="","",
_xlfn.TEXTJOIN(" , ",TRUE,
IF((個体台帳!$A$2:$A$1000=TRIM(A194))*(個体台帳!$C$2:$C$1000="小物2"),
個体台帳!$B$2:$B$1000,
"")))</f>
        <v/>
      </c>
      <c r="E194" s="8" t="str">
        <f t="array" ref="E194">IF($A194="","",
INDEX(個体台帳!$D$2:$D$1000,
MATCH(1,
(個体台帳!$A$2:$A$1000=$A194)*
(個体台帳!$C$2:$C$1000="服"),
0)))</f>
        <v/>
      </c>
      <c r="F194" t="str">
        <f t="array" ref="F194">IF($A194="","",
IF(COUNTIFS(貸出記録!$B:$B,$A194,貸出記録!$E:$E,"")&gt;0,
"貸出中","在庫"))</f>
        <v/>
      </c>
      <c r="G194" t="s">
        <v>6</v>
      </c>
      <c r="H194" t="s">
        <v>6</v>
      </c>
      <c r="I194" t="s">
        <v>6</v>
      </c>
    </row>
    <row r="195" spans="1:9">
      <c r="A195" s="21" t="s">
        <v>6</v>
      </c>
      <c r="B195" t="str">
        <f t="array" ref="B195">IF(TRIM(A195)="","",
_xlfn.TEXTJOIN(" , ",TRUE,
IF((個体台帳!$A$2:$A$1000=TRIM(A195))*(個体台帳!$C$2:$C$1000="服"),
個体台帳!$B$2:$B$1000,
"")))</f>
        <v/>
      </c>
      <c r="C195" t="str">
        <f t="array" ref="C195">IF(TRIM(A195)="","",
_xlfn.TEXTJOIN(" , ",TRUE,
IF((個体台帳!$A$2:$A$1000=TRIM(A195))*(個体台帳!$C$2:$C$1000="小物1"),
個体台帳!$B$2:$B$1000,
"")))</f>
        <v/>
      </c>
      <c r="D195" t="str">
        <f t="array" ref="D195">IF(TRIM(A195)="","",
_xlfn.TEXTJOIN(" , ",TRUE,
IF((個体台帳!$A$2:$A$1000=TRIM(A195))*(個体台帳!$C$2:$C$1000="小物2"),
個体台帳!$B$2:$B$1000,
"")))</f>
        <v/>
      </c>
      <c r="E195" s="8" t="str">
        <f t="array" ref="E195">IF($A195="","",
INDEX(個体台帳!$D$2:$D$1000,
MATCH(1,
(個体台帳!$A$2:$A$1000=$A195)*
(個体台帳!$C$2:$C$1000="服"),
0)))</f>
        <v/>
      </c>
      <c r="F195" t="str">
        <f t="array" ref="F195">IF($A195="","",
IF(COUNTIFS(貸出記録!$B:$B,$A195,貸出記録!$E:$E,"")&gt;0,
"貸出中","在庫"))</f>
        <v/>
      </c>
      <c r="G195" t="s">
        <v>6</v>
      </c>
      <c r="H195" t="s">
        <v>6</v>
      </c>
      <c r="I195" t="s">
        <v>6</v>
      </c>
    </row>
    <row r="196" spans="1:9">
      <c r="A196" s="21" t="s">
        <v>6</v>
      </c>
      <c r="B196" t="str">
        <f t="array" ref="B196">IF(TRIM(A196)="","",
_xlfn.TEXTJOIN(" , ",TRUE,
IF((個体台帳!$A$2:$A$1000=TRIM(A196))*(個体台帳!$C$2:$C$1000="服"),
個体台帳!$B$2:$B$1000,
"")))</f>
        <v/>
      </c>
      <c r="C196" t="str">
        <f t="array" ref="C196">IF(TRIM(A196)="","",
_xlfn.TEXTJOIN(" , ",TRUE,
IF((個体台帳!$A$2:$A$1000=TRIM(A196))*(個体台帳!$C$2:$C$1000="小物1"),
個体台帳!$B$2:$B$1000,
"")))</f>
        <v/>
      </c>
      <c r="D196" t="str">
        <f t="array" ref="D196">IF(TRIM(A196)="","",
_xlfn.TEXTJOIN(" , ",TRUE,
IF((個体台帳!$A$2:$A$1000=TRIM(A196))*(個体台帳!$C$2:$C$1000="小物2"),
個体台帳!$B$2:$B$1000,
"")))</f>
        <v/>
      </c>
      <c r="E196" s="8" t="str">
        <f t="array" ref="E196">IF($A196="","",
INDEX(個体台帳!$D$2:$D$1000,
MATCH(1,
(個体台帳!$A$2:$A$1000=$A196)*
(個体台帳!$C$2:$C$1000="服"),
0)))</f>
        <v/>
      </c>
      <c r="F196" t="str">
        <f t="array" ref="F196">IF($A196="","",
IF(COUNTIFS(貸出記録!$B:$B,$A196,貸出記録!$E:$E,"")&gt;0,
"貸出中","在庫"))</f>
        <v/>
      </c>
      <c r="G196" t="s">
        <v>6</v>
      </c>
      <c r="H196" t="s">
        <v>6</v>
      </c>
      <c r="I196" t="s">
        <v>6</v>
      </c>
    </row>
    <row r="197" spans="1:9">
      <c r="A197" s="21" t="s">
        <v>6</v>
      </c>
      <c r="B197" t="str">
        <f t="array" ref="B197">IF(TRIM(A197)="","",
_xlfn.TEXTJOIN(" , ",TRUE,
IF((個体台帳!$A$2:$A$1000=TRIM(A197))*(個体台帳!$C$2:$C$1000="服"),
個体台帳!$B$2:$B$1000,
"")))</f>
        <v/>
      </c>
      <c r="C197" t="str">
        <f t="array" ref="C197">IF(TRIM(A197)="","",
_xlfn.TEXTJOIN(" , ",TRUE,
IF((個体台帳!$A$2:$A$1000=TRIM(A197))*(個体台帳!$C$2:$C$1000="小物1"),
個体台帳!$B$2:$B$1000,
"")))</f>
        <v/>
      </c>
      <c r="D197" t="str">
        <f t="array" ref="D197">IF(TRIM(A197)="","",
_xlfn.TEXTJOIN(" , ",TRUE,
IF((個体台帳!$A$2:$A$1000=TRIM(A197))*(個体台帳!$C$2:$C$1000="小物2"),
個体台帳!$B$2:$B$1000,
"")))</f>
        <v/>
      </c>
      <c r="E197" s="8" t="str">
        <f t="array" ref="E197">IF($A197="","",
INDEX(個体台帳!$D$2:$D$1000,
MATCH(1,
(個体台帳!$A$2:$A$1000=$A197)*
(個体台帳!$C$2:$C$1000="服"),
0)))</f>
        <v/>
      </c>
      <c r="F197" t="str">
        <f t="array" ref="F197">IF($A197="","",
IF(COUNTIFS(貸出記録!$B:$B,$A197,貸出記録!$E:$E,"")&gt;0,
"貸出中","在庫"))</f>
        <v/>
      </c>
      <c r="G197" t="s">
        <v>6</v>
      </c>
      <c r="H197" t="s">
        <v>6</v>
      </c>
      <c r="I197" t="s">
        <v>6</v>
      </c>
    </row>
    <row r="198" spans="1:9">
      <c r="A198" s="21" t="s">
        <v>6</v>
      </c>
      <c r="B198" t="str">
        <f t="array" ref="B198">IF(TRIM(A198)="","",
_xlfn.TEXTJOIN(" , ",TRUE,
IF((個体台帳!$A$2:$A$1000=TRIM(A198))*(個体台帳!$C$2:$C$1000="服"),
個体台帳!$B$2:$B$1000,
"")))</f>
        <v/>
      </c>
      <c r="C198" t="str">
        <f t="array" ref="C198">IF(TRIM(A198)="","",
_xlfn.TEXTJOIN(" , ",TRUE,
IF((個体台帳!$A$2:$A$1000=TRIM(A198))*(個体台帳!$C$2:$C$1000="小物1"),
個体台帳!$B$2:$B$1000,
"")))</f>
        <v/>
      </c>
      <c r="D198" t="str">
        <f t="array" ref="D198">IF(TRIM(A198)="","",
_xlfn.TEXTJOIN(" , ",TRUE,
IF((個体台帳!$A$2:$A$1000=TRIM(A198))*(個体台帳!$C$2:$C$1000="小物2"),
個体台帳!$B$2:$B$1000,
"")))</f>
        <v/>
      </c>
      <c r="E198" s="8" t="str">
        <f t="array" ref="E198">IF($A198="","",
INDEX(個体台帳!$D$2:$D$1000,
MATCH(1,
(個体台帳!$A$2:$A$1000=$A198)*
(個体台帳!$C$2:$C$1000="服"),
0)))</f>
        <v/>
      </c>
      <c r="F198" t="str">
        <f t="array" ref="F198">IF($A198="","",
IF(COUNTIFS(貸出記録!$B:$B,$A198,貸出記録!$E:$E,"")&gt;0,
"貸出中","在庫"))</f>
        <v/>
      </c>
      <c r="G198" t="s">
        <v>6</v>
      </c>
      <c r="H198" t="s">
        <v>6</v>
      </c>
      <c r="I198" t="s">
        <v>6</v>
      </c>
    </row>
    <row r="199" spans="1:9">
      <c r="A199" s="21" t="s">
        <v>6</v>
      </c>
      <c r="B199" t="str">
        <f t="array" ref="B199">IF(TRIM(A199)="","",
_xlfn.TEXTJOIN(" , ",TRUE,
IF((個体台帳!$A$2:$A$1000=TRIM(A199))*(個体台帳!$C$2:$C$1000="服"),
個体台帳!$B$2:$B$1000,
"")))</f>
        <v/>
      </c>
      <c r="C199" t="str">
        <f t="array" ref="C199">IF(TRIM(A199)="","",
_xlfn.TEXTJOIN(" , ",TRUE,
IF((個体台帳!$A$2:$A$1000=TRIM(A199))*(個体台帳!$C$2:$C$1000="小物1"),
個体台帳!$B$2:$B$1000,
"")))</f>
        <v/>
      </c>
      <c r="D199" t="str">
        <f t="array" ref="D199">IF(TRIM(A199)="","",
_xlfn.TEXTJOIN(" , ",TRUE,
IF((個体台帳!$A$2:$A$1000=TRIM(A199))*(個体台帳!$C$2:$C$1000="小物2"),
個体台帳!$B$2:$B$1000,
"")))</f>
        <v/>
      </c>
      <c r="E199" s="8" t="str">
        <f t="array" ref="E199">IF($A199="","",
INDEX(個体台帳!$D$2:$D$1000,
MATCH(1,
(個体台帳!$A$2:$A$1000=$A199)*
(個体台帳!$C$2:$C$1000="服"),
0)))</f>
        <v/>
      </c>
      <c r="F199" t="str">
        <f t="array" ref="F199">IF($A199="","",
IF(COUNTIFS(貸出記録!$B:$B,$A199,貸出記録!$E:$E,"")&gt;0,
"貸出中","在庫"))</f>
        <v/>
      </c>
      <c r="G199" t="s">
        <v>6</v>
      </c>
      <c r="H199" t="s">
        <v>6</v>
      </c>
      <c r="I199" t="s">
        <v>6</v>
      </c>
    </row>
    <row r="200" spans="1:9">
      <c r="A200" s="21" t="s">
        <v>6</v>
      </c>
      <c r="B200" t="str">
        <f t="array" ref="B200">IF(TRIM(A200)="","",
_xlfn.TEXTJOIN(" , ",TRUE,
IF((個体台帳!$A$2:$A$1000=TRIM(A200))*(個体台帳!$C$2:$C$1000="服"),
個体台帳!$B$2:$B$1000,
"")))</f>
        <v/>
      </c>
      <c r="C200" t="str">
        <f t="array" ref="C200">IF(TRIM(A200)="","",
_xlfn.TEXTJOIN(" , ",TRUE,
IF((個体台帳!$A$2:$A$1000=TRIM(A200))*(個体台帳!$C$2:$C$1000="小物1"),
個体台帳!$B$2:$B$1000,
"")))</f>
        <v/>
      </c>
      <c r="D200" t="str">
        <f t="array" ref="D200">IF(TRIM(A200)="","",
_xlfn.TEXTJOIN(" , ",TRUE,
IF((個体台帳!$A$2:$A$1000=TRIM(A200))*(個体台帳!$C$2:$C$1000="小物2"),
個体台帳!$B$2:$B$1000,
"")))</f>
        <v/>
      </c>
      <c r="E200" s="8" t="str">
        <f t="array" ref="E200">IF($A200="","",
INDEX(個体台帳!$D$2:$D$1000,
MATCH(1,
(個体台帳!$A$2:$A$1000=$A200)*
(個体台帳!$C$2:$C$1000="服"),
0)))</f>
        <v/>
      </c>
      <c r="F200" t="str">
        <f t="array" ref="F200">IF($A200="","",
IF(COUNTIFS(貸出記録!$B:$B,$A200,貸出記録!$E:$E,"")&gt;0,
"貸出中","在庫"))</f>
        <v/>
      </c>
      <c r="G200" t="s">
        <v>6</v>
      </c>
      <c r="H200" t="s">
        <v>6</v>
      </c>
      <c r="I200" t="s">
        <v>6</v>
      </c>
    </row>
    <row r="201" spans="1:9">
      <c r="A201" s="21" t="s">
        <v>6</v>
      </c>
      <c r="B201" t="str">
        <f t="array" ref="B201">IF(TRIM(A201)="","",
_xlfn.TEXTJOIN(" , ",TRUE,
IF((個体台帳!$A$2:$A$1000=TRIM(A201))*(個体台帳!$C$2:$C$1000="服"),
個体台帳!$B$2:$B$1000,
"")))</f>
        <v/>
      </c>
      <c r="C201" t="str">
        <f t="array" ref="C201">IF(TRIM(A201)="","",
_xlfn.TEXTJOIN(" , ",TRUE,
IF((個体台帳!$A$2:$A$1000=TRIM(A201))*(個体台帳!$C$2:$C$1000="小物1"),
個体台帳!$B$2:$B$1000,
"")))</f>
        <v/>
      </c>
      <c r="D201" t="str">
        <f t="array" ref="D201">IF(TRIM(A201)="","",
_xlfn.TEXTJOIN(" , ",TRUE,
IF((個体台帳!$A$2:$A$1000=TRIM(A201))*(個体台帳!$C$2:$C$1000="小物2"),
個体台帳!$B$2:$B$1000,
"")))</f>
        <v/>
      </c>
      <c r="E201" s="8" t="str">
        <f t="array" ref="E201">IF($A201="","",
INDEX(個体台帳!$D$2:$D$1000,
MATCH(1,
(個体台帳!$A$2:$A$1000=$A201)*
(個体台帳!$C$2:$C$1000="服"),
0)))</f>
        <v/>
      </c>
      <c r="F201" t="str">
        <f t="array" ref="F201">IF($A201="","",
IF(COUNTIFS(貸出記録!$B:$B,$A201,貸出記録!$E:$E,"")&gt;0,
"貸出中","在庫"))</f>
        <v/>
      </c>
      <c r="G201" t="s">
        <v>6</v>
      </c>
      <c r="H201" t="s">
        <v>6</v>
      </c>
      <c r="I201" t="s">
        <v>6</v>
      </c>
    </row>
    <row r="202" spans="1:9">
      <c r="A202" s="21" t="s">
        <v>6</v>
      </c>
      <c r="B202" t="str">
        <f t="array" ref="B202">IF(TRIM(A202)="","",
_xlfn.TEXTJOIN(" , ",TRUE,
IF((個体台帳!$A$2:$A$1000=TRIM(A202))*(個体台帳!$C$2:$C$1000="服"),
個体台帳!$B$2:$B$1000,
"")))</f>
        <v/>
      </c>
      <c r="C202" t="str">
        <f t="array" ref="C202">IF(TRIM(A202)="","",
_xlfn.TEXTJOIN(" , ",TRUE,
IF((個体台帳!$A$2:$A$1000=TRIM(A202))*(個体台帳!$C$2:$C$1000="小物1"),
個体台帳!$B$2:$B$1000,
"")))</f>
        <v/>
      </c>
      <c r="D202" t="str">
        <f t="array" ref="D202">IF(TRIM(A202)="","",
_xlfn.TEXTJOIN(" , ",TRUE,
IF((個体台帳!$A$2:$A$1000=TRIM(A202))*(個体台帳!$C$2:$C$1000="小物2"),
個体台帳!$B$2:$B$1000,
"")))</f>
        <v/>
      </c>
      <c r="E202" s="8" t="str">
        <f t="array" ref="E202">IF($A202="","",
INDEX(個体台帳!$D$2:$D$1000,
MATCH(1,
(個体台帳!$A$2:$A$1000=$A202)*
(個体台帳!$C$2:$C$1000="服"),
0)))</f>
        <v/>
      </c>
      <c r="F202" t="str">
        <f t="array" ref="F202">IF($A202="","",
IF(COUNTIFS(貸出記録!$B:$B,$A202,貸出記録!$E:$E,"")&gt;0,
"貸出中","在庫"))</f>
        <v/>
      </c>
      <c r="G202" t="s">
        <v>6</v>
      </c>
      <c r="H202" t="s">
        <v>6</v>
      </c>
      <c r="I202" t="s">
        <v>6</v>
      </c>
    </row>
    <row r="203" spans="1:9">
      <c r="A203" s="21" t="s">
        <v>6</v>
      </c>
      <c r="B203" t="str">
        <f t="array" ref="B203">IF(TRIM(A203)="","",
_xlfn.TEXTJOIN(" , ",TRUE,
IF((個体台帳!$A$2:$A$1000=TRIM(A203))*(個体台帳!$C$2:$C$1000="服"),
個体台帳!$B$2:$B$1000,
"")))</f>
        <v/>
      </c>
      <c r="C203" t="str">
        <f t="array" ref="C203">IF(TRIM(A203)="","",
_xlfn.TEXTJOIN(" , ",TRUE,
IF((個体台帳!$A$2:$A$1000=TRIM(A203))*(個体台帳!$C$2:$C$1000="小物1"),
個体台帳!$B$2:$B$1000,
"")))</f>
        <v/>
      </c>
      <c r="D203" t="str">
        <f t="array" ref="D203">IF(TRIM(A203)="","",
_xlfn.TEXTJOIN(" , ",TRUE,
IF((個体台帳!$A$2:$A$1000=TRIM(A203))*(個体台帳!$C$2:$C$1000="小物2"),
個体台帳!$B$2:$B$1000,
"")))</f>
        <v/>
      </c>
      <c r="E203" s="8" t="str">
        <f t="array" ref="E203">IF($A203="","",
INDEX(個体台帳!$D$2:$D$1000,
MATCH(1,
(個体台帳!$A$2:$A$1000=$A203)*
(個体台帳!$C$2:$C$1000="服"),
0)))</f>
        <v/>
      </c>
      <c r="F203" t="str">
        <f t="array" ref="F203">IF($A203="","",
IF(COUNTIFS(貸出記録!$B:$B,$A203,貸出記録!$E:$E,"")&gt;0,
"貸出中","在庫"))</f>
        <v/>
      </c>
      <c r="G203" t="s">
        <v>6</v>
      </c>
      <c r="H203" t="s">
        <v>6</v>
      </c>
      <c r="I203" t="s">
        <v>6</v>
      </c>
    </row>
    <row r="204" spans="1:9">
      <c r="A204" s="21" t="s">
        <v>6</v>
      </c>
      <c r="B204" t="str">
        <f t="array" ref="B204">IF(TRIM(A204)="","",
_xlfn.TEXTJOIN(" , ",TRUE,
IF((個体台帳!$A$2:$A$1000=TRIM(A204))*(個体台帳!$C$2:$C$1000="服"),
個体台帳!$B$2:$B$1000,
"")))</f>
        <v/>
      </c>
      <c r="C204" t="str">
        <f t="array" ref="C204">IF(TRIM(A204)="","",
_xlfn.TEXTJOIN(" , ",TRUE,
IF((個体台帳!$A$2:$A$1000=TRIM(A204))*(個体台帳!$C$2:$C$1000="小物1"),
個体台帳!$B$2:$B$1000,
"")))</f>
        <v/>
      </c>
      <c r="D204" t="str">
        <f t="array" ref="D204">IF(TRIM(A204)="","",
_xlfn.TEXTJOIN(" , ",TRUE,
IF((個体台帳!$A$2:$A$1000=TRIM(A204))*(個体台帳!$C$2:$C$1000="小物2"),
個体台帳!$B$2:$B$1000,
"")))</f>
        <v/>
      </c>
      <c r="E204" s="8" t="str">
        <f t="array" ref="E204">IF($A204="","",
INDEX(個体台帳!$D$2:$D$1000,
MATCH(1,
(個体台帳!$A$2:$A$1000=$A204)*
(個体台帳!$C$2:$C$1000="服"),
0)))</f>
        <v/>
      </c>
      <c r="F204" t="str">
        <f t="array" ref="F204">IF($A204="","",
IF(COUNTIFS(貸出記録!$B:$B,$A204,貸出記録!$E:$E,"")&gt;0,
"貸出中","在庫"))</f>
        <v/>
      </c>
      <c r="G204" t="s">
        <v>6</v>
      </c>
      <c r="H204" t="s">
        <v>6</v>
      </c>
      <c r="I204" t="s">
        <v>6</v>
      </c>
    </row>
    <row r="205" spans="1:9">
      <c r="A205" s="21" t="s">
        <v>6</v>
      </c>
      <c r="B205" t="str">
        <f t="array" ref="B205">IF(TRIM(A205)="","",
_xlfn.TEXTJOIN(" , ",TRUE,
IF((個体台帳!$A$2:$A$1000=TRIM(A205))*(個体台帳!$C$2:$C$1000="服"),
個体台帳!$B$2:$B$1000,
"")))</f>
        <v/>
      </c>
      <c r="C205" t="str">
        <f t="array" ref="C205">IF(TRIM(A205)="","",
_xlfn.TEXTJOIN(" , ",TRUE,
IF((個体台帳!$A$2:$A$1000=TRIM(A205))*(個体台帳!$C$2:$C$1000="小物1"),
個体台帳!$B$2:$B$1000,
"")))</f>
        <v/>
      </c>
      <c r="D205" t="str">
        <f t="array" ref="D205">IF(TRIM(A205)="","",
_xlfn.TEXTJOIN(" , ",TRUE,
IF((個体台帳!$A$2:$A$1000=TRIM(A205))*(個体台帳!$C$2:$C$1000="小物2"),
個体台帳!$B$2:$B$1000,
"")))</f>
        <v/>
      </c>
      <c r="E205" s="8" t="str">
        <f t="array" ref="E205">IF($A205="","",
INDEX(個体台帳!$D$2:$D$1000,
MATCH(1,
(個体台帳!$A$2:$A$1000=$A205)*
(個体台帳!$C$2:$C$1000="服"),
0)))</f>
        <v/>
      </c>
      <c r="F205" t="str">
        <f t="array" ref="F205">IF($A205="","",
IF(COUNTIFS(貸出記録!$B:$B,$A205,貸出記録!$E:$E,"")&gt;0,
"貸出中","在庫"))</f>
        <v/>
      </c>
      <c r="G205" t="s">
        <v>6</v>
      </c>
      <c r="H205" t="s">
        <v>6</v>
      </c>
      <c r="I205" t="s">
        <v>6</v>
      </c>
    </row>
    <row r="206" spans="1:9">
      <c r="A206" s="21" t="s">
        <v>6</v>
      </c>
      <c r="B206" t="str">
        <f t="array" ref="B206">IF(TRIM(A206)="","",
_xlfn.TEXTJOIN(" , ",TRUE,
IF((個体台帳!$A$2:$A$1000=TRIM(A206))*(個体台帳!$C$2:$C$1000="服"),
個体台帳!$B$2:$B$1000,
"")))</f>
        <v/>
      </c>
      <c r="C206" t="str">
        <f t="array" ref="C206">IF(TRIM(A206)="","",
_xlfn.TEXTJOIN(" , ",TRUE,
IF((個体台帳!$A$2:$A$1000=TRIM(A206))*(個体台帳!$C$2:$C$1000="小物1"),
個体台帳!$B$2:$B$1000,
"")))</f>
        <v/>
      </c>
      <c r="D206" t="str">
        <f t="array" ref="D206">IF(TRIM(A206)="","",
_xlfn.TEXTJOIN(" , ",TRUE,
IF((個体台帳!$A$2:$A$1000=TRIM(A206))*(個体台帳!$C$2:$C$1000="小物2"),
個体台帳!$B$2:$B$1000,
"")))</f>
        <v/>
      </c>
      <c r="E206" s="8" t="str">
        <f t="array" ref="E206">IF($A206="","",
INDEX(個体台帳!$D$2:$D$1000,
MATCH(1,
(個体台帳!$A$2:$A$1000=$A206)*
(個体台帳!$C$2:$C$1000="服"),
0)))</f>
        <v/>
      </c>
      <c r="F206" t="str">
        <f t="array" ref="F206">IF($A206="","",
IF(COUNTIFS(貸出記録!$B:$B,$A206,貸出記録!$E:$E,"")&gt;0,
"貸出中","在庫"))</f>
        <v/>
      </c>
      <c r="G206" t="s">
        <v>6</v>
      </c>
      <c r="H206" t="s">
        <v>6</v>
      </c>
      <c r="I206" t="s">
        <v>6</v>
      </c>
    </row>
    <row r="207" spans="1:9">
      <c r="A207" s="21" t="s">
        <v>6</v>
      </c>
      <c r="B207" t="str">
        <f t="array" ref="B207">IF(TRIM(A207)="","",
_xlfn.TEXTJOIN(" , ",TRUE,
IF((個体台帳!$A$2:$A$1000=TRIM(A207))*(個体台帳!$C$2:$C$1000="服"),
個体台帳!$B$2:$B$1000,
"")))</f>
        <v/>
      </c>
      <c r="C207" t="str">
        <f t="array" ref="C207">IF(TRIM(A207)="","",
_xlfn.TEXTJOIN(" , ",TRUE,
IF((個体台帳!$A$2:$A$1000=TRIM(A207))*(個体台帳!$C$2:$C$1000="小物1"),
個体台帳!$B$2:$B$1000,
"")))</f>
        <v/>
      </c>
      <c r="D207" t="str">
        <f t="array" ref="D207">IF(TRIM(A207)="","",
_xlfn.TEXTJOIN(" , ",TRUE,
IF((個体台帳!$A$2:$A$1000=TRIM(A207))*(個体台帳!$C$2:$C$1000="小物2"),
個体台帳!$B$2:$B$1000,
"")))</f>
        <v/>
      </c>
      <c r="E207" s="8" t="str">
        <f t="array" ref="E207">IF($A207="","",
INDEX(個体台帳!$D$2:$D$1000,
MATCH(1,
(個体台帳!$A$2:$A$1000=$A207)*
(個体台帳!$C$2:$C$1000="服"),
0)))</f>
        <v/>
      </c>
      <c r="F207" t="str">
        <f t="array" ref="F207">IF($A207="","",
IF(COUNTIFS(貸出記録!$B:$B,$A207,貸出記録!$E:$E,"")&gt;0,
"貸出中","在庫"))</f>
        <v/>
      </c>
      <c r="G207" t="s">
        <v>6</v>
      </c>
      <c r="H207" t="s">
        <v>6</v>
      </c>
      <c r="I207" t="s">
        <v>6</v>
      </c>
    </row>
    <row r="208" spans="1:9">
      <c r="A208" s="21" t="s">
        <v>6</v>
      </c>
      <c r="B208" t="str">
        <f t="array" ref="B208">IF(TRIM(A208)="","",
_xlfn.TEXTJOIN(" , ",TRUE,
IF((個体台帳!$A$2:$A$1000=TRIM(A208))*(個体台帳!$C$2:$C$1000="服"),
個体台帳!$B$2:$B$1000,
"")))</f>
        <v/>
      </c>
      <c r="C208" t="str">
        <f t="array" ref="C208">IF(TRIM(A208)="","",
_xlfn.TEXTJOIN(" , ",TRUE,
IF((個体台帳!$A$2:$A$1000=TRIM(A208))*(個体台帳!$C$2:$C$1000="小物1"),
個体台帳!$B$2:$B$1000,
"")))</f>
        <v/>
      </c>
      <c r="D208" t="str">
        <f t="array" ref="D208">IF(TRIM(A208)="","",
_xlfn.TEXTJOIN(" , ",TRUE,
IF((個体台帳!$A$2:$A$1000=TRIM(A208))*(個体台帳!$C$2:$C$1000="小物2"),
個体台帳!$B$2:$B$1000,
"")))</f>
        <v/>
      </c>
      <c r="E208" s="8" t="str">
        <f t="array" ref="E208">IF($A208="","",
INDEX(個体台帳!$D$2:$D$1000,
MATCH(1,
(個体台帳!$A$2:$A$1000=$A208)*
(個体台帳!$C$2:$C$1000="服"),
0)))</f>
        <v/>
      </c>
      <c r="F208" t="str">
        <f t="array" ref="F208">IF($A208="","",
IF(COUNTIFS(貸出記録!$B:$B,$A208,貸出記録!$E:$E,"")&gt;0,
"貸出中","在庫"))</f>
        <v/>
      </c>
      <c r="G208" t="s">
        <v>6</v>
      </c>
      <c r="H208" t="s">
        <v>6</v>
      </c>
      <c r="I208" t="s">
        <v>6</v>
      </c>
    </row>
    <row r="209" spans="1:9">
      <c r="A209" s="21" t="s">
        <v>6</v>
      </c>
      <c r="B209" t="str">
        <f t="array" ref="B209">IF(TRIM(A209)="","",
_xlfn.TEXTJOIN(" , ",TRUE,
IF((個体台帳!$A$2:$A$1000=TRIM(A209))*(個体台帳!$C$2:$C$1000="服"),
個体台帳!$B$2:$B$1000,
"")))</f>
        <v/>
      </c>
      <c r="C209" t="str">
        <f t="array" ref="C209">IF(TRIM(A209)="","",
_xlfn.TEXTJOIN(" , ",TRUE,
IF((個体台帳!$A$2:$A$1000=TRIM(A209))*(個体台帳!$C$2:$C$1000="小物1"),
個体台帳!$B$2:$B$1000,
"")))</f>
        <v/>
      </c>
      <c r="D209" t="str">
        <f t="array" ref="D209">IF(TRIM(A209)="","",
_xlfn.TEXTJOIN(" , ",TRUE,
IF((個体台帳!$A$2:$A$1000=TRIM(A209))*(個体台帳!$C$2:$C$1000="小物2"),
個体台帳!$B$2:$B$1000,
"")))</f>
        <v/>
      </c>
      <c r="E209" s="8" t="str">
        <f t="array" ref="E209">IF($A209="","",
INDEX(個体台帳!$D$2:$D$1000,
MATCH(1,
(個体台帳!$A$2:$A$1000=$A209)*
(個体台帳!$C$2:$C$1000="服"),
0)))</f>
        <v/>
      </c>
      <c r="F209" t="str">
        <f t="array" ref="F209">IF($A209="","",
IF(COUNTIFS(貸出記録!$B:$B,$A209,貸出記録!$E:$E,"")&gt;0,
"貸出中","在庫"))</f>
        <v/>
      </c>
      <c r="G209" t="s">
        <v>6</v>
      </c>
      <c r="H209" t="s">
        <v>6</v>
      </c>
      <c r="I209" t="s">
        <v>6</v>
      </c>
    </row>
    <row r="210" spans="1:9">
      <c r="A210" s="21" t="s">
        <v>6</v>
      </c>
      <c r="B210" t="str">
        <f t="array" ref="B210">IF(TRIM(A210)="","",
_xlfn.TEXTJOIN(" , ",TRUE,
IF((個体台帳!$A$2:$A$1000=TRIM(A210))*(個体台帳!$C$2:$C$1000="服"),
個体台帳!$B$2:$B$1000,
"")))</f>
        <v/>
      </c>
      <c r="C210" t="str">
        <f t="array" ref="C210">IF(TRIM(A210)="","",
_xlfn.TEXTJOIN(" , ",TRUE,
IF((個体台帳!$A$2:$A$1000=TRIM(A210))*(個体台帳!$C$2:$C$1000="小物1"),
個体台帳!$B$2:$B$1000,
"")))</f>
        <v/>
      </c>
      <c r="D210" t="str">
        <f t="array" ref="D210">IF(TRIM(A210)="","",
_xlfn.TEXTJOIN(" , ",TRUE,
IF((個体台帳!$A$2:$A$1000=TRIM(A210))*(個体台帳!$C$2:$C$1000="小物2"),
個体台帳!$B$2:$B$1000,
"")))</f>
        <v/>
      </c>
      <c r="E210" s="8" t="str">
        <f t="array" ref="E210">IF($A210="","",
INDEX(個体台帳!$D$2:$D$1000,
MATCH(1,
(個体台帳!$A$2:$A$1000=$A210)*
(個体台帳!$C$2:$C$1000="服"),
0)))</f>
        <v/>
      </c>
      <c r="F210" t="str">
        <f t="array" ref="F210">IF($A210="","",
IF(COUNTIFS(貸出記録!$B:$B,$A210,貸出記録!$E:$E,"")&gt;0,
"貸出中","在庫"))</f>
        <v/>
      </c>
      <c r="G210" t="s">
        <v>6</v>
      </c>
      <c r="H210" t="s">
        <v>6</v>
      </c>
      <c r="I210" t="s">
        <v>6</v>
      </c>
    </row>
    <row r="211" spans="1:9">
      <c r="A211" s="21" t="s">
        <v>6</v>
      </c>
      <c r="B211" t="str">
        <f t="array" ref="B211">IF(TRIM(A211)="","",
_xlfn.TEXTJOIN(" , ",TRUE,
IF((個体台帳!$A$2:$A$1000=TRIM(A211))*(個体台帳!$C$2:$C$1000="服"),
個体台帳!$B$2:$B$1000,
"")))</f>
        <v/>
      </c>
      <c r="C211" t="str">
        <f t="array" ref="C211">IF(TRIM(A211)="","",
_xlfn.TEXTJOIN(" , ",TRUE,
IF((個体台帳!$A$2:$A$1000=TRIM(A211))*(個体台帳!$C$2:$C$1000="小物1"),
個体台帳!$B$2:$B$1000,
"")))</f>
        <v/>
      </c>
      <c r="D211" t="str">
        <f t="array" ref="D211">IF(TRIM(A211)="","",
_xlfn.TEXTJOIN(" , ",TRUE,
IF((個体台帳!$A$2:$A$1000=TRIM(A211))*(個体台帳!$C$2:$C$1000="小物2"),
個体台帳!$B$2:$B$1000,
"")))</f>
        <v/>
      </c>
      <c r="E211" s="8" t="str">
        <f t="array" ref="E211">IF($A211="","",
INDEX(個体台帳!$D$2:$D$1000,
MATCH(1,
(個体台帳!$A$2:$A$1000=$A211)*
(個体台帳!$C$2:$C$1000="服"),
0)))</f>
        <v/>
      </c>
      <c r="F211" t="str">
        <f t="array" ref="F211">IF($A211="","",
IF(COUNTIFS(貸出記録!$B:$B,$A211,貸出記録!$E:$E,"")&gt;0,
"貸出中","在庫"))</f>
        <v/>
      </c>
      <c r="G211" t="s">
        <v>6</v>
      </c>
      <c r="H211" t="s">
        <v>6</v>
      </c>
      <c r="I211" t="s">
        <v>6</v>
      </c>
    </row>
    <row r="212" spans="1:9">
      <c r="A212" s="21" t="s">
        <v>6</v>
      </c>
      <c r="B212" t="str">
        <f t="array" ref="B212">IF(TRIM(A212)="","",
_xlfn.TEXTJOIN(" , ",TRUE,
IF((個体台帳!$A$2:$A$1000=TRIM(A212))*(個体台帳!$C$2:$C$1000="服"),
個体台帳!$B$2:$B$1000,
"")))</f>
        <v/>
      </c>
      <c r="C212" t="str">
        <f t="array" ref="C212">IF(TRIM(A212)="","",
_xlfn.TEXTJOIN(" , ",TRUE,
IF((個体台帳!$A$2:$A$1000=TRIM(A212))*(個体台帳!$C$2:$C$1000="小物1"),
個体台帳!$B$2:$B$1000,
"")))</f>
        <v/>
      </c>
      <c r="D212" t="str">
        <f t="array" ref="D212">IF(TRIM(A212)="","",
_xlfn.TEXTJOIN(" , ",TRUE,
IF((個体台帳!$A$2:$A$1000=TRIM(A212))*(個体台帳!$C$2:$C$1000="小物2"),
個体台帳!$B$2:$B$1000,
"")))</f>
        <v/>
      </c>
      <c r="E212" s="8" t="str">
        <f t="array" ref="E212">IF($A212="","",
INDEX(個体台帳!$D$2:$D$1000,
MATCH(1,
(個体台帳!$A$2:$A$1000=$A212)*
(個体台帳!$C$2:$C$1000="服"),
0)))</f>
        <v/>
      </c>
      <c r="F212" t="str">
        <f t="array" ref="F212">IF($A212="","",
IF(COUNTIFS(貸出記録!$B:$B,$A212,貸出記録!$E:$E,"")&gt;0,
"貸出中","在庫"))</f>
        <v/>
      </c>
      <c r="G212" t="s">
        <v>6</v>
      </c>
      <c r="H212" t="s">
        <v>6</v>
      </c>
      <c r="I212" t="s">
        <v>6</v>
      </c>
    </row>
    <row r="213" spans="1:9">
      <c r="A213" s="21" t="s">
        <v>6</v>
      </c>
      <c r="B213" t="str">
        <f t="array" ref="B213">IF(TRIM(A213)="","",
_xlfn.TEXTJOIN(" , ",TRUE,
IF((個体台帳!$A$2:$A$1000=TRIM(A213))*(個体台帳!$C$2:$C$1000="服"),
個体台帳!$B$2:$B$1000,
"")))</f>
        <v/>
      </c>
      <c r="C213" t="str">
        <f t="array" ref="C213">IF(TRIM(A213)="","",
_xlfn.TEXTJOIN(" , ",TRUE,
IF((個体台帳!$A$2:$A$1000=TRIM(A213))*(個体台帳!$C$2:$C$1000="小物1"),
個体台帳!$B$2:$B$1000,
"")))</f>
        <v/>
      </c>
      <c r="D213" t="str">
        <f t="array" ref="D213">IF(TRIM(A213)="","",
_xlfn.TEXTJOIN(" , ",TRUE,
IF((個体台帳!$A$2:$A$1000=TRIM(A213))*(個体台帳!$C$2:$C$1000="小物2"),
個体台帳!$B$2:$B$1000,
"")))</f>
        <v/>
      </c>
      <c r="E213" s="8" t="str">
        <f t="array" ref="E213">IF($A213="","",
INDEX(個体台帳!$D$2:$D$1000,
MATCH(1,
(個体台帳!$A$2:$A$1000=$A213)*
(個体台帳!$C$2:$C$1000="服"),
0)))</f>
        <v/>
      </c>
      <c r="F213" t="str">
        <f t="array" ref="F213">IF($A213="","",
IF(COUNTIFS(貸出記録!$B:$B,$A213,貸出記録!$E:$E,"")&gt;0,
"貸出中","在庫"))</f>
        <v/>
      </c>
      <c r="G213" t="s">
        <v>6</v>
      </c>
      <c r="H213" t="s">
        <v>6</v>
      </c>
      <c r="I213" t="s">
        <v>6</v>
      </c>
    </row>
    <row r="214" spans="1:9">
      <c r="A214" s="21" t="s">
        <v>6</v>
      </c>
      <c r="B214" t="str">
        <f t="array" ref="B214">IF(TRIM(A214)="","",
_xlfn.TEXTJOIN(" , ",TRUE,
IF((個体台帳!$A$2:$A$1000=TRIM(A214))*(個体台帳!$C$2:$C$1000="服"),
個体台帳!$B$2:$B$1000,
"")))</f>
        <v/>
      </c>
      <c r="C214" t="str">
        <f t="array" ref="C214">IF(TRIM(A214)="","",
_xlfn.TEXTJOIN(" , ",TRUE,
IF((個体台帳!$A$2:$A$1000=TRIM(A214))*(個体台帳!$C$2:$C$1000="小物1"),
個体台帳!$B$2:$B$1000,
"")))</f>
        <v/>
      </c>
      <c r="D214" t="str">
        <f t="array" ref="D214">IF(TRIM(A214)="","",
_xlfn.TEXTJOIN(" , ",TRUE,
IF((個体台帳!$A$2:$A$1000=TRIM(A214))*(個体台帳!$C$2:$C$1000="小物2"),
個体台帳!$B$2:$B$1000,
"")))</f>
        <v/>
      </c>
      <c r="E214" s="8" t="str">
        <f t="array" ref="E214">IF($A214="","",
INDEX(個体台帳!$D$2:$D$1000,
MATCH(1,
(個体台帳!$A$2:$A$1000=$A214)*
(個体台帳!$C$2:$C$1000="服"),
0)))</f>
        <v/>
      </c>
      <c r="F214" t="str">
        <f t="array" ref="F214">IF($A214="","",
IF(COUNTIFS(貸出記録!$B:$B,$A214,貸出記録!$E:$E,"")&gt;0,
"貸出中","在庫"))</f>
        <v/>
      </c>
      <c r="G214" t="s">
        <v>6</v>
      </c>
      <c r="H214" t="s">
        <v>6</v>
      </c>
      <c r="I214" t="s">
        <v>6</v>
      </c>
    </row>
    <row r="215" spans="1:9">
      <c r="A215" s="21" t="s">
        <v>6</v>
      </c>
      <c r="B215" t="str">
        <f t="array" ref="B215">IF(TRIM(A215)="","",
_xlfn.TEXTJOIN(" , ",TRUE,
IF((個体台帳!$A$2:$A$1000=TRIM(A215))*(個体台帳!$C$2:$C$1000="服"),
個体台帳!$B$2:$B$1000,
"")))</f>
        <v/>
      </c>
      <c r="C215" t="str">
        <f t="array" ref="C215">IF(TRIM(A215)="","",
_xlfn.TEXTJOIN(" , ",TRUE,
IF((個体台帳!$A$2:$A$1000=TRIM(A215))*(個体台帳!$C$2:$C$1000="小物1"),
個体台帳!$B$2:$B$1000,
"")))</f>
        <v/>
      </c>
      <c r="D215" t="str">
        <f t="array" ref="D215">IF(TRIM(A215)="","",
_xlfn.TEXTJOIN(" , ",TRUE,
IF((個体台帳!$A$2:$A$1000=TRIM(A215))*(個体台帳!$C$2:$C$1000="小物2"),
個体台帳!$B$2:$B$1000,
"")))</f>
        <v/>
      </c>
      <c r="E215" s="8" t="str">
        <f t="array" ref="E215">IF($A215="","",
INDEX(個体台帳!$D$2:$D$1000,
MATCH(1,
(個体台帳!$A$2:$A$1000=$A215)*
(個体台帳!$C$2:$C$1000="服"),
0)))</f>
        <v/>
      </c>
      <c r="F215" t="str">
        <f t="array" ref="F215">IF($A215="","",
IF(COUNTIFS(貸出記録!$B:$B,$A215,貸出記録!$E:$E,"")&gt;0,
"貸出中","在庫"))</f>
        <v/>
      </c>
      <c r="G215" t="s">
        <v>6</v>
      </c>
      <c r="H215" t="s">
        <v>6</v>
      </c>
      <c r="I215" t="s">
        <v>6</v>
      </c>
    </row>
    <row r="216" spans="1:9">
      <c r="A216" s="21" t="s">
        <v>6</v>
      </c>
      <c r="B216" t="str">
        <f t="array" ref="B216">IF(TRIM(A216)="","",
_xlfn.TEXTJOIN(" , ",TRUE,
IF((個体台帳!$A$2:$A$1000=TRIM(A216))*(個体台帳!$C$2:$C$1000="服"),
個体台帳!$B$2:$B$1000,
"")))</f>
        <v/>
      </c>
      <c r="C216" t="str">
        <f t="array" ref="C216">IF(TRIM(A216)="","",
_xlfn.TEXTJOIN(" , ",TRUE,
IF((個体台帳!$A$2:$A$1000=TRIM(A216))*(個体台帳!$C$2:$C$1000="小物1"),
個体台帳!$B$2:$B$1000,
"")))</f>
        <v/>
      </c>
      <c r="D216" t="str">
        <f t="array" ref="D216">IF(TRIM(A216)="","",
_xlfn.TEXTJOIN(" , ",TRUE,
IF((個体台帳!$A$2:$A$1000=TRIM(A216))*(個体台帳!$C$2:$C$1000="小物2"),
個体台帳!$B$2:$B$1000,
"")))</f>
        <v/>
      </c>
      <c r="E216" s="8" t="str">
        <f t="array" ref="E216">IF($A216="","",
INDEX(個体台帳!$D$2:$D$1000,
MATCH(1,
(個体台帳!$A$2:$A$1000=$A216)*
(個体台帳!$C$2:$C$1000="服"),
0)))</f>
        <v/>
      </c>
      <c r="F216" t="str">
        <f t="array" ref="F216">IF($A216="","",
IF(COUNTIFS(貸出記録!$B:$B,$A216,貸出記録!$E:$E,"")&gt;0,
"貸出中","在庫"))</f>
        <v/>
      </c>
      <c r="G216" t="s">
        <v>6</v>
      </c>
      <c r="H216" t="s">
        <v>6</v>
      </c>
      <c r="I216" t="s">
        <v>6</v>
      </c>
    </row>
    <row r="217" spans="1:9">
      <c r="A217" s="21" t="s">
        <v>6</v>
      </c>
      <c r="B217" t="str">
        <f t="array" ref="B217">IF(TRIM(A217)="","",
_xlfn.TEXTJOIN(" , ",TRUE,
IF((個体台帳!$A$2:$A$1000=TRIM(A217))*(個体台帳!$C$2:$C$1000="服"),
個体台帳!$B$2:$B$1000,
"")))</f>
        <v/>
      </c>
      <c r="C217" t="str">
        <f t="array" ref="C217">IF(TRIM(A217)="","",
_xlfn.TEXTJOIN(" , ",TRUE,
IF((個体台帳!$A$2:$A$1000=TRIM(A217))*(個体台帳!$C$2:$C$1000="小物1"),
個体台帳!$B$2:$B$1000,
"")))</f>
        <v/>
      </c>
      <c r="D217" t="str">
        <f t="array" ref="D217">IF(TRIM(A217)="","",
_xlfn.TEXTJOIN(" , ",TRUE,
IF((個体台帳!$A$2:$A$1000=TRIM(A217))*(個体台帳!$C$2:$C$1000="小物2"),
個体台帳!$B$2:$B$1000,
"")))</f>
        <v/>
      </c>
      <c r="E217" s="8" t="str">
        <f t="array" ref="E217">IF($A217="","",
INDEX(個体台帳!$D$2:$D$1000,
MATCH(1,
(個体台帳!$A$2:$A$1000=$A217)*
(個体台帳!$C$2:$C$1000="服"),
0)))</f>
        <v/>
      </c>
      <c r="F217" t="str">
        <f t="array" ref="F217">IF($A217="","",
IF(COUNTIFS(貸出記録!$B:$B,$A217,貸出記録!$E:$E,"")&gt;0,
"貸出中","在庫"))</f>
        <v/>
      </c>
      <c r="G217" t="s">
        <v>6</v>
      </c>
      <c r="H217" t="s">
        <v>6</v>
      </c>
      <c r="I217" t="s">
        <v>6</v>
      </c>
    </row>
    <row r="218" spans="1:9">
      <c r="A218" s="21" t="s">
        <v>6</v>
      </c>
      <c r="B218" t="str">
        <f t="array" ref="B218">IF(TRIM(A218)="","",
_xlfn.TEXTJOIN(" , ",TRUE,
IF((個体台帳!$A$2:$A$1000=TRIM(A218))*(個体台帳!$C$2:$C$1000="服"),
個体台帳!$B$2:$B$1000,
"")))</f>
        <v/>
      </c>
      <c r="C218" t="str">
        <f t="array" ref="C218">IF(TRIM(A218)="","",
_xlfn.TEXTJOIN(" , ",TRUE,
IF((個体台帳!$A$2:$A$1000=TRIM(A218))*(個体台帳!$C$2:$C$1000="小物1"),
個体台帳!$B$2:$B$1000,
"")))</f>
        <v/>
      </c>
      <c r="D218" t="str">
        <f t="array" ref="D218">IF(TRIM(A218)="","",
_xlfn.TEXTJOIN(" , ",TRUE,
IF((個体台帳!$A$2:$A$1000=TRIM(A218))*(個体台帳!$C$2:$C$1000="小物2"),
個体台帳!$B$2:$B$1000,
"")))</f>
        <v/>
      </c>
      <c r="E218" s="8" t="str">
        <f t="array" ref="E218">IF($A218="","",
INDEX(個体台帳!$D$2:$D$1000,
MATCH(1,
(個体台帳!$A$2:$A$1000=$A218)*
(個体台帳!$C$2:$C$1000="服"),
0)))</f>
        <v/>
      </c>
      <c r="F218" t="str">
        <f t="array" ref="F218">IF($A218="","",
IF(COUNTIFS(貸出記録!$B:$B,$A218,貸出記録!$E:$E,"")&gt;0,
"貸出中","在庫"))</f>
        <v/>
      </c>
      <c r="G218" t="s">
        <v>6</v>
      </c>
      <c r="H218" t="s">
        <v>6</v>
      </c>
      <c r="I218" t="s">
        <v>6</v>
      </c>
    </row>
    <row r="219" spans="1:9">
      <c r="A219" s="21" t="s">
        <v>6</v>
      </c>
      <c r="B219" t="str">
        <f t="array" ref="B219">IF(TRIM(A219)="","",
_xlfn.TEXTJOIN(" , ",TRUE,
IF((個体台帳!$A$2:$A$1000=TRIM(A219))*(個体台帳!$C$2:$C$1000="服"),
個体台帳!$B$2:$B$1000,
"")))</f>
        <v/>
      </c>
      <c r="C219" t="str">
        <f t="array" ref="C219">IF(TRIM(A219)="","",
_xlfn.TEXTJOIN(" , ",TRUE,
IF((個体台帳!$A$2:$A$1000=TRIM(A219))*(個体台帳!$C$2:$C$1000="小物1"),
個体台帳!$B$2:$B$1000,
"")))</f>
        <v/>
      </c>
      <c r="D219" t="str">
        <f t="array" ref="D219">IF(TRIM(A219)="","",
_xlfn.TEXTJOIN(" , ",TRUE,
IF((個体台帳!$A$2:$A$1000=TRIM(A219))*(個体台帳!$C$2:$C$1000="小物2"),
個体台帳!$B$2:$B$1000,
"")))</f>
        <v/>
      </c>
      <c r="E219" s="8" t="str">
        <f t="array" ref="E219">IF($A219="","",
INDEX(個体台帳!$D$2:$D$1000,
MATCH(1,
(個体台帳!$A$2:$A$1000=$A219)*
(個体台帳!$C$2:$C$1000="服"),
0)))</f>
        <v/>
      </c>
      <c r="F219" t="str">
        <f t="array" ref="F219">IF($A219="","",
IF(COUNTIFS(貸出記録!$B:$B,$A219,貸出記録!$E:$E,"")&gt;0,
"貸出中","在庫"))</f>
        <v/>
      </c>
      <c r="G219" t="s">
        <v>6</v>
      </c>
      <c r="H219" t="s">
        <v>6</v>
      </c>
      <c r="I219" t="s">
        <v>6</v>
      </c>
    </row>
    <row r="220" spans="1:9">
      <c r="A220" s="21" t="s">
        <v>6</v>
      </c>
      <c r="B220" t="str">
        <f t="array" ref="B220">IF(TRIM(A220)="","",
_xlfn.TEXTJOIN(" , ",TRUE,
IF((個体台帳!$A$2:$A$1000=TRIM(A220))*(個体台帳!$C$2:$C$1000="服"),
個体台帳!$B$2:$B$1000,
"")))</f>
        <v/>
      </c>
      <c r="C220" t="str">
        <f t="array" ref="C220">IF(TRIM(A220)="","",
_xlfn.TEXTJOIN(" , ",TRUE,
IF((個体台帳!$A$2:$A$1000=TRIM(A220))*(個体台帳!$C$2:$C$1000="小物1"),
個体台帳!$B$2:$B$1000,
"")))</f>
        <v/>
      </c>
      <c r="D220" t="str">
        <f t="array" ref="D220">IF(TRIM(A220)="","",
_xlfn.TEXTJOIN(" , ",TRUE,
IF((個体台帳!$A$2:$A$1000=TRIM(A220))*(個体台帳!$C$2:$C$1000="小物2"),
個体台帳!$B$2:$B$1000,
"")))</f>
        <v/>
      </c>
      <c r="E220" s="8" t="str">
        <f t="array" ref="E220">IF($A220="","",
INDEX(個体台帳!$D$2:$D$1000,
MATCH(1,
(個体台帳!$A$2:$A$1000=$A220)*
(個体台帳!$C$2:$C$1000="服"),
0)))</f>
        <v/>
      </c>
      <c r="F220" t="str">
        <f t="array" ref="F220">IF($A220="","",
IF(COUNTIFS(貸出記録!$B:$B,$A220,貸出記録!$E:$E,"")&gt;0,
"貸出中","在庫"))</f>
        <v/>
      </c>
      <c r="G220" t="s">
        <v>6</v>
      </c>
      <c r="H220" t="s">
        <v>6</v>
      </c>
      <c r="I220" t="s">
        <v>6</v>
      </c>
    </row>
    <row r="221" spans="1:9">
      <c r="A221" s="21" t="s">
        <v>6</v>
      </c>
      <c r="B221" t="str">
        <f t="array" ref="B221">IF(TRIM(A221)="","",
_xlfn.TEXTJOIN(" , ",TRUE,
IF((個体台帳!$A$2:$A$1000=TRIM(A221))*(個体台帳!$C$2:$C$1000="服"),
個体台帳!$B$2:$B$1000,
"")))</f>
        <v/>
      </c>
      <c r="C221" t="str">
        <f t="array" ref="C221">IF(TRIM(A221)="","",
_xlfn.TEXTJOIN(" , ",TRUE,
IF((個体台帳!$A$2:$A$1000=TRIM(A221))*(個体台帳!$C$2:$C$1000="小物1"),
個体台帳!$B$2:$B$1000,
"")))</f>
        <v/>
      </c>
      <c r="D221" t="str">
        <f t="array" ref="D221">IF(TRIM(A221)="","",
_xlfn.TEXTJOIN(" , ",TRUE,
IF((個体台帳!$A$2:$A$1000=TRIM(A221))*(個体台帳!$C$2:$C$1000="小物2"),
個体台帳!$B$2:$B$1000,
"")))</f>
        <v/>
      </c>
      <c r="E221" s="8" t="str">
        <f t="array" ref="E221">IF($A221="","",
INDEX(個体台帳!$D$2:$D$1000,
MATCH(1,
(個体台帳!$A$2:$A$1000=$A221)*
(個体台帳!$C$2:$C$1000="服"),
0)))</f>
        <v/>
      </c>
      <c r="F221" t="str">
        <f t="array" ref="F221">IF($A221="","",
IF(COUNTIFS(貸出記録!$B:$B,$A221,貸出記録!$E:$E,"")&gt;0,
"貸出中","在庫"))</f>
        <v/>
      </c>
      <c r="G221" t="s">
        <v>6</v>
      </c>
      <c r="H221" t="s">
        <v>6</v>
      </c>
      <c r="I221" t="s">
        <v>6</v>
      </c>
    </row>
    <row r="222" spans="1:9">
      <c r="A222" s="21" t="s">
        <v>6</v>
      </c>
      <c r="B222" t="str">
        <f t="array" ref="B222">IF(TRIM(A222)="","",
_xlfn.TEXTJOIN(" , ",TRUE,
IF((個体台帳!$A$2:$A$1000=TRIM(A222))*(個体台帳!$C$2:$C$1000="服"),
個体台帳!$B$2:$B$1000,
"")))</f>
        <v/>
      </c>
      <c r="C222" t="str">
        <f t="array" ref="C222">IF(TRIM(A222)="","",
_xlfn.TEXTJOIN(" , ",TRUE,
IF((個体台帳!$A$2:$A$1000=TRIM(A222))*(個体台帳!$C$2:$C$1000="小物1"),
個体台帳!$B$2:$B$1000,
"")))</f>
        <v/>
      </c>
      <c r="D222" t="str">
        <f t="array" ref="D222">IF(TRIM(A222)="","",
_xlfn.TEXTJOIN(" , ",TRUE,
IF((個体台帳!$A$2:$A$1000=TRIM(A222))*(個体台帳!$C$2:$C$1000="小物2"),
個体台帳!$B$2:$B$1000,
"")))</f>
        <v/>
      </c>
      <c r="E222" s="8" t="str">
        <f t="array" ref="E222">IF($A222="","",
INDEX(個体台帳!$D$2:$D$1000,
MATCH(1,
(個体台帳!$A$2:$A$1000=$A222)*
(個体台帳!$C$2:$C$1000="服"),
0)))</f>
        <v/>
      </c>
      <c r="F222" t="str">
        <f t="array" ref="F222">IF($A222="","",
IF(COUNTIFS(貸出記録!$B:$B,$A222,貸出記録!$E:$E,"")&gt;0,
"貸出中","在庫"))</f>
        <v/>
      </c>
      <c r="G222" t="s">
        <v>6</v>
      </c>
      <c r="H222" t="s">
        <v>6</v>
      </c>
      <c r="I222" t="s">
        <v>6</v>
      </c>
    </row>
    <row r="223" spans="1:9">
      <c r="A223" s="21" t="s">
        <v>6</v>
      </c>
      <c r="B223" t="str">
        <f t="array" ref="B223">IF(TRIM(A223)="","",
_xlfn.TEXTJOIN(" , ",TRUE,
IF((個体台帳!$A$2:$A$1000=TRIM(A223))*(個体台帳!$C$2:$C$1000="服"),
個体台帳!$B$2:$B$1000,
"")))</f>
        <v/>
      </c>
      <c r="C223" t="str">
        <f t="array" ref="C223">IF(TRIM(A223)="","",
_xlfn.TEXTJOIN(" , ",TRUE,
IF((個体台帳!$A$2:$A$1000=TRIM(A223))*(個体台帳!$C$2:$C$1000="小物1"),
個体台帳!$B$2:$B$1000,
"")))</f>
        <v/>
      </c>
      <c r="D223" t="str">
        <f t="array" ref="D223">IF(TRIM(A223)="","",
_xlfn.TEXTJOIN(" , ",TRUE,
IF((個体台帳!$A$2:$A$1000=TRIM(A223))*(個体台帳!$C$2:$C$1000="小物2"),
個体台帳!$B$2:$B$1000,
"")))</f>
        <v/>
      </c>
      <c r="E223" s="8" t="str">
        <f t="array" ref="E223">IF($A223="","",
INDEX(個体台帳!$D$2:$D$1000,
MATCH(1,
(個体台帳!$A$2:$A$1000=$A223)*
(個体台帳!$C$2:$C$1000="服"),
0)))</f>
        <v/>
      </c>
      <c r="F223" t="str">
        <f t="array" ref="F223">IF($A223="","",
IF(COUNTIFS(貸出記録!$B:$B,$A223,貸出記録!$E:$E,"")&gt;0,
"貸出中","在庫"))</f>
        <v/>
      </c>
      <c r="G223" t="s">
        <v>6</v>
      </c>
      <c r="H223" t="s">
        <v>6</v>
      </c>
      <c r="I223" t="s">
        <v>6</v>
      </c>
    </row>
    <row r="224" spans="1:9">
      <c r="A224" s="21" t="s">
        <v>6</v>
      </c>
      <c r="B224" t="str">
        <f t="array" ref="B224">IF(TRIM(A224)="","",
_xlfn.TEXTJOIN(" , ",TRUE,
IF((個体台帳!$A$2:$A$1000=TRIM(A224))*(個体台帳!$C$2:$C$1000="服"),
個体台帳!$B$2:$B$1000,
"")))</f>
        <v/>
      </c>
      <c r="C224" t="str">
        <f t="array" ref="C224">IF(TRIM(A224)="","",
_xlfn.TEXTJOIN(" , ",TRUE,
IF((個体台帳!$A$2:$A$1000=TRIM(A224))*(個体台帳!$C$2:$C$1000="小物1"),
個体台帳!$B$2:$B$1000,
"")))</f>
        <v/>
      </c>
      <c r="D224" t="str">
        <f t="array" ref="D224">IF(TRIM(A224)="","",
_xlfn.TEXTJOIN(" , ",TRUE,
IF((個体台帳!$A$2:$A$1000=TRIM(A224))*(個体台帳!$C$2:$C$1000="小物2"),
個体台帳!$B$2:$B$1000,
"")))</f>
        <v/>
      </c>
      <c r="E224" s="8" t="str">
        <f t="array" ref="E224">IF($A224="","",
INDEX(個体台帳!$D$2:$D$1000,
MATCH(1,
(個体台帳!$A$2:$A$1000=$A224)*
(個体台帳!$C$2:$C$1000="服"),
0)))</f>
        <v/>
      </c>
      <c r="F224" t="str">
        <f t="array" ref="F224">IF($A224="","",
IF(COUNTIFS(貸出記録!$B:$B,$A224,貸出記録!$E:$E,"")&gt;0,
"貸出中","在庫"))</f>
        <v/>
      </c>
      <c r="G224" t="s">
        <v>6</v>
      </c>
      <c r="H224" t="s">
        <v>6</v>
      </c>
      <c r="I224" t="s">
        <v>6</v>
      </c>
    </row>
    <row r="225" spans="1:9">
      <c r="A225" s="21" t="s">
        <v>6</v>
      </c>
      <c r="B225" t="str">
        <f t="array" ref="B225">IF(TRIM(A225)="","",
_xlfn.TEXTJOIN(" , ",TRUE,
IF((個体台帳!$A$2:$A$1000=TRIM(A225))*(個体台帳!$C$2:$C$1000="服"),
個体台帳!$B$2:$B$1000,
"")))</f>
        <v/>
      </c>
      <c r="C225" t="str">
        <f t="array" ref="C225">IF(TRIM(A225)="","",
_xlfn.TEXTJOIN(" , ",TRUE,
IF((個体台帳!$A$2:$A$1000=TRIM(A225))*(個体台帳!$C$2:$C$1000="小物1"),
個体台帳!$B$2:$B$1000,
"")))</f>
        <v/>
      </c>
      <c r="D225" t="str">
        <f t="array" ref="D225">IF(TRIM(A225)="","",
_xlfn.TEXTJOIN(" , ",TRUE,
IF((個体台帳!$A$2:$A$1000=TRIM(A225))*(個体台帳!$C$2:$C$1000="小物2"),
個体台帳!$B$2:$B$1000,
"")))</f>
        <v/>
      </c>
      <c r="E225" s="8" t="str">
        <f t="array" ref="E225">IF($A225="","",
INDEX(個体台帳!$D$2:$D$1000,
MATCH(1,
(個体台帳!$A$2:$A$1000=$A225)*
(個体台帳!$C$2:$C$1000="服"),
0)))</f>
        <v/>
      </c>
      <c r="F225" t="str">
        <f t="array" ref="F225">IF($A225="","",
IF(COUNTIFS(貸出記録!$B:$B,$A225,貸出記録!$E:$E,"")&gt;0,
"貸出中","在庫"))</f>
        <v/>
      </c>
      <c r="G225" t="s">
        <v>6</v>
      </c>
      <c r="H225" t="s">
        <v>6</v>
      </c>
      <c r="I225" t="s">
        <v>6</v>
      </c>
    </row>
    <row r="226" spans="1:9">
      <c r="A226" s="21" t="s">
        <v>6</v>
      </c>
      <c r="B226" t="str">
        <f t="array" ref="B226">IF(TRIM(A226)="","",
_xlfn.TEXTJOIN(" , ",TRUE,
IF((個体台帳!$A$2:$A$1000=TRIM(A226))*(個体台帳!$C$2:$C$1000="服"),
個体台帳!$B$2:$B$1000,
"")))</f>
        <v/>
      </c>
      <c r="C226" t="str">
        <f t="array" ref="C226">IF(TRIM(A226)="","",
_xlfn.TEXTJOIN(" , ",TRUE,
IF((個体台帳!$A$2:$A$1000=TRIM(A226))*(個体台帳!$C$2:$C$1000="小物1"),
個体台帳!$B$2:$B$1000,
"")))</f>
        <v/>
      </c>
      <c r="D226" t="str">
        <f t="array" ref="D226">IF(TRIM(A226)="","",
_xlfn.TEXTJOIN(" , ",TRUE,
IF((個体台帳!$A$2:$A$1000=TRIM(A226))*(個体台帳!$C$2:$C$1000="小物2"),
個体台帳!$B$2:$B$1000,
"")))</f>
        <v/>
      </c>
      <c r="E226" s="8" t="str">
        <f t="array" ref="E226">IF($A226="","",
INDEX(個体台帳!$D$2:$D$1000,
MATCH(1,
(個体台帳!$A$2:$A$1000=$A226)*
(個体台帳!$C$2:$C$1000="服"),
0)))</f>
        <v/>
      </c>
      <c r="F226" t="str">
        <f t="array" ref="F226">IF($A226="","",
IF(COUNTIFS(貸出記録!$B:$B,$A226,貸出記録!$E:$E,"")&gt;0,
"貸出中","在庫"))</f>
        <v/>
      </c>
      <c r="G226" t="s">
        <v>6</v>
      </c>
      <c r="H226" t="s">
        <v>6</v>
      </c>
      <c r="I226" t="s">
        <v>6</v>
      </c>
    </row>
    <row r="227" spans="1:9">
      <c r="A227" s="21" t="s">
        <v>6</v>
      </c>
      <c r="B227" t="str">
        <f t="array" ref="B227">IF(TRIM(A227)="","",
_xlfn.TEXTJOIN(" , ",TRUE,
IF((個体台帳!$A$2:$A$1000=TRIM(A227))*(個体台帳!$C$2:$C$1000="服"),
個体台帳!$B$2:$B$1000,
"")))</f>
        <v/>
      </c>
      <c r="C227" t="str">
        <f t="array" ref="C227">IF(TRIM(A227)="","",
_xlfn.TEXTJOIN(" , ",TRUE,
IF((個体台帳!$A$2:$A$1000=TRIM(A227))*(個体台帳!$C$2:$C$1000="小物1"),
個体台帳!$B$2:$B$1000,
"")))</f>
        <v/>
      </c>
      <c r="D227" t="str">
        <f t="array" ref="D227">IF(TRIM(A227)="","",
_xlfn.TEXTJOIN(" , ",TRUE,
IF((個体台帳!$A$2:$A$1000=TRIM(A227))*(個体台帳!$C$2:$C$1000="小物2"),
個体台帳!$B$2:$B$1000,
"")))</f>
        <v/>
      </c>
      <c r="E227" s="8" t="str">
        <f t="array" ref="E227">IF($A227="","",
INDEX(個体台帳!$D$2:$D$1000,
MATCH(1,
(個体台帳!$A$2:$A$1000=$A227)*
(個体台帳!$C$2:$C$1000="服"),
0)))</f>
        <v/>
      </c>
      <c r="F227" t="str">
        <f t="array" ref="F227">IF($A227="","",
IF(COUNTIFS(貸出記録!$B:$B,$A227,貸出記録!$E:$E,"")&gt;0,
"貸出中","在庫"))</f>
        <v/>
      </c>
      <c r="G227" t="s">
        <v>6</v>
      </c>
      <c r="H227" t="s">
        <v>6</v>
      </c>
      <c r="I227" t="s">
        <v>6</v>
      </c>
    </row>
    <row r="228" spans="1:9">
      <c r="A228" s="21" t="s">
        <v>6</v>
      </c>
      <c r="B228" t="str">
        <f t="array" ref="B228">IF(TRIM(A228)="","",
_xlfn.TEXTJOIN(" , ",TRUE,
IF((個体台帳!$A$2:$A$1000=TRIM(A228))*(個体台帳!$C$2:$C$1000="服"),
個体台帳!$B$2:$B$1000,
"")))</f>
        <v/>
      </c>
      <c r="C228" t="str">
        <f t="array" ref="C228">IF(TRIM(A228)="","",
_xlfn.TEXTJOIN(" , ",TRUE,
IF((個体台帳!$A$2:$A$1000=TRIM(A228))*(個体台帳!$C$2:$C$1000="小物1"),
個体台帳!$B$2:$B$1000,
"")))</f>
        <v/>
      </c>
      <c r="D228" t="str">
        <f t="array" ref="D228">IF(TRIM(A228)="","",
_xlfn.TEXTJOIN(" , ",TRUE,
IF((個体台帳!$A$2:$A$1000=TRIM(A228))*(個体台帳!$C$2:$C$1000="小物2"),
個体台帳!$B$2:$B$1000,
"")))</f>
        <v/>
      </c>
      <c r="E228" s="8" t="str">
        <f t="array" ref="E228">IF($A228="","",
INDEX(個体台帳!$D$2:$D$1000,
MATCH(1,
(個体台帳!$A$2:$A$1000=$A228)*
(個体台帳!$C$2:$C$1000="服"),
0)))</f>
        <v/>
      </c>
      <c r="F228" t="str">
        <f t="array" ref="F228">IF($A228="","",
IF(COUNTIFS(貸出記録!$B:$B,$A228,貸出記録!$E:$E,"")&gt;0,
"貸出中","在庫"))</f>
        <v/>
      </c>
      <c r="G228" t="s">
        <v>6</v>
      </c>
      <c r="H228" t="s">
        <v>6</v>
      </c>
      <c r="I228" t="s">
        <v>6</v>
      </c>
    </row>
    <row r="229" spans="1:9">
      <c r="A229" s="21" t="s">
        <v>6</v>
      </c>
      <c r="B229" t="str">
        <f t="array" ref="B229">IF(TRIM(A229)="","",
_xlfn.TEXTJOIN(" , ",TRUE,
IF((個体台帳!$A$2:$A$1000=TRIM(A229))*(個体台帳!$C$2:$C$1000="服"),
個体台帳!$B$2:$B$1000,
"")))</f>
        <v/>
      </c>
      <c r="C229" t="str">
        <f t="array" ref="C229">IF(TRIM(A229)="","",
_xlfn.TEXTJOIN(" , ",TRUE,
IF((個体台帳!$A$2:$A$1000=TRIM(A229))*(個体台帳!$C$2:$C$1000="小物1"),
個体台帳!$B$2:$B$1000,
"")))</f>
        <v/>
      </c>
      <c r="D229" t="str">
        <f t="array" ref="D229">IF(TRIM(A229)="","",
_xlfn.TEXTJOIN(" , ",TRUE,
IF((個体台帳!$A$2:$A$1000=TRIM(A229))*(個体台帳!$C$2:$C$1000="小物2"),
個体台帳!$B$2:$B$1000,
"")))</f>
        <v/>
      </c>
      <c r="E229" s="8" t="str">
        <f t="array" ref="E229">IF($A229="","",
INDEX(個体台帳!$D$2:$D$1000,
MATCH(1,
(個体台帳!$A$2:$A$1000=$A229)*
(個体台帳!$C$2:$C$1000="服"),
0)))</f>
        <v/>
      </c>
      <c r="F229" t="str">
        <f t="array" ref="F229">IF($A229="","",
IF(COUNTIFS(貸出記録!$B:$B,$A229,貸出記録!$E:$E,"")&gt;0,
"貸出中","在庫"))</f>
        <v/>
      </c>
      <c r="G229" t="s">
        <v>6</v>
      </c>
      <c r="H229" t="s">
        <v>6</v>
      </c>
      <c r="I229" t="s">
        <v>6</v>
      </c>
    </row>
    <row r="230" spans="1:9">
      <c r="A230" s="21" t="s">
        <v>6</v>
      </c>
      <c r="B230" t="str">
        <f t="array" ref="B230">IF(TRIM(A230)="","",
_xlfn.TEXTJOIN(" , ",TRUE,
IF((個体台帳!$A$2:$A$1000=TRIM(A230))*(個体台帳!$C$2:$C$1000="服"),
個体台帳!$B$2:$B$1000,
"")))</f>
        <v/>
      </c>
      <c r="C230" t="str">
        <f t="array" ref="C230">IF(TRIM(A230)="","",
_xlfn.TEXTJOIN(" , ",TRUE,
IF((個体台帳!$A$2:$A$1000=TRIM(A230))*(個体台帳!$C$2:$C$1000="小物1"),
個体台帳!$B$2:$B$1000,
"")))</f>
        <v/>
      </c>
      <c r="D230" t="str">
        <f t="array" ref="D230">IF(TRIM(A230)="","",
_xlfn.TEXTJOIN(" , ",TRUE,
IF((個体台帳!$A$2:$A$1000=TRIM(A230))*(個体台帳!$C$2:$C$1000="小物2"),
個体台帳!$B$2:$B$1000,
"")))</f>
        <v/>
      </c>
      <c r="E230" s="8" t="str">
        <f t="array" ref="E230">IF($A230="","",
INDEX(個体台帳!$D$2:$D$1000,
MATCH(1,
(個体台帳!$A$2:$A$1000=$A230)*
(個体台帳!$C$2:$C$1000="服"),
0)))</f>
        <v/>
      </c>
      <c r="F230" t="str">
        <f t="array" ref="F230">IF($A230="","",
IF(COUNTIFS(貸出記録!$B:$B,$A230,貸出記録!$E:$E,"")&gt;0,
"貸出中","在庫"))</f>
        <v/>
      </c>
      <c r="G230" t="s">
        <v>6</v>
      </c>
      <c r="H230" t="s">
        <v>6</v>
      </c>
      <c r="I230" t="s">
        <v>6</v>
      </c>
    </row>
    <row r="231" spans="1:9">
      <c r="A231" s="21" t="s">
        <v>6</v>
      </c>
      <c r="B231" t="str">
        <f t="array" ref="B231">IF(TRIM(A231)="","",
_xlfn.TEXTJOIN(" , ",TRUE,
IF((個体台帳!$A$2:$A$1000=TRIM(A231))*(個体台帳!$C$2:$C$1000="服"),
個体台帳!$B$2:$B$1000,
"")))</f>
        <v/>
      </c>
      <c r="C231" t="str">
        <f t="array" ref="C231">IF(TRIM(A231)="","",
_xlfn.TEXTJOIN(" , ",TRUE,
IF((個体台帳!$A$2:$A$1000=TRIM(A231))*(個体台帳!$C$2:$C$1000="小物1"),
個体台帳!$B$2:$B$1000,
"")))</f>
        <v/>
      </c>
      <c r="D231" t="str">
        <f t="array" ref="D231">IF(TRIM(A231)="","",
_xlfn.TEXTJOIN(" , ",TRUE,
IF((個体台帳!$A$2:$A$1000=TRIM(A231))*(個体台帳!$C$2:$C$1000="小物2"),
個体台帳!$B$2:$B$1000,
"")))</f>
        <v/>
      </c>
      <c r="E231" s="8" t="str">
        <f t="array" ref="E231">IF($A231="","",
INDEX(個体台帳!$D$2:$D$1000,
MATCH(1,
(個体台帳!$A$2:$A$1000=$A231)*
(個体台帳!$C$2:$C$1000="服"),
0)))</f>
        <v/>
      </c>
      <c r="F231" t="str">
        <f t="array" ref="F231">IF($A231="","",
IF(COUNTIFS(貸出記録!$B:$B,$A231,貸出記録!$E:$E,"")&gt;0,
"貸出中","在庫"))</f>
        <v/>
      </c>
      <c r="G231" t="s">
        <v>6</v>
      </c>
      <c r="H231" t="s">
        <v>6</v>
      </c>
      <c r="I231" t="s">
        <v>6</v>
      </c>
    </row>
    <row r="232" spans="1:9">
      <c r="A232" s="21" t="s">
        <v>6</v>
      </c>
      <c r="B232" t="str">
        <f t="array" ref="B232">IF(TRIM(A232)="","",
_xlfn.TEXTJOIN(" , ",TRUE,
IF((個体台帳!$A$2:$A$1000=TRIM(A232))*(個体台帳!$C$2:$C$1000="服"),
個体台帳!$B$2:$B$1000,
"")))</f>
        <v/>
      </c>
      <c r="C232" t="str">
        <f t="array" ref="C232">IF(TRIM(A232)="","",
_xlfn.TEXTJOIN(" , ",TRUE,
IF((個体台帳!$A$2:$A$1000=TRIM(A232))*(個体台帳!$C$2:$C$1000="小物1"),
個体台帳!$B$2:$B$1000,
"")))</f>
        <v/>
      </c>
      <c r="D232" t="str">
        <f t="array" ref="D232">IF(TRIM(A232)="","",
_xlfn.TEXTJOIN(" , ",TRUE,
IF((個体台帳!$A$2:$A$1000=TRIM(A232))*(個体台帳!$C$2:$C$1000="小物2"),
個体台帳!$B$2:$B$1000,
"")))</f>
        <v/>
      </c>
      <c r="E232" s="8" t="str">
        <f t="array" ref="E232">IF($A232="","",
INDEX(個体台帳!$D$2:$D$1000,
MATCH(1,
(個体台帳!$A$2:$A$1000=$A232)*
(個体台帳!$C$2:$C$1000="服"),
0)))</f>
        <v/>
      </c>
      <c r="F232" t="str">
        <f t="array" ref="F232">IF($A232="","",
IF(COUNTIFS(貸出記録!$B:$B,$A232,貸出記録!$E:$E,"")&gt;0,
"貸出中","在庫"))</f>
        <v/>
      </c>
      <c r="G232" t="s">
        <v>6</v>
      </c>
      <c r="H232" t="s">
        <v>6</v>
      </c>
      <c r="I232" t="s">
        <v>6</v>
      </c>
    </row>
    <row r="233" spans="1:9">
      <c r="A233" s="21" t="s">
        <v>6</v>
      </c>
      <c r="B233" t="str">
        <f t="array" ref="B233">IF(TRIM(A233)="","",
_xlfn.TEXTJOIN(" , ",TRUE,
IF((個体台帳!$A$2:$A$1000=TRIM(A233))*(個体台帳!$C$2:$C$1000="服"),
個体台帳!$B$2:$B$1000,
"")))</f>
        <v/>
      </c>
      <c r="C233" t="str">
        <f t="array" ref="C233">IF(TRIM(A233)="","",
_xlfn.TEXTJOIN(" , ",TRUE,
IF((個体台帳!$A$2:$A$1000=TRIM(A233))*(個体台帳!$C$2:$C$1000="小物1"),
個体台帳!$B$2:$B$1000,
"")))</f>
        <v/>
      </c>
      <c r="D233" t="str">
        <f t="array" ref="D233">IF(TRIM(A233)="","",
_xlfn.TEXTJOIN(" , ",TRUE,
IF((個体台帳!$A$2:$A$1000=TRIM(A233))*(個体台帳!$C$2:$C$1000="小物2"),
個体台帳!$B$2:$B$1000,
"")))</f>
        <v/>
      </c>
      <c r="E233" s="8" t="str">
        <f t="array" ref="E233">IF($A233="","",
INDEX(個体台帳!$D$2:$D$1000,
MATCH(1,
(個体台帳!$A$2:$A$1000=$A233)*
(個体台帳!$C$2:$C$1000="服"),
0)))</f>
        <v/>
      </c>
      <c r="F233" t="str">
        <f t="array" ref="F233">IF($A233="","",
IF(COUNTIFS(貸出記録!$B:$B,$A233,貸出記録!$E:$E,"")&gt;0,
"貸出中","在庫"))</f>
        <v/>
      </c>
      <c r="G233" t="s">
        <v>6</v>
      </c>
      <c r="H233" t="s">
        <v>6</v>
      </c>
      <c r="I233" t="s">
        <v>6</v>
      </c>
    </row>
    <row r="234" spans="1:9">
      <c r="A234" s="21" t="s">
        <v>6</v>
      </c>
      <c r="B234" t="str">
        <f t="array" ref="B234">IF(TRIM(A234)="","",
_xlfn.TEXTJOIN(" , ",TRUE,
IF((個体台帳!$A$2:$A$1000=TRIM(A234))*(個体台帳!$C$2:$C$1000="服"),
個体台帳!$B$2:$B$1000,
"")))</f>
        <v/>
      </c>
      <c r="C234" t="str">
        <f t="array" ref="C234">IF(TRIM(A234)="","",
_xlfn.TEXTJOIN(" , ",TRUE,
IF((個体台帳!$A$2:$A$1000=TRIM(A234))*(個体台帳!$C$2:$C$1000="小物1"),
個体台帳!$B$2:$B$1000,
"")))</f>
        <v/>
      </c>
      <c r="D234" t="str">
        <f t="array" ref="D234">IF(TRIM(A234)="","",
_xlfn.TEXTJOIN(" , ",TRUE,
IF((個体台帳!$A$2:$A$1000=TRIM(A234))*(個体台帳!$C$2:$C$1000="小物2"),
個体台帳!$B$2:$B$1000,
"")))</f>
        <v/>
      </c>
      <c r="E234" s="8" t="str">
        <f t="array" ref="E234">IF($A234="","",
INDEX(個体台帳!$D$2:$D$1000,
MATCH(1,
(個体台帳!$A$2:$A$1000=$A234)*
(個体台帳!$C$2:$C$1000="服"),
0)))</f>
        <v/>
      </c>
      <c r="F234" t="str">
        <f t="array" ref="F234">IF($A234="","",
IF(COUNTIFS(貸出記録!$B:$B,$A234,貸出記録!$E:$E,"")&gt;0,
"貸出中","在庫"))</f>
        <v/>
      </c>
      <c r="G234" t="s">
        <v>6</v>
      </c>
      <c r="H234" t="s">
        <v>6</v>
      </c>
      <c r="I234" t="s">
        <v>6</v>
      </c>
    </row>
    <row r="235" spans="1:9">
      <c r="A235" s="21" t="s">
        <v>6</v>
      </c>
      <c r="B235" t="str">
        <f t="array" ref="B235">IF(TRIM(A235)="","",
_xlfn.TEXTJOIN(" , ",TRUE,
IF((個体台帳!$A$2:$A$1000=TRIM(A235))*(個体台帳!$C$2:$C$1000="服"),
個体台帳!$B$2:$B$1000,
"")))</f>
        <v/>
      </c>
      <c r="C235" t="str">
        <f t="array" ref="C235">IF(TRIM(A235)="","",
_xlfn.TEXTJOIN(" , ",TRUE,
IF((個体台帳!$A$2:$A$1000=TRIM(A235))*(個体台帳!$C$2:$C$1000="小物1"),
個体台帳!$B$2:$B$1000,
"")))</f>
        <v/>
      </c>
      <c r="D235" t="str">
        <f t="array" ref="D235">IF(TRIM(A235)="","",
_xlfn.TEXTJOIN(" , ",TRUE,
IF((個体台帳!$A$2:$A$1000=TRIM(A235))*(個体台帳!$C$2:$C$1000="小物2"),
個体台帳!$B$2:$B$1000,
"")))</f>
        <v/>
      </c>
      <c r="E235" s="8" t="str">
        <f t="array" ref="E235">IF($A235="","",
INDEX(個体台帳!$D$2:$D$1000,
MATCH(1,
(個体台帳!$A$2:$A$1000=$A235)*
(個体台帳!$C$2:$C$1000="服"),
0)))</f>
        <v/>
      </c>
      <c r="F235" t="str">
        <f t="array" ref="F235">IF($A235="","",
IF(COUNTIFS(貸出記録!$B:$B,$A235,貸出記録!$E:$E,"")&gt;0,
"貸出中","在庫"))</f>
        <v/>
      </c>
      <c r="G235" t="s">
        <v>6</v>
      </c>
      <c r="H235" t="s">
        <v>6</v>
      </c>
      <c r="I235" t="s">
        <v>6</v>
      </c>
    </row>
    <row r="236" spans="1:9">
      <c r="A236" s="21" t="s">
        <v>6</v>
      </c>
      <c r="B236" t="str">
        <f t="array" ref="B236">IF(TRIM(A236)="","",
_xlfn.TEXTJOIN(" , ",TRUE,
IF((個体台帳!$A$2:$A$1000=TRIM(A236))*(個体台帳!$C$2:$C$1000="服"),
個体台帳!$B$2:$B$1000,
"")))</f>
        <v/>
      </c>
      <c r="C236" t="str">
        <f t="array" ref="C236">IF(TRIM(A236)="","",
_xlfn.TEXTJOIN(" , ",TRUE,
IF((個体台帳!$A$2:$A$1000=TRIM(A236))*(個体台帳!$C$2:$C$1000="小物1"),
個体台帳!$B$2:$B$1000,
"")))</f>
        <v/>
      </c>
      <c r="D236" t="str">
        <f t="array" ref="D236">IF(TRIM(A236)="","",
_xlfn.TEXTJOIN(" , ",TRUE,
IF((個体台帳!$A$2:$A$1000=TRIM(A236))*(個体台帳!$C$2:$C$1000="小物2"),
個体台帳!$B$2:$B$1000,
"")))</f>
        <v/>
      </c>
      <c r="E236" s="8" t="str">
        <f t="array" ref="E236">IF($A236="","",
INDEX(個体台帳!$D$2:$D$1000,
MATCH(1,
(個体台帳!$A$2:$A$1000=$A236)*
(個体台帳!$C$2:$C$1000="服"),
0)))</f>
        <v/>
      </c>
      <c r="F236" t="str">
        <f t="array" ref="F236">IF($A236="","",
IF(COUNTIFS(貸出記録!$B:$B,$A236,貸出記録!$E:$E,"")&gt;0,
"貸出中","在庫"))</f>
        <v/>
      </c>
      <c r="G236" t="s">
        <v>6</v>
      </c>
      <c r="H236" t="s">
        <v>6</v>
      </c>
      <c r="I236" t="s">
        <v>6</v>
      </c>
    </row>
    <row r="237" spans="1:9">
      <c r="A237" s="21" t="s">
        <v>6</v>
      </c>
      <c r="B237" t="str">
        <f t="array" ref="B237">IF(TRIM(A237)="","",
_xlfn.TEXTJOIN(" , ",TRUE,
IF((個体台帳!$A$2:$A$1000=TRIM(A237))*(個体台帳!$C$2:$C$1000="服"),
個体台帳!$B$2:$B$1000,
"")))</f>
        <v/>
      </c>
      <c r="C237" t="str">
        <f t="array" ref="C237">IF(TRIM(A237)="","",
_xlfn.TEXTJOIN(" , ",TRUE,
IF((個体台帳!$A$2:$A$1000=TRIM(A237))*(個体台帳!$C$2:$C$1000="小物1"),
個体台帳!$B$2:$B$1000,
"")))</f>
        <v/>
      </c>
      <c r="D237" t="str">
        <f t="array" ref="D237">IF(TRIM(A237)="","",
_xlfn.TEXTJOIN(" , ",TRUE,
IF((個体台帳!$A$2:$A$1000=TRIM(A237))*(個体台帳!$C$2:$C$1000="小物2"),
個体台帳!$B$2:$B$1000,
"")))</f>
        <v/>
      </c>
      <c r="E237" s="8" t="str">
        <f t="array" ref="E237">IF($A237="","",
INDEX(個体台帳!$D$2:$D$1000,
MATCH(1,
(個体台帳!$A$2:$A$1000=$A237)*
(個体台帳!$C$2:$C$1000="服"),
0)))</f>
        <v/>
      </c>
      <c r="F237" t="str">
        <f t="array" ref="F237">IF($A237="","",
IF(COUNTIFS(貸出記録!$B:$B,$A237,貸出記録!$E:$E,"")&gt;0,
"貸出中","在庫"))</f>
        <v/>
      </c>
      <c r="G237" t="s">
        <v>6</v>
      </c>
      <c r="H237" t="s">
        <v>6</v>
      </c>
      <c r="I237" t="s">
        <v>6</v>
      </c>
    </row>
    <row r="238" spans="1:9">
      <c r="A238" s="21" t="s">
        <v>6</v>
      </c>
      <c r="B238" t="str">
        <f t="array" ref="B238">IF(TRIM(A238)="","",
_xlfn.TEXTJOIN(" , ",TRUE,
IF((個体台帳!$A$2:$A$1000=TRIM(A238))*(個体台帳!$C$2:$C$1000="服"),
個体台帳!$B$2:$B$1000,
"")))</f>
        <v/>
      </c>
      <c r="C238" t="str">
        <f t="array" ref="C238">IF(TRIM(A238)="","",
_xlfn.TEXTJOIN(" , ",TRUE,
IF((個体台帳!$A$2:$A$1000=TRIM(A238))*(個体台帳!$C$2:$C$1000="小物1"),
個体台帳!$B$2:$B$1000,
"")))</f>
        <v/>
      </c>
      <c r="D238" t="str">
        <f t="array" ref="D238">IF(TRIM(A238)="","",
_xlfn.TEXTJOIN(" , ",TRUE,
IF((個体台帳!$A$2:$A$1000=TRIM(A238))*(個体台帳!$C$2:$C$1000="小物2"),
個体台帳!$B$2:$B$1000,
"")))</f>
        <v/>
      </c>
      <c r="E238" s="8" t="str">
        <f t="array" ref="E238">IF($A238="","",
INDEX(個体台帳!$D$2:$D$1000,
MATCH(1,
(個体台帳!$A$2:$A$1000=$A238)*
(個体台帳!$C$2:$C$1000="服"),
0)))</f>
        <v/>
      </c>
      <c r="F238" t="str">
        <f t="array" ref="F238">IF($A238="","",
IF(COUNTIFS(貸出記録!$B:$B,$A238,貸出記録!$E:$E,"")&gt;0,
"貸出中","在庫"))</f>
        <v/>
      </c>
      <c r="G238" t="s">
        <v>6</v>
      </c>
      <c r="H238" t="s">
        <v>6</v>
      </c>
      <c r="I238" t="s">
        <v>6</v>
      </c>
    </row>
    <row r="239" spans="1:9">
      <c r="A239" s="21" t="s">
        <v>6</v>
      </c>
      <c r="B239" t="str">
        <f t="array" ref="B239">IF(TRIM(A239)="","",
_xlfn.TEXTJOIN(" , ",TRUE,
IF((個体台帳!$A$2:$A$1000=TRIM(A239))*(個体台帳!$C$2:$C$1000="服"),
個体台帳!$B$2:$B$1000,
"")))</f>
        <v/>
      </c>
      <c r="C239" t="str">
        <f t="array" ref="C239">IF(TRIM(A239)="","",
_xlfn.TEXTJOIN(" , ",TRUE,
IF((個体台帳!$A$2:$A$1000=TRIM(A239))*(個体台帳!$C$2:$C$1000="小物1"),
個体台帳!$B$2:$B$1000,
"")))</f>
        <v/>
      </c>
      <c r="D239" t="str">
        <f t="array" ref="D239">IF(TRIM(A239)="","",
_xlfn.TEXTJOIN(" , ",TRUE,
IF((個体台帳!$A$2:$A$1000=TRIM(A239))*(個体台帳!$C$2:$C$1000="小物2"),
個体台帳!$B$2:$B$1000,
"")))</f>
        <v/>
      </c>
      <c r="E239" s="8" t="str">
        <f t="array" ref="E239">IF($A239="","",
INDEX(個体台帳!$D$2:$D$1000,
MATCH(1,
(個体台帳!$A$2:$A$1000=$A239)*
(個体台帳!$C$2:$C$1000="服"),
0)))</f>
        <v/>
      </c>
      <c r="F239" t="str">
        <f t="array" ref="F239">IF($A239="","",
IF(COUNTIFS(貸出記録!$B:$B,$A239,貸出記録!$E:$E,"")&gt;0,
"貸出中","在庫"))</f>
        <v/>
      </c>
      <c r="G239" t="s">
        <v>6</v>
      </c>
      <c r="H239" t="s">
        <v>6</v>
      </c>
      <c r="I239" t="s">
        <v>6</v>
      </c>
    </row>
    <row r="240" spans="1:9">
      <c r="A240" s="21" t="s">
        <v>6</v>
      </c>
      <c r="B240" t="str">
        <f t="array" ref="B240">IF(TRIM(A240)="","",
_xlfn.TEXTJOIN(" , ",TRUE,
IF((個体台帳!$A$2:$A$1000=TRIM(A240))*(個体台帳!$C$2:$C$1000="服"),
個体台帳!$B$2:$B$1000,
"")))</f>
        <v/>
      </c>
      <c r="C240" t="str">
        <f t="array" ref="C240">IF(TRIM(A240)="","",
_xlfn.TEXTJOIN(" , ",TRUE,
IF((個体台帳!$A$2:$A$1000=TRIM(A240))*(個体台帳!$C$2:$C$1000="小物1"),
個体台帳!$B$2:$B$1000,
"")))</f>
        <v/>
      </c>
      <c r="D240" t="str">
        <f t="array" ref="D240">IF(TRIM(A240)="","",
_xlfn.TEXTJOIN(" , ",TRUE,
IF((個体台帳!$A$2:$A$1000=TRIM(A240))*(個体台帳!$C$2:$C$1000="小物2"),
個体台帳!$B$2:$B$1000,
"")))</f>
        <v/>
      </c>
      <c r="E240" s="8" t="str">
        <f t="array" ref="E240">IF($A240="","",
INDEX(個体台帳!$D$2:$D$1000,
MATCH(1,
(個体台帳!$A$2:$A$1000=$A240)*
(個体台帳!$C$2:$C$1000="服"),
0)))</f>
        <v/>
      </c>
      <c r="F240" t="str">
        <f t="array" ref="F240">IF($A240="","",
IF(COUNTIFS(貸出記録!$B:$B,$A240,貸出記録!$E:$E,"")&gt;0,
"貸出中","在庫"))</f>
        <v/>
      </c>
      <c r="G240" t="s">
        <v>6</v>
      </c>
      <c r="H240" t="s">
        <v>6</v>
      </c>
      <c r="I240" t="s">
        <v>6</v>
      </c>
    </row>
    <row r="241" spans="1:9">
      <c r="A241" s="21" t="s">
        <v>6</v>
      </c>
      <c r="B241" t="str">
        <f t="array" ref="B241">IF(TRIM(A241)="","",
_xlfn.TEXTJOIN(" , ",TRUE,
IF((個体台帳!$A$2:$A$1000=TRIM(A241))*(個体台帳!$C$2:$C$1000="服"),
個体台帳!$B$2:$B$1000,
"")))</f>
        <v/>
      </c>
      <c r="C241" t="str">
        <f t="array" ref="C241">IF(TRIM(A241)="","",
_xlfn.TEXTJOIN(" , ",TRUE,
IF((個体台帳!$A$2:$A$1000=TRIM(A241))*(個体台帳!$C$2:$C$1000="小物1"),
個体台帳!$B$2:$B$1000,
"")))</f>
        <v/>
      </c>
      <c r="D241" t="str">
        <f t="array" ref="D241">IF(TRIM(A241)="","",
_xlfn.TEXTJOIN(" , ",TRUE,
IF((個体台帳!$A$2:$A$1000=TRIM(A241))*(個体台帳!$C$2:$C$1000="小物2"),
個体台帳!$B$2:$B$1000,
"")))</f>
        <v/>
      </c>
      <c r="E241" s="8" t="str">
        <f t="array" ref="E241">IF($A241="","",
INDEX(個体台帳!$D$2:$D$1000,
MATCH(1,
(個体台帳!$A$2:$A$1000=$A241)*
(個体台帳!$C$2:$C$1000="服"),
0)))</f>
        <v/>
      </c>
      <c r="F241" t="str">
        <f t="array" ref="F241">IF($A241="","",
IF(COUNTIFS(貸出記録!$B:$B,$A241,貸出記録!$E:$E,"")&gt;0,
"貸出中","在庫"))</f>
        <v/>
      </c>
      <c r="G241" t="s">
        <v>6</v>
      </c>
      <c r="H241" t="s">
        <v>6</v>
      </c>
      <c r="I241" t="s">
        <v>6</v>
      </c>
    </row>
    <row r="242" spans="1:9">
      <c r="A242" s="21" t="s">
        <v>6</v>
      </c>
      <c r="B242" t="str">
        <f t="array" ref="B242">IF(TRIM(A242)="","",
_xlfn.TEXTJOIN(" , ",TRUE,
IF((個体台帳!$A$2:$A$1000=TRIM(A242))*(個体台帳!$C$2:$C$1000="服"),
個体台帳!$B$2:$B$1000,
"")))</f>
        <v/>
      </c>
      <c r="C242" t="str">
        <f t="array" ref="C242">IF(TRIM(A242)="","",
_xlfn.TEXTJOIN(" , ",TRUE,
IF((個体台帳!$A$2:$A$1000=TRIM(A242))*(個体台帳!$C$2:$C$1000="小物1"),
個体台帳!$B$2:$B$1000,
"")))</f>
        <v/>
      </c>
      <c r="D242" t="str">
        <f t="array" ref="D242">IF(TRIM(A242)="","",
_xlfn.TEXTJOIN(" , ",TRUE,
IF((個体台帳!$A$2:$A$1000=TRIM(A242))*(個体台帳!$C$2:$C$1000="小物2"),
個体台帳!$B$2:$B$1000,
"")))</f>
        <v/>
      </c>
      <c r="E242" s="8" t="str">
        <f t="array" ref="E242">IF($A242="","",
INDEX(個体台帳!$D$2:$D$1000,
MATCH(1,
(個体台帳!$A$2:$A$1000=$A242)*
(個体台帳!$C$2:$C$1000="服"),
0)))</f>
        <v/>
      </c>
      <c r="F242" t="str">
        <f t="array" ref="F242">IF($A242="","",
IF(COUNTIFS(貸出記録!$B:$B,$A242,貸出記録!$E:$E,"")&gt;0,
"貸出中","在庫"))</f>
        <v/>
      </c>
      <c r="G242" t="s">
        <v>6</v>
      </c>
      <c r="H242" t="s">
        <v>6</v>
      </c>
      <c r="I242" t="s">
        <v>6</v>
      </c>
    </row>
    <row r="243" spans="1:9">
      <c r="A243" s="21" t="s">
        <v>6</v>
      </c>
      <c r="B243" t="str">
        <f t="array" ref="B243">IF(TRIM(A243)="","",
_xlfn.TEXTJOIN(" , ",TRUE,
IF((個体台帳!$A$2:$A$1000=TRIM(A243))*(個体台帳!$C$2:$C$1000="服"),
個体台帳!$B$2:$B$1000,
"")))</f>
        <v/>
      </c>
      <c r="C243" t="str">
        <f t="array" ref="C243">IF(TRIM(A243)="","",
_xlfn.TEXTJOIN(" , ",TRUE,
IF((個体台帳!$A$2:$A$1000=TRIM(A243))*(個体台帳!$C$2:$C$1000="小物1"),
個体台帳!$B$2:$B$1000,
"")))</f>
        <v/>
      </c>
      <c r="D243" t="str">
        <f t="array" ref="D243">IF(TRIM(A243)="","",
_xlfn.TEXTJOIN(" , ",TRUE,
IF((個体台帳!$A$2:$A$1000=TRIM(A243))*(個体台帳!$C$2:$C$1000="小物2"),
個体台帳!$B$2:$B$1000,
"")))</f>
        <v/>
      </c>
      <c r="E243" s="8" t="str">
        <f t="array" ref="E243">IF($A243="","",
INDEX(個体台帳!$D$2:$D$1000,
MATCH(1,
(個体台帳!$A$2:$A$1000=$A243)*
(個体台帳!$C$2:$C$1000="服"),
0)))</f>
        <v/>
      </c>
      <c r="F243" t="str">
        <f t="array" ref="F243">IF($A243="","",
IF(COUNTIFS(貸出記録!$B:$B,$A243,貸出記録!$E:$E,"")&gt;0,
"貸出中","在庫"))</f>
        <v/>
      </c>
      <c r="G243" t="s">
        <v>6</v>
      </c>
      <c r="H243" t="s">
        <v>6</v>
      </c>
      <c r="I243" t="s">
        <v>6</v>
      </c>
    </row>
    <row r="244" spans="1:9">
      <c r="A244" s="21" t="s">
        <v>6</v>
      </c>
      <c r="B244" t="str">
        <f t="array" ref="B244">IF(TRIM(A244)="","",
_xlfn.TEXTJOIN(" , ",TRUE,
IF((個体台帳!$A$2:$A$1000=TRIM(A244))*(個体台帳!$C$2:$C$1000="服"),
個体台帳!$B$2:$B$1000,
"")))</f>
        <v/>
      </c>
      <c r="C244" t="str">
        <f t="array" ref="C244">IF(TRIM(A244)="","",
_xlfn.TEXTJOIN(" , ",TRUE,
IF((個体台帳!$A$2:$A$1000=TRIM(A244))*(個体台帳!$C$2:$C$1000="小物1"),
個体台帳!$B$2:$B$1000,
"")))</f>
        <v/>
      </c>
      <c r="D244" t="str">
        <f t="array" ref="D244">IF(TRIM(A244)="","",
_xlfn.TEXTJOIN(" , ",TRUE,
IF((個体台帳!$A$2:$A$1000=TRIM(A244))*(個体台帳!$C$2:$C$1000="小物2"),
個体台帳!$B$2:$B$1000,
"")))</f>
        <v/>
      </c>
      <c r="E244" s="8" t="str">
        <f t="array" ref="E244">IF($A244="","",
INDEX(個体台帳!$D$2:$D$1000,
MATCH(1,
(個体台帳!$A$2:$A$1000=$A244)*
(個体台帳!$C$2:$C$1000="服"),
0)))</f>
        <v/>
      </c>
      <c r="F244" t="str">
        <f t="array" ref="F244">IF($A244="","",
IF(COUNTIFS(貸出記録!$B:$B,$A244,貸出記録!$E:$E,"")&gt;0,
"貸出中","在庫"))</f>
        <v/>
      </c>
      <c r="G244" t="s">
        <v>6</v>
      </c>
      <c r="H244" t="s">
        <v>6</v>
      </c>
      <c r="I244" t="s">
        <v>6</v>
      </c>
    </row>
    <row r="245" spans="1:9">
      <c r="A245" s="21" t="s">
        <v>6</v>
      </c>
      <c r="B245" t="str">
        <f t="array" ref="B245">IF(TRIM(A245)="","",
_xlfn.TEXTJOIN(" , ",TRUE,
IF((個体台帳!$A$2:$A$1000=TRIM(A245))*(個体台帳!$C$2:$C$1000="服"),
個体台帳!$B$2:$B$1000,
"")))</f>
        <v/>
      </c>
      <c r="C245" t="str">
        <f t="array" ref="C245">IF(TRIM(A245)="","",
_xlfn.TEXTJOIN(" , ",TRUE,
IF((個体台帳!$A$2:$A$1000=TRIM(A245))*(個体台帳!$C$2:$C$1000="小物1"),
個体台帳!$B$2:$B$1000,
"")))</f>
        <v/>
      </c>
      <c r="D245" t="str">
        <f t="array" ref="D245">IF(TRIM(A245)="","",
_xlfn.TEXTJOIN(" , ",TRUE,
IF((個体台帳!$A$2:$A$1000=TRIM(A245))*(個体台帳!$C$2:$C$1000="小物2"),
個体台帳!$B$2:$B$1000,
"")))</f>
        <v/>
      </c>
      <c r="E245" s="8" t="str">
        <f t="array" ref="E245">IF($A245="","",
INDEX(個体台帳!$D$2:$D$1000,
MATCH(1,
(個体台帳!$A$2:$A$1000=$A245)*
(個体台帳!$C$2:$C$1000="服"),
0)))</f>
        <v/>
      </c>
      <c r="F245" t="str">
        <f t="array" ref="F245">IF($A245="","",
IF(COUNTIFS(貸出記録!$B:$B,$A245,貸出記録!$E:$E,"")&gt;0,
"貸出中","在庫"))</f>
        <v/>
      </c>
      <c r="G245" t="s">
        <v>6</v>
      </c>
      <c r="H245" t="s">
        <v>6</v>
      </c>
      <c r="I245" t="s">
        <v>6</v>
      </c>
    </row>
    <row r="246" spans="1:9">
      <c r="A246" s="21" t="s">
        <v>6</v>
      </c>
      <c r="B246" t="str">
        <f t="array" ref="B246">IF(TRIM(A246)="","",
_xlfn.TEXTJOIN(" , ",TRUE,
IF((個体台帳!$A$2:$A$1000=TRIM(A246))*(個体台帳!$C$2:$C$1000="服"),
個体台帳!$B$2:$B$1000,
"")))</f>
        <v/>
      </c>
      <c r="C246" t="str">
        <f t="array" ref="C246">IF(TRIM(A246)="","",
_xlfn.TEXTJOIN(" , ",TRUE,
IF((個体台帳!$A$2:$A$1000=TRIM(A246))*(個体台帳!$C$2:$C$1000="小物1"),
個体台帳!$B$2:$B$1000,
"")))</f>
        <v/>
      </c>
      <c r="D246" t="str">
        <f t="array" ref="D246">IF(TRIM(A246)="","",
_xlfn.TEXTJOIN(" , ",TRUE,
IF((個体台帳!$A$2:$A$1000=TRIM(A246))*(個体台帳!$C$2:$C$1000="小物2"),
個体台帳!$B$2:$B$1000,
"")))</f>
        <v/>
      </c>
      <c r="E246" s="8" t="str">
        <f t="array" ref="E246">IF($A246="","",
INDEX(個体台帳!$D$2:$D$1000,
MATCH(1,
(個体台帳!$A$2:$A$1000=$A246)*
(個体台帳!$C$2:$C$1000="服"),
0)))</f>
        <v/>
      </c>
      <c r="F246" t="str">
        <f t="array" ref="F246">IF($A246="","",
IF(COUNTIFS(貸出記録!$B:$B,$A246,貸出記録!$E:$E,"")&gt;0,
"貸出中","在庫"))</f>
        <v/>
      </c>
      <c r="G246" t="s">
        <v>6</v>
      </c>
      <c r="H246" t="s">
        <v>6</v>
      </c>
      <c r="I246" t="s">
        <v>6</v>
      </c>
    </row>
    <row r="247" spans="1:9">
      <c r="A247" s="21" t="s">
        <v>6</v>
      </c>
      <c r="B247" t="str">
        <f t="array" ref="B247">IF(TRIM(A247)="","",
_xlfn.TEXTJOIN(" , ",TRUE,
IF((個体台帳!$A$2:$A$1000=TRIM(A247))*(個体台帳!$C$2:$C$1000="服"),
個体台帳!$B$2:$B$1000,
"")))</f>
        <v/>
      </c>
      <c r="C247" t="str">
        <f t="array" ref="C247">IF(TRIM(A247)="","",
_xlfn.TEXTJOIN(" , ",TRUE,
IF((個体台帳!$A$2:$A$1000=TRIM(A247))*(個体台帳!$C$2:$C$1000="小物1"),
個体台帳!$B$2:$B$1000,
"")))</f>
        <v/>
      </c>
      <c r="D247" t="str">
        <f t="array" ref="D247">IF(TRIM(A247)="","",
_xlfn.TEXTJOIN(" , ",TRUE,
IF((個体台帳!$A$2:$A$1000=TRIM(A247))*(個体台帳!$C$2:$C$1000="小物2"),
個体台帳!$B$2:$B$1000,
"")))</f>
        <v/>
      </c>
      <c r="E247" s="8" t="str">
        <f t="array" ref="E247">IF($A247="","",
INDEX(個体台帳!$D$2:$D$1000,
MATCH(1,
(個体台帳!$A$2:$A$1000=$A247)*
(個体台帳!$C$2:$C$1000="服"),
0)))</f>
        <v/>
      </c>
      <c r="F247" t="str">
        <f t="array" ref="F247">IF($A247="","",
IF(COUNTIFS(貸出記録!$B:$B,$A247,貸出記録!$E:$E,"")&gt;0,
"貸出中","在庫"))</f>
        <v/>
      </c>
      <c r="G247" t="s">
        <v>6</v>
      </c>
      <c r="H247" t="s">
        <v>6</v>
      </c>
      <c r="I247" t="s">
        <v>6</v>
      </c>
    </row>
    <row r="248" spans="1:9">
      <c r="A248" s="21" t="s">
        <v>6</v>
      </c>
      <c r="B248" t="str">
        <f t="array" ref="B248">IF(TRIM(A248)="","",
_xlfn.TEXTJOIN(" , ",TRUE,
IF((個体台帳!$A$2:$A$1000=TRIM(A248))*(個体台帳!$C$2:$C$1000="服"),
個体台帳!$B$2:$B$1000,
"")))</f>
        <v/>
      </c>
      <c r="C248" t="str">
        <f t="array" ref="C248">IF(TRIM(A248)="","",
_xlfn.TEXTJOIN(" , ",TRUE,
IF((個体台帳!$A$2:$A$1000=TRIM(A248))*(個体台帳!$C$2:$C$1000="小物1"),
個体台帳!$B$2:$B$1000,
"")))</f>
        <v/>
      </c>
      <c r="D248" t="str">
        <f t="array" ref="D248">IF(TRIM(A248)="","",
_xlfn.TEXTJOIN(" , ",TRUE,
IF((個体台帳!$A$2:$A$1000=TRIM(A248))*(個体台帳!$C$2:$C$1000="小物2"),
個体台帳!$B$2:$B$1000,
"")))</f>
        <v/>
      </c>
      <c r="E248" s="8" t="str">
        <f t="array" ref="E248">IF($A248="","",
INDEX(個体台帳!$D$2:$D$1000,
MATCH(1,
(個体台帳!$A$2:$A$1000=$A248)*
(個体台帳!$C$2:$C$1000="服"),
0)))</f>
        <v/>
      </c>
      <c r="F248" t="str">
        <f t="array" ref="F248">IF($A248="","",
IF(COUNTIFS(貸出記録!$B:$B,$A248,貸出記録!$E:$E,"")&gt;0,
"貸出中","在庫"))</f>
        <v/>
      </c>
      <c r="G248" t="s">
        <v>6</v>
      </c>
      <c r="H248" t="s">
        <v>6</v>
      </c>
      <c r="I248" t="s">
        <v>6</v>
      </c>
    </row>
    <row r="249" spans="1:9">
      <c r="A249" s="21" t="s">
        <v>6</v>
      </c>
      <c r="B249" t="str">
        <f t="array" ref="B249">IF(TRIM(A249)="","",
_xlfn.TEXTJOIN(" , ",TRUE,
IF((個体台帳!$A$2:$A$1000=TRIM(A249))*(個体台帳!$C$2:$C$1000="服"),
個体台帳!$B$2:$B$1000,
"")))</f>
        <v/>
      </c>
      <c r="C249" t="str">
        <f t="array" ref="C249">IF(TRIM(A249)="","",
_xlfn.TEXTJOIN(" , ",TRUE,
IF((個体台帳!$A$2:$A$1000=TRIM(A249))*(個体台帳!$C$2:$C$1000="小物1"),
個体台帳!$B$2:$B$1000,
"")))</f>
        <v/>
      </c>
      <c r="D249" t="str">
        <f t="array" ref="D249">IF(TRIM(A249)="","",
_xlfn.TEXTJOIN(" , ",TRUE,
IF((個体台帳!$A$2:$A$1000=TRIM(A249))*(個体台帳!$C$2:$C$1000="小物2"),
個体台帳!$B$2:$B$1000,
"")))</f>
        <v/>
      </c>
      <c r="E249" s="8" t="str">
        <f t="array" ref="E249">IF($A249="","",
INDEX(個体台帳!$D$2:$D$1000,
MATCH(1,
(個体台帳!$A$2:$A$1000=$A249)*
(個体台帳!$C$2:$C$1000="服"),
0)))</f>
        <v/>
      </c>
      <c r="F249" t="str">
        <f t="array" ref="F249">IF($A249="","",
IF(COUNTIFS(貸出記録!$B:$B,$A249,貸出記録!$E:$E,"")&gt;0,
"貸出中","在庫"))</f>
        <v/>
      </c>
      <c r="G249" t="s">
        <v>6</v>
      </c>
      <c r="H249" t="s">
        <v>6</v>
      </c>
      <c r="I249" t="s">
        <v>6</v>
      </c>
    </row>
    <row r="250" spans="1:9">
      <c r="A250" s="21" t="s">
        <v>6</v>
      </c>
      <c r="B250" t="str">
        <f t="array" ref="B250">IF(TRIM(A250)="","",
_xlfn.TEXTJOIN(" , ",TRUE,
IF((個体台帳!$A$2:$A$1000=TRIM(A250))*(個体台帳!$C$2:$C$1000="服"),
個体台帳!$B$2:$B$1000,
"")))</f>
        <v/>
      </c>
      <c r="C250" t="str">
        <f t="array" ref="C250">IF(TRIM(A250)="","",
_xlfn.TEXTJOIN(" , ",TRUE,
IF((個体台帳!$A$2:$A$1000=TRIM(A250))*(個体台帳!$C$2:$C$1000="小物1"),
個体台帳!$B$2:$B$1000,
"")))</f>
        <v/>
      </c>
      <c r="D250" t="str">
        <f t="array" ref="D250">IF(TRIM(A250)="","",
_xlfn.TEXTJOIN(" , ",TRUE,
IF((個体台帳!$A$2:$A$1000=TRIM(A250))*(個体台帳!$C$2:$C$1000="小物2"),
個体台帳!$B$2:$B$1000,
"")))</f>
        <v/>
      </c>
      <c r="E250" s="8" t="str">
        <f t="array" ref="E250">IF($A250="","",
INDEX(個体台帳!$D$2:$D$1000,
MATCH(1,
(個体台帳!$A$2:$A$1000=$A250)*
(個体台帳!$C$2:$C$1000="服"),
0)))</f>
        <v/>
      </c>
      <c r="F250" t="str">
        <f t="array" ref="F250">IF($A250="","",
IF(COUNTIFS(貸出記録!$B:$B,$A250,貸出記録!$E:$E,"")&gt;0,
"貸出中","在庫"))</f>
        <v/>
      </c>
      <c r="G250" t="s">
        <v>6</v>
      </c>
      <c r="H250" t="s">
        <v>6</v>
      </c>
      <c r="I250" t="s">
        <v>6</v>
      </c>
    </row>
    <row r="251" spans="1:9">
      <c r="A251" s="21" t="s">
        <v>6</v>
      </c>
      <c r="B251" t="str">
        <f t="array" ref="B251">IF(TRIM(A251)="","",
_xlfn.TEXTJOIN(" , ",TRUE,
IF((個体台帳!$A$2:$A$1000=TRIM(A251))*(個体台帳!$C$2:$C$1000="服"),
個体台帳!$B$2:$B$1000,
"")))</f>
        <v/>
      </c>
      <c r="C251" t="str">
        <f t="array" ref="C251">IF(TRIM(A251)="","",
_xlfn.TEXTJOIN(" , ",TRUE,
IF((個体台帳!$A$2:$A$1000=TRIM(A251))*(個体台帳!$C$2:$C$1000="小物1"),
個体台帳!$B$2:$B$1000,
"")))</f>
        <v/>
      </c>
      <c r="D251" t="str">
        <f t="array" ref="D251">IF(TRIM(A251)="","",
_xlfn.TEXTJOIN(" , ",TRUE,
IF((個体台帳!$A$2:$A$1000=TRIM(A251))*(個体台帳!$C$2:$C$1000="小物2"),
個体台帳!$B$2:$B$1000,
"")))</f>
        <v/>
      </c>
      <c r="E251" s="8" t="str">
        <f t="array" ref="E251">IF($A251="","",
INDEX(個体台帳!$D$2:$D$1000,
MATCH(1,
(個体台帳!$A$2:$A$1000=$A251)*
(個体台帳!$C$2:$C$1000="服"),
0)))</f>
        <v/>
      </c>
      <c r="F251" t="str">
        <f t="array" ref="F251">IF($A251="","",
IF(COUNTIFS(貸出記録!$B:$B,$A251,貸出記録!$E:$E,"")&gt;0,
"貸出中","在庫"))</f>
        <v/>
      </c>
      <c r="G251" t="s">
        <v>6</v>
      </c>
      <c r="H251" t="s">
        <v>6</v>
      </c>
      <c r="I251" t="s">
        <v>6</v>
      </c>
    </row>
    <row r="252" spans="1:9">
      <c r="A252" s="21" t="s">
        <v>6</v>
      </c>
      <c r="B252" t="str">
        <f t="array" ref="B252">IF(TRIM(A252)="","",
_xlfn.TEXTJOIN(" , ",TRUE,
IF((個体台帳!$A$2:$A$1000=TRIM(A252))*(個体台帳!$C$2:$C$1000="服"),
個体台帳!$B$2:$B$1000,
"")))</f>
        <v/>
      </c>
      <c r="C252" t="str">
        <f t="array" ref="C252">IF(TRIM(A252)="","",
_xlfn.TEXTJOIN(" , ",TRUE,
IF((個体台帳!$A$2:$A$1000=TRIM(A252))*(個体台帳!$C$2:$C$1000="小物1"),
個体台帳!$B$2:$B$1000,
"")))</f>
        <v/>
      </c>
      <c r="D252" t="str">
        <f t="array" ref="D252">IF(TRIM(A252)="","",
_xlfn.TEXTJOIN(" , ",TRUE,
IF((個体台帳!$A$2:$A$1000=TRIM(A252))*(個体台帳!$C$2:$C$1000="小物2"),
個体台帳!$B$2:$B$1000,
"")))</f>
        <v/>
      </c>
      <c r="E252" s="8" t="str">
        <f t="array" ref="E252">IF($A252="","",
INDEX(個体台帳!$D$2:$D$1000,
MATCH(1,
(個体台帳!$A$2:$A$1000=$A252)*
(個体台帳!$C$2:$C$1000="服"),
0)))</f>
        <v/>
      </c>
      <c r="F252" t="str">
        <f t="array" ref="F252">IF($A252="","",
IF(COUNTIFS(貸出記録!$B:$B,$A252,貸出記録!$E:$E,"")&gt;0,
"貸出中","在庫"))</f>
        <v/>
      </c>
      <c r="G252" t="s">
        <v>6</v>
      </c>
      <c r="H252" t="s">
        <v>6</v>
      </c>
      <c r="I252" t="s">
        <v>6</v>
      </c>
    </row>
    <row r="253" spans="1:9">
      <c r="A253" s="21" t="s">
        <v>6</v>
      </c>
      <c r="B253" t="str">
        <f t="array" ref="B253">IF(TRIM(A253)="","",
_xlfn.TEXTJOIN(" , ",TRUE,
IF((個体台帳!$A$2:$A$1000=TRIM(A253))*(個体台帳!$C$2:$C$1000="服"),
個体台帳!$B$2:$B$1000,
"")))</f>
        <v/>
      </c>
      <c r="C253" t="str">
        <f t="array" ref="C253">IF(TRIM(A253)="","",
_xlfn.TEXTJOIN(" , ",TRUE,
IF((個体台帳!$A$2:$A$1000=TRIM(A253))*(個体台帳!$C$2:$C$1000="小物1"),
個体台帳!$B$2:$B$1000,
"")))</f>
        <v/>
      </c>
      <c r="D253" t="str">
        <f t="array" ref="D253">IF(TRIM(A253)="","",
_xlfn.TEXTJOIN(" , ",TRUE,
IF((個体台帳!$A$2:$A$1000=TRIM(A253))*(個体台帳!$C$2:$C$1000="小物2"),
個体台帳!$B$2:$B$1000,
"")))</f>
        <v/>
      </c>
      <c r="E253" s="8" t="str">
        <f t="array" ref="E253">IF($A253="","",
INDEX(個体台帳!$D$2:$D$1000,
MATCH(1,
(個体台帳!$A$2:$A$1000=$A253)*
(個体台帳!$C$2:$C$1000="服"),
0)))</f>
        <v/>
      </c>
      <c r="F253" t="str">
        <f t="array" ref="F253">IF($A253="","",
IF(COUNTIFS(貸出記録!$B:$B,$A253,貸出記録!$E:$E,"")&gt;0,
"貸出中","在庫"))</f>
        <v/>
      </c>
      <c r="G253" t="s">
        <v>6</v>
      </c>
      <c r="H253" t="s">
        <v>6</v>
      </c>
      <c r="I253" t="s">
        <v>6</v>
      </c>
    </row>
    <row r="254" spans="1:9">
      <c r="A254" s="21" t="s">
        <v>6</v>
      </c>
      <c r="B254" t="str">
        <f t="array" ref="B254">IF(TRIM(A254)="","",
_xlfn.TEXTJOIN(" , ",TRUE,
IF((個体台帳!$A$2:$A$1000=TRIM(A254))*(個体台帳!$C$2:$C$1000="服"),
個体台帳!$B$2:$B$1000,
"")))</f>
        <v/>
      </c>
      <c r="C254" t="str">
        <f t="array" ref="C254">IF(TRIM(A254)="","",
_xlfn.TEXTJOIN(" , ",TRUE,
IF((個体台帳!$A$2:$A$1000=TRIM(A254))*(個体台帳!$C$2:$C$1000="小物1"),
個体台帳!$B$2:$B$1000,
"")))</f>
        <v/>
      </c>
      <c r="D254" t="str">
        <f t="array" ref="D254">IF(TRIM(A254)="","",
_xlfn.TEXTJOIN(" , ",TRUE,
IF((個体台帳!$A$2:$A$1000=TRIM(A254))*(個体台帳!$C$2:$C$1000="小物2"),
個体台帳!$B$2:$B$1000,
"")))</f>
        <v/>
      </c>
      <c r="E254" s="8" t="str">
        <f t="array" ref="E254">IF($A254="","",
INDEX(個体台帳!$D$2:$D$1000,
MATCH(1,
(個体台帳!$A$2:$A$1000=$A254)*
(個体台帳!$C$2:$C$1000="服"),
0)))</f>
        <v/>
      </c>
      <c r="F254" t="str">
        <f t="array" ref="F254">IF($A254="","",
IF(COUNTIFS(貸出記録!$B:$B,$A254,貸出記録!$E:$E,"")&gt;0,
"貸出中","在庫"))</f>
        <v/>
      </c>
      <c r="G254" t="s">
        <v>6</v>
      </c>
      <c r="H254" t="s">
        <v>6</v>
      </c>
      <c r="I254" t="s">
        <v>6</v>
      </c>
    </row>
    <row r="255" spans="1:9">
      <c r="A255" s="21" t="s">
        <v>6</v>
      </c>
      <c r="B255" t="str">
        <f t="array" ref="B255">IF(TRIM(A255)="","",
_xlfn.TEXTJOIN(" , ",TRUE,
IF((個体台帳!$A$2:$A$1000=TRIM(A255))*(個体台帳!$C$2:$C$1000="服"),
個体台帳!$B$2:$B$1000,
"")))</f>
        <v/>
      </c>
      <c r="C255" t="str">
        <f t="array" ref="C255">IF(TRIM(A255)="","",
_xlfn.TEXTJOIN(" , ",TRUE,
IF((個体台帳!$A$2:$A$1000=TRIM(A255))*(個体台帳!$C$2:$C$1000="小物1"),
個体台帳!$B$2:$B$1000,
"")))</f>
        <v/>
      </c>
      <c r="D255" t="str">
        <f t="array" ref="D255">IF(TRIM(A255)="","",
_xlfn.TEXTJOIN(" , ",TRUE,
IF((個体台帳!$A$2:$A$1000=TRIM(A255))*(個体台帳!$C$2:$C$1000="小物2"),
個体台帳!$B$2:$B$1000,
"")))</f>
        <v/>
      </c>
      <c r="E255" s="8" t="str">
        <f t="array" ref="E255">IF($A255="","",
INDEX(個体台帳!$D$2:$D$1000,
MATCH(1,
(個体台帳!$A$2:$A$1000=$A255)*
(個体台帳!$C$2:$C$1000="服"),
0)))</f>
        <v/>
      </c>
      <c r="F255" t="str">
        <f t="array" ref="F255">IF($A255="","",
IF(COUNTIFS(貸出記録!$B:$B,$A255,貸出記録!$E:$E,"")&gt;0,
"貸出中","在庫"))</f>
        <v/>
      </c>
      <c r="G255" t="s">
        <v>6</v>
      </c>
      <c r="H255" t="s">
        <v>6</v>
      </c>
      <c r="I255" t="s">
        <v>6</v>
      </c>
    </row>
    <row r="256" spans="1:9">
      <c r="A256" s="21" t="s">
        <v>6</v>
      </c>
      <c r="B256" t="str">
        <f t="array" ref="B256">IF(TRIM(A256)="","",
_xlfn.TEXTJOIN(" , ",TRUE,
IF((個体台帳!$A$2:$A$1000=TRIM(A256))*(個体台帳!$C$2:$C$1000="服"),
個体台帳!$B$2:$B$1000,
"")))</f>
        <v/>
      </c>
      <c r="C256" t="str">
        <f t="array" ref="C256">IF(TRIM(A256)="","",
_xlfn.TEXTJOIN(" , ",TRUE,
IF((個体台帳!$A$2:$A$1000=TRIM(A256))*(個体台帳!$C$2:$C$1000="小物1"),
個体台帳!$B$2:$B$1000,
"")))</f>
        <v/>
      </c>
      <c r="D256" t="str">
        <f t="array" ref="D256">IF(TRIM(A256)="","",
_xlfn.TEXTJOIN(" , ",TRUE,
IF((個体台帳!$A$2:$A$1000=TRIM(A256))*(個体台帳!$C$2:$C$1000="小物2"),
個体台帳!$B$2:$B$1000,
"")))</f>
        <v/>
      </c>
      <c r="E256" s="8" t="str">
        <f t="array" ref="E256">IF($A256="","",
INDEX(個体台帳!$D$2:$D$1000,
MATCH(1,
(個体台帳!$A$2:$A$1000=$A256)*
(個体台帳!$C$2:$C$1000="服"),
0)))</f>
        <v/>
      </c>
      <c r="F256" t="str">
        <f t="array" ref="F256">IF($A256="","",
IF(COUNTIFS(貸出記録!$B:$B,$A256,貸出記録!$E:$E,"")&gt;0,
"貸出中","在庫"))</f>
        <v/>
      </c>
      <c r="G256" t="s">
        <v>6</v>
      </c>
      <c r="H256" t="s">
        <v>6</v>
      </c>
      <c r="I256" t="s">
        <v>6</v>
      </c>
    </row>
    <row r="257" spans="1:9">
      <c r="A257" s="21" t="s">
        <v>6</v>
      </c>
      <c r="B257" t="str">
        <f t="array" ref="B257">IF(TRIM(A257)="","",
_xlfn.TEXTJOIN(" , ",TRUE,
IF((個体台帳!$A$2:$A$1000=TRIM(A257))*(個体台帳!$C$2:$C$1000="服"),
個体台帳!$B$2:$B$1000,
"")))</f>
        <v/>
      </c>
      <c r="C257" t="str">
        <f t="array" ref="C257">IF(TRIM(A257)="","",
_xlfn.TEXTJOIN(" , ",TRUE,
IF((個体台帳!$A$2:$A$1000=TRIM(A257))*(個体台帳!$C$2:$C$1000="小物1"),
個体台帳!$B$2:$B$1000,
"")))</f>
        <v/>
      </c>
      <c r="D257" t="str">
        <f t="array" ref="D257">IF(TRIM(A257)="","",
_xlfn.TEXTJOIN(" , ",TRUE,
IF((個体台帳!$A$2:$A$1000=TRIM(A257))*(個体台帳!$C$2:$C$1000="小物2"),
個体台帳!$B$2:$B$1000,
"")))</f>
        <v/>
      </c>
      <c r="E257" s="8" t="str">
        <f t="array" ref="E257">IF($A257="","",
INDEX(個体台帳!$D$2:$D$1000,
MATCH(1,
(個体台帳!$A$2:$A$1000=$A257)*
(個体台帳!$C$2:$C$1000="服"),
0)))</f>
        <v/>
      </c>
      <c r="F257" t="str">
        <f t="array" ref="F257">IF($A257="","",
IF(COUNTIFS(貸出記録!$B:$B,$A257,貸出記録!$E:$E,"")&gt;0,
"貸出中","在庫"))</f>
        <v/>
      </c>
      <c r="G257" t="s">
        <v>6</v>
      </c>
      <c r="H257" t="s">
        <v>6</v>
      </c>
      <c r="I257" t="s">
        <v>6</v>
      </c>
    </row>
    <row r="258" spans="1:9">
      <c r="A258" s="21" t="s">
        <v>6</v>
      </c>
      <c r="B258" t="str">
        <f t="array" ref="B258">IF(TRIM(A258)="","",
_xlfn.TEXTJOIN(" , ",TRUE,
IF((個体台帳!$A$2:$A$1000=TRIM(A258))*(個体台帳!$C$2:$C$1000="服"),
個体台帳!$B$2:$B$1000,
"")))</f>
        <v/>
      </c>
      <c r="C258" t="str">
        <f t="array" ref="C258">IF(TRIM(A258)="","",
_xlfn.TEXTJOIN(" , ",TRUE,
IF((個体台帳!$A$2:$A$1000=TRIM(A258))*(個体台帳!$C$2:$C$1000="小物1"),
個体台帳!$B$2:$B$1000,
"")))</f>
        <v/>
      </c>
      <c r="D258" t="str">
        <f t="array" ref="D258">IF(TRIM(A258)="","",
_xlfn.TEXTJOIN(" , ",TRUE,
IF((個体台帳!$A$2:$A$1000=TRIM(A258))*(個体台帳!$C$2:$C$1000="小物2"),
個体台帳!$B$2:$B$1000,
"")))</f>
        <v/>
      </c>
      <c r="E258" s="8" t="str">
        <f t="array" ref="E258">IF($A258="","",
INDEX(個体台帳!$D$2:$D$1000,
MATCH(1,
(個体台帳!$A$2:$A$1000=$A258)*
(個体台帳!$C$2:$C$1000="服"),
0)))</f>
        <v/>
      </c>
      <c r="F258" t="str">
        <f t="array" ref="F258">IF($A258="","",
IF(COUNTIFS(貸出記録!$B:$B,$A258,貸出記録!$E:$E,"")&gt;0,
"貸出中","在庫"))</f>
        <v/>
      </c>
      <c r="G258" t="s">
        <v>6</v>
      </c>
      <c r="H258" t="s">
        <v>6</v>
      </c>
      <c r="I258" t="s">
        <v>6</v>
      </c>
    </row>
    <row r="259" spans="1:9">
      <c r="A259" s="21" t="s">
        <v>6</v>
      </c>
      <c r="B259" t="str">
        <f t="array" ref="B259">IF(TRIM(A259)="","",
_xlfn.TEXTJOIN(" , ",TRUE,
IF((個体台帳!$A$2:$A$1000=TRIM(A259))*(個体台帳!$C$2:$C$1000="服"),
個体台帳!$B$2:$B$1000,
"")))</f>
        <v/>
      </c>
      <c r="C259" t="str">
        <f t="array" ref="C259">IF(TRIM(A259)="","",
_xlfn.TEXTJOIN(" , ",TRUE,
IF((個体台帳!$A$2:$A$1000=TRIM(A259))*(個体台帳!$C$2:$C$1000="小物1"),
個体台帳!$B$2:$B$1000,
"")))</f>
        <v/>
      </c>
      <c r="D259" t="str">
        <f t="array" ref="D259">IF(TRIM(A259)="","",
_xlfn.TEXTJOIN(" , ",TRUE,
IF((個体台帳!$A$2:$A$1000=TRIM(A259))*(個体台帳!$C$2:$C$1000="小物2"),
個体台帳!$B$2:$B$1000,
"")))</f>
        <v/>
      </c>
      <c r="E259" s="8" t="str">
        <f t="array" ref="E259">IF($A259="","",
INDEX(個体台帳!$D$2:$D$1000,
MATCH(1,
(個体台帳!$A$2:$A$1000=$A259)*
(個体台帳!$C$2:$C$1000="服"),
0)))</f>
        <v/>
      </c>
      <c r="F259" t="str">
        <f t="array" ref="F259">IF($A259="","",
IF(COUNTIFS(貸出記録!$B:$B,$A259,貸出記録!$E:$E,"")&gt;0,
"貸出中","在庫"))</f>
        <v/>
      </c>
      <c r="G259" t="s">
        <v>6</v>
      </c>
      <c r="H259" t="s">
        <v>6</v>
      </c>
      <c r="I259" t="s">
        <v>6</v>
      </c>
    </row>
    <row r="260" spans="1:9">
      <c r="A260" s="21" t="s">
        <v>6</v>
      </c>
      <c r="B260" t="str">
        <f t="array" ref="B260">IF(TRIM(A260)="","",
_xlfn.TEXTJOIN(" , ",TRUE,
IF((個体台帳!$A$2:$A$1000=TRIM(A260))*(個体台帳!$C$2:$C$1000="服"),
個体台帳!$B$2:$B$1000,
"")))</f>
        <v/>
      </c>
      <c r="C260" t="str">
        <f t="array" ref="C260">IF(TRIM(A260)="","",
_xlfn.TEXTJOIN(" , ",TRUE,
IF((個体台帳!$A$2:$A$1000=TRIM(A260))*(個体台帳!$C$2:$C$1000="小物1"),
個体台帳!$B$2:$B$1000,
"")))</f>
        <v/>
      </c>
      <c r="D260" t="str">
        <f t="array" ref="D260">IF(TRIM(A260)="","",
_xlfn.TEXTJOIN(" , ",TRUE,
IF((個体台帳!$A$2:$A$1000=TRIM(A260))*(個体台帳!$C$2:$C$1000="小物2"),
個体台帳!$B$2:$B$1000,
"")))</f>
        <v/>
      </c>
      <c r="E260" s="8" t="str">
        <f t="array" ref="E260">IF($A260="","",
INDEX(個体台帳!$D$2:$D$1000,
MATCH(1,
(個体台帳!$A$2:$A$1000=$A260)*
(個体台帳!$C$2:$C$1000="服"),
0)))</f>
        <v/>
      </c>
      <c r="F260" t="str">
        <f t="array" ref="F260">IF($A260="","",
IF(COUNTIFS(貸出記録!$B:$B,$A260,貸出記録!$E:$E,"")&gt;0,
"貸出中","在庫"))</f>
        <v/>
      </c>
      <c r="G260" t="s">
        <v>6</v>
      </c>
      <c r="H260" t="s">
        <v>6</v>
      </c>
      <c r="I260" t="s">
        <v>6</v>
      </c>
    </row>
    <row r="261" spans="1:9">
      <c r="A261" s="21" t="s">
        <v>6</v>
      </c>
      <c r="B261" t="str">
        <f t="array" ref="B261">IF(TRIM(A261)="","",
_xlfn.TEXTJOIN(" , ",TRUE,
IF((個体台帳!$A$2:$A$1000=TRIM(A261))*(個体台帳!$C$2:$C$1000="服"),
個体台帳!$B$2:$B$1000,
"")))</f>
        <v/>
      </c>
      <c r="C261" t="str">
        <f t="array" ref="C261">IF(TRIM(A261)="","",
_xlfn.TEXTJOIN(" , ",TRUE,
IF((個体台帳!$A$2:$A$1000=TRIM(A261))*(個体台帳!$C$2:$C$1000="小物1"),
個体台帳!$B$2:$B$1000,
"")))</f>
        <v/>
      </c>
      <c r="D261" t="str">
        <f t="array" ref="D261">IF(TRIM(A261)="","",
_xlfn.TEXTJOIN(" , ",TRUE,
IF((個体台帳!$A$2:$A$1000=TRIM(A261))*(個体台帳!$C$2:$C$1000="小物2"),
個体台帳!$B$2:$B$1000,
"")))</f>
        <v/>
      </c>
      <c r="E261" s="8" t="str">
        <f t="array" ref="E261">IF($A261="","",
INDEX(個体台帳!$D$2:$D$1000,
MATCH(1,
(個体台帳!$A$2:$A$1000=$A261)*
(個体台帳!$C$2:$C$1000="服"),
0)))</f>
        <v/>
      </c>
      <c r="F261" t="str">
        <f t="array" ref="F261">IF($A261="","",
IF(COUNTIFS(貸出記録!$B:$B,$A261,貸出記録!$E:$E,"")&gt;0,
"貸出中","在庫"))</f>
        <v/>
      </c>
      <c r="G261" t="s">
        <v>6</v>
      </c>
      <c r="H261" t="s">
        <v>6</v>
      </c>
      <c r="I261" t="s">
        <v>6</v>
      </c>
    </row>
    <row r="262" spans="1:9">
      <c r="A262" s="21" t="s">
        <v>6</v>
      </c>
      <c r="B262" t="str">
        <f t="array" ref="B262">IF(TRIM(A262)="","",
_xlfn.TEXTJOIN(" , ",TRUE,
IF((個体台帳!$A$2:$A$1000=TRIM(A262))*(個体台帳!$C$2:$C$1000="服"),
個体台帳!$B$2:$B$1000,
"")))</f>
        <v/>
      </c>
      <c r="C262" t="str">
        <f t="array" ref="C262">IF(TRIM(A262)="","",
_xlfn.TEXTJOIN(" , ",TRUE,
IF((個体台帳!$A$2:$A$1000=TRIM(A262))*(個体台帳!$C$2:$C$1000="小物1"),
個体台帳!$B$2:$B$1000,
"")))</f>
        <v/>
      </c>
      <c r="D262" t="str">
        <f t="array" ref="D262">IF(TRIM(A262)="","",
_xlfn.TEXTJOIN(" , ",TRUE,
IF((個体台帳!$A$2:$A$1000=TRIM(A262))*(個体台帳!$C$2:$C$1000="小物2"),
個体台帳!$B$2:$B$1000,
"")))</f>
        <v/>
      </c>
      <c r="E262" s="8" t="str">
        <f t="array" ref="E262">IF($A262="","",
INDEX(個体台帳!$D$2:$D$1000,
MATCH(1,
(個体台帳!$A$2:$A$1000=$A262)*
(個体台帳!$C$2:$C$1000="服"),
0)))</f>
        <v/>
      </c>
      <c r="F262" t="str">
        <f t="array" ref="F262">IF($A262="","",
IF(COUNTIFS(貸出記録!$B:$B,$A262,貸出記録!$E:$E,"")&gt;0,
"貸出中","在庫"))</f>
        <v/>
      </c>
      <c r="G262" t="s">
        <v>6</v>
      </c>
      <c r="H262" t="s">
        <v>6</v>
      </c>
      <c r="I262" t="s">
        <v>6</v>
      </c>
    </row>
    <row r="263" spans="1:9">
      <c r="A263" s="21" t="s">
        <v>6</v>
      </c>
      <c r="B263" t="str">
        <f t="array" ref="B263">IF(TRIM(A263)="","",
_xlfn.TEXTJOIN(" , ",TRUE,
IF((個体台帳!$A$2:$A$1000=TRIM(A263))*(個体台帳!$C$2:$C$1000="服"),
個体台帳!$B$2:$B$1000,
"")))</f>
        <v/>
      </c>
      <c r="C263" t="str">
        <f t="array" ref="C263">IF(TRIM(A263)="","",
_xlfn.TEXTJOIN(" , ",TRUE,
IF((個体台帳!$A$2:$A$1000=TRIM(A263))*(個体台帳!$C$2:$C$1000="小物1"),
個体台帳!$B$2:$B$1000,
"")))</f>
        <v/>
      </c>
      <c r="D263" t="str">
        <f t="array" ref="D263">IF(TRIM(A263)="","",
_xlfn.TEXTJOIN(" , ",TRUE,
IF((個体台帳!$A$2:$A$1000=TRIM(A263))*(個体台帳!$C$2:$C$1000="小物2"),
個体台帳!$B$2:$B$1000,
"")))</f>
        <v/>
      </c>
      <c r="E263" s="8" t="str">
        <f t="array" ref="E263">IF($A263="","",
INDEX(個体台帳!$D$2:$D$1000,
MATCH(1,
(個体台帳!$A$2:$A$1000=$A263)*
(個体台帳!$C$2:$C$1000="服"),
0)))</f>
        <v/>
      </c>
      <c r="F263" t="str">
        <f t="array" ref="F263">IF($A263="","",
IF(COUNTIFS(貸出記録!$B:$B,$A263,貸出記録!$E:$E,"")&gt;0,
"貸出中","在庫"))</f>
        <v/>
      </c>
      <c r="G263" t="s">
        <v>6</v>
      </c>
      <c r="H263" t="s">
        <v>6</v>
      </c>
      <c r="I263" t="s">
        <v>6</v>
      </c>
    </row>
    <row r="264" spans="1:9">
      <c r="A264" s="21" t="s">
        <v>6</v>
      </c>
      <c r="B264" t="str">
        <f t="array" ref="B264">IF(TRIM(A264)="","",
_xlfn.TEXTJOIN(" , ",TRUE,
IF((個体台帳!$A$2:$A$1000=TRIM(A264))*(個体台帳!$C$2:$C$1000="服"),
個体台帳!$B$2:$B$1000,
"")))</f>
        <v/>
      </c>
      <c r="C264" t="str">
        <f t="array" ref="C264">IF(TRIM(A264)="","",
_xlfn.TEXTJOIN(" , ",TRUE,
IF((個体台帳!$A$2:$A$1000=TRIM(A264))*(個体台帳!$C$2:$C$1000="小物1"),
個体台帳!$B$2:$B$1000,
"")))</f>
        <v/>
      </c>
      <c r="D264" t="str">
        <f t="array" ref="D264">IF(TRIM(A264)="","",
_xlfn.TEXTJOIN(" , ",TRUE,
IF((個体台帳!$A$2:$A$1000=TRIM(A264))*(個体台帳!$C$2:$C$1000="小物2"),
個体台帳!$B$2:$B$1000,
"")))</f>
        <v/>
      </c>
      <c r="E264" s="8" t="str">
        <f t="array" ref="E264">IF($A264="","",
INDEX(個体台帳!$D$2:$D$1000,
MATCH(1,
(個体台帳!$A$2:$A$1000=$A264)*
(個体台帳!$C$2:$C$1000="服"),
0)))</f>
        <v/>
      </c>
      <c r="F264" t="str">
        <f t="array" ref="F264">IF($A264="","",
IF(COUNTIFS(貸出記録!$B:$B,$A264,貸出記録!$E:$E,"")&gt;0,
"貸出中","在庫"))</f>
        <v/>
      </c>
      <c r="G264" t="s">
        <v>6</v>
      </c>
      <c r="H264" t="s">
        <v>6</v>
      </c>
      <c r="I264" t="s">
        <v>6</v>
      </c>
    </row>
    <row r="265" spans="1:9">
      <c r="A265" s="21" t="s">
        <v>6</v>
      </c>
      <c r="B265" t="str">
        <f t="array" ref="B265">IF(TRIM(A265)="","",
_xlfn.TEXTJOIN(" , ",TRUE,
IF((個体台帳!$A$2:$A$1000=TRIM(A265))*(個体台帳!$C$2:$C$1000="服"),
個体台帳!$B$2:$B$1000,
"")))</f>
        <v/>
      </c>
      <c r="C265" t="str">
        <f t="array" ref="C265">IF(TRIM(A265)="","",
_xlfn.TEXTJOIN(" , ",TRUE,
IF((個体台帳!$A$2:$A$1000=TRIM(A265))*(個体台帳!$C$2:$C$1000="小物1"),
個体台帳!$B$2:$B$1000,
"")))</f>
        <v/>
      </c>
      <c r="D265" t="str">
        <f t="array" ref="D265">IF(TRIM(A265)="","",
_xlfn.TEXTJOIN(" , ",TRUE,
IF((個体台帳!$A$2:$A$1000=TRIM(A265))*(個体台帳!$C$2:$C$1000="小物2"),
個体台帳!$B$2:$B$1000,
"")))</f>
        <v/>
      </c>
      <c r="E265" s="8" t="str">
        <f t="array" ref="E265">IF($A265="","",
INDEX(個体台帳!$D$2:$D$1000,
MATCH(1,
(個体台帳!$A$2:$A$1000=$A265)*
(個体台帳!$C$2:$C$1000="服"),
0)))</f>
        <v/>
      </c>
      <c r="F265" t="str">
        <f t="array" ref="F265">IF($A265="","",
IF(COUNTIFS(貸出記録!$B:$B,$A265,貸出記録!$E:$E,"")&gt;0,
"貸出中","在庫"))</f>
        <v/>
      </c>
      <c r="G265" t="s">
        <v>6</v>
      </c>
      <c r="H265" t="s">
        <v>6</v>
      </c>
      <c r="I265" t="s">
        <v>6</v>
      </c>
    </row>
    <row r="266" spans="1:9">
      <c r="A266" s="21" t="s">
        <v>6</v>
      </c>
      <c r="B266" t="str">
        <f t="array" ref="B266">IF(TRIM(A266)="","",
_xlfn.TEXTJOIN(" , ",TRUE,
IF((個体台帳!$A$2:$A$1000=TRIM(A266))*(個体台帳!$C$2:$C$1000="服"),
個体台帳!$B$2:$B$1000,
"")))</f>
        <v/>
      </c>
      <c r="C266" t="str">
        <f t="array" ref="C266">IF(TRIM(A266)="","",
_xlfn.TEXTJOIN(" , ",TRUE,
IF((個体台帳!$A$2:$A$1000=TRIM(A266))*(個体台帳!$C$2:$C$1000="小物1"),
個体台帳!$B$2:$B$1000,
"")))</f>
        <v/>
      </c>
      <c r="D266" t="str">
        <f t="array" ref="D266">IF(TRIM(A266)="","",
_xlfn.TEXTJOIN(" , ",TRUE,
IF((個体台帳!$A$2:$A$1000=TRIM(A266))*(個体台帳!$C$2:$C$1000="小物2"),
個体台帳!$B$2:$B$1000,
"")))</f>
        <v/>
      </c>
      <c r="E266" s="8" t="str">
        <f t="array" ref="E266">IF($A266="","",
INDEX(個体台帳!$D$2:$D$1000,
MATCH(1,
(個体台帳!$A$2:$A$1000=$A266)*
(個体台帳!$C$2:$C$1000="服"),
0)))</f>
        <v/>
      </c>
      <c r="F266" t="str">
        <f t="array" ref="F266">IF($A266="","",
IF(COUNTIFS(貸出記録!$B:$B,$A266,貸出記録!$E:$E,"")&gt;0,
"貸出中","在庫"))</f>
        <v/>
      </c>
      <c r="G266" t="s">
        <v>6</v>
      </c>
      <c r="H266" t="s">
        <v>6</v>
      </c>
      <c r="I266" t="s">
        <v>6</v>
      </c>
    </row>
    <row r="267" spans="1:9">
      <c r="A267" s="21" t="s">
        <v>6</v>
      </c>
      <c r="B267" t="str">
        <f t="array" ref="B267">IF(TRIM(A267)="","",
_xlfn.TEXTJOIN(" , ",TRUE,
IF((個体台帳!$A$2:$A$1000=TRIM(A267))*(個体台帳!$C$2:$C$1000="服"),
個体台帳!$B$2:$B$1000,
"")))</f>
        <v/>
      </c>
      <c r="C267" t="str">
        <f t="array" ref="C267">IF(TRIM(A267)="","",
_xlfn.TEXTJOIN(" , ",TRUE,
IF((個体台帳!$A$2:$A$1000=TRIM(A267))*(個体台帳!$C$2:$C$1000="小物1"),
個体台帳!$B$2:$B$1000,
"")))</f>
        <v/>
      </c>
      <c r="D267" t="str">
        <f t="array" ref="D267">IF(TRIM(A267)="","",
_xlfn.TEXTJOIN(" , ",TRUE,
IF((個体台帳!$A$2:$A$1000=TRIM(A267))*(個体台帳!$C$2:$C$1000="小物2"),
個体台帳!$B$2:$B$1000,
"")))</f>
        <v/>
      </c>
      <c r="E267" s="8" t="str">
        <f t="array" ref="E267">IF($A267="","",
INDEX(個体台帳!$D$2:$D$1000,
MATCH(1,
(個体台帳!$A$2:$A$1000=$A267)*
(個体台帳!$C$2:$C$1000="服"),
0)))</f>
        <v/>
      </c>
      <c r="F267" t="str">
        <f t="array" ref="F267">IF($A267="","",
IF(COUNTIFS(貸出記録!$B:$B,$A267,貸出記録!$E:$E,"")&gt;0,
"貸出中","在庫"))</f>
        <v/>
      </c>
      <c r="G267" t="s">
        <v>6</v>
      </c>
      <c r="H267" t="s">
        <v>6</v>
      </c>
      <c r="I267" t="s">
        <v>6</v>
      </c>
    </row>
    <row r="268" spans="1:9">
      <c r="A268" s="21" t="s">
        <v>6</v>
      </c>
      <c r="B268" t="str">
        <f t="array" ref="B268">IF(TRIM(A268)="","",
_xlfn.TEXTJOIN(" , ",TRUE,
IF((個体台帳!$A$2:$A$1000=TRIM(A268))*(個体台帳!$C$2:$C$1000="服"),
個体台帳!$B$2:$B$1000,
"")))</f>
        <v/>
      </c>
      <c r="C268" t="str">
        <f t="array" ref="C268">IF(TRIM(A268)="","",
_xlfn.TEXTJOIN(" , ",TRUE,
IF((個体台帳!$A$2:$A$1000=TRIM(A268))*(個体台帳!$C$2:$C$1000="小物1"),
個体台帳!$B$2:$B$1000,
"")))</f>
        <v/>
      </c>
      <c r="D268" t="str">
        <f t="array" ref="D268">IF(TRIM(A268)="","",
_xlfn.TEXTJOIN(" , ",TRUE,
IF((個体台帳!$A$2:$A$1000=TRIM(A268))*(個体台帳!$C$2:$C$1000="小物2"),
個体台帳!$B$2:$B$1000,
"")))</f>
        <v/>
      </c>
      <c r="E268" s="8" t="str">
        <f t="array" ref="E268">IF($A268="","",
INDEX(個体台帳!$D$2:$D$1000,
MATCH(1,
(個体台帳!$A$2:$A$1000=$A268)*
(個体台帳!$C$2:$C$1000="服"),
0)))</f>
        <v/>
      </c>
      <c r="F268" t="str">
        <f t="array" ref="F268">IF($A268="","",
IF(COUNTIFS(貸出記録!$B:$B,$A268,貸出記録!$E:$E,"")&gt;0,
"貸出中","在庫"))</f>
        <v/>
      </c>
      <c r="G268" t="s">
        <v>6</v>
      </c>
      <c r="H268" t="s">
        <v>6</v>
      </c>
      <c r="I268" t="s">
        <v>6</v>
      </c>
    </row>
    <row r="269" spans="1:9">
      <c r="A269" s="21" t="s">
        <v>6</v>
      </c>
      <c r="B269" t="str">
        <f t="array" ref="B269">IF(TRIM(A269)="","",
_xlfn.TEXTJOIN(" , ",TRUE,
IF((個体台帳!$A$2:$A$1000=TRIM(A269))*(個体台帳!$C$2:$C$1000="服"),
個体台帳!$B$2:$B$1000,
"")))</f>
        <v/>
      </c>
      <c r="C269" t="str">
        <f t="array" ref="C269">IF(TRIM(A269)="","",
_xlfn.TEXTJOIN(" , ",TRUE,
IF((個体台帳!$A$2:$A$1000=TRIM(A269))*(個体台帳!$C$2:$C$1000="小物1"),
個体台帳!$B$2:$B$1000,
"")))</f>
        <v/>
      </c>
      <c r="D269" t="str">
        <f t="array" ref="D269">IF(TRIM(A269)="","",
_xlfn.TEXTJOIN(" , ",TRUE,
IF((個体台帳!$A$2:$A$1000=TRIM(A269))*(個体台帳!$C$2:$C$1000="小物2"),
個体台帳!$B$2:$B$1000,
"")))</f>
        <v/>
      </c>
      <c r="E269" s="8" t="str">
        <f t="array" ref="E269">IF($A269="","",
INDEX(個体台帳!$D$2:$D$1000,
MATCH(1,
(個体台帳!$A$2:$A$1000=$A269)*
(個体台帳!$C$2:$C$1000="服"),
0)))</f>
        <v/>
      </c>
      <c r="F269" t="str">
        <f t="array" ref="F269">IF($A269="","",
IF(COUNTIFS(貸出記録!$B:$B,$A269,貸出記録!$E:$E,"")&gt;0,
"貸出中","在庫"))</f>
        <v/>
      </c>
      <c r="G269" t="s">
        <v>6</v>
      </c>
      <c r="H269" t="s">
        <v>6</v>
      </c>
      <c r="I269" t="s">
        <v>6</v>
      </c>
    </row>
    <row r="270" spans="1:9">
      <c r="A270" s="21" t="s">
        <v>6</v>
      </c>
      <c r="B270" t="str">
        <f t="array" ref="B270">IF(TRIM(A270)="","",
_xlfn.TEXTJOIN(" , ",TRUE,
IF((個体台帳!$A$2:$A$1000=TRIM(A270))*(個体台帳!$C$2:$C$1000="服"),
個体台帳!$B$2:$B$1000,
"")))</f>
        <v/>
      </c>
      <c r="C270" t="str">
        <f t="array" ref="C270">IF(TRIM(A270)="","",
_xlfn.TEXTJOIN(" , ",TRUE,
IF((個体台帳!$A$2:$A$1000=TRIM(A270))*(個体台帳!$C$2:$C$1000="小物1"),
個体台帳!$B$2:$B$1000,
"")))</f>
        <v/>
      </c>
      <c r="D270" t="str">
        <f t="array" ref="D270">IF(TRIM(A270)="","",
_xlfn.TEXTJOIN(" , ",TRUE,
IF((個体台帳!$A$2:$A$1000=TRIM(A270))*(個体台帳!$C$2:$C$1000="小物2"),
個体台帳!$B$2:$B$1000,
"")))</f>
        <v/>
      </c>
      <c r="E270" s="8" t="str">
        <f t="array" ref="E270">IF($A270="","",
INDEX(個体台帳!$D$2:$D$1000,
MATCH(1,
(個体台帳!$A$2:$A$1000=$A270)*
(個体台帳!$C$2:$C$1000="服"),
0)))</f>
        <v/>
      </c>
      <c r="F270" t="str">
        <f t="array" ref="F270">IF($A270="","",
IF(COUNTIFS(貸出記録!$B:$B,$A270,貸出記録!$E:$E,"")&gt;0,
"貸出中","在庫"))</f>
        <v/>
      </c>
      <c r="G270" t="s">
        <v>6</v>
      </c>
      <c r="H270" t="s">
        <v>6</v>
      </c>
      <c r="I270" t="s">
        <v>6</v>
      </c>
    </row>
    <row r="271" spans="1:9">
      <c r="A271" s="21" t="s">
        <v>6</v>
      </c>
      <c r="B271" t="str">
        <f t="array" ref="B271">IF(TRIM(A271)="","",
_xlfn.TEXTJOIN(" , ",TRUE,
IF((個体台帳!$A$2:$A$1000=TRIM(A271))*(個体台帳!$C$2:$C$1000="服"),
個体台帳!$B$2:$B$1000,
"")))</f>
        <v/>
      </c>
      <c r="C271" t="str">
        <f t="array" ref="C271">IF(TRIM(A271)="","",
_xlfn.TEXTJOIN(" , ",TRUE,
IF((個体台帳!$A$2:$A$1000=TRIM(A271))*(個体台帳!$C$2:$C$1000="小物1"),
個体台帳!$B$2:$B$1000,
"")))</f>
        <v/>
      </c>
      <c r="D271" t="str">
        <f t="array" ref="D271">IF(TRIM(A271)="","",
_xlfn.TEXTJOIN(" , ",TRUE,
IF((個体台帳!$A$2:$A$1000=TRIM(A271))*(個体台帳!$C$2:$C$1000="小物2"),
個体台帳!$B$2:$B$1000,
"")))</f>
        <v/>
      </c>
      <c r="E271" s="8" t="str">
        <f t="array" ref="E271">IF($A271="","",
INDEX(個体台帳!$D$2:$D$1000,
MATCH(1,
(個体台帳!$A$2:$A$1000=$A271)*
(個体台帳!$C$2:$C$1000="服"),
0)))</f>
        <v/>
      </c>
      <c r="F271" t="str">
        <f t="array" ref="F271">IF($A271="","",
IF(COUNTIFS(貸出記録!$B:$B,$A271,貸出記録!$E:$E,"")&gt;0,
"貸出中","在庫"))</f>
        <v/>
      </c>
      <c r="G271" t="s">
        <v>6</v>
      </c>
      <c r="H271" t="s">
        <v>6</v>
      </c>
      <c r="I271" t="s">
        <v>6</v>
      </c>
    </row>
    <row r="272" spans="1:9">
      <c r="A272" s="21" t="s">
        <v>6</v>
      </c>
      <c r="B272" t="str">
        <f t="array" ref="B272">IF(TRIM(A272)="","",
_xlfn.TEXTJOIN(" , ",TRUE,
IF((個体台帳!$A$2:$A$1000=TRIM(A272))*(個体台帳!$C$2:$C$1000="服"),
個体台帳!$B$2:$B$1000,
"")))</f>
        <v/>
      </c>
      <c r="C272" t="str">
        <f t="array" ref="C272">IF(TRIM(A272)="","",
_xlfn.TEXTJOIN(" , ",TRUE,
IF((個体台帳!$A$2:$A$1000=TRIM(A272))*(個体台帳!$C$2:$C$1000="小物1"),
個体台帳!$B$2:$B$1000,
"")))</f>
        <v/>
      </c>
      <c r="D272" t="str">
        <f t="array" ref="D272">IF(TRIM(A272)="","",
_xlfn.TEXTJOIN(" , ",TRUE,
IF((個体台帳!$A$2:$A$1000=TRIM(A272))*(個体台帳!$C$2:$C$1000="小物2"),
個体台帳!$B$2:$B$1000,
"")))</f>
        <v/>
      </c>
      <c r="E272" s="8" t="str">
        <f t="array" ref="E272">IF($A272="","",
INDEX(個体台帳!$D$2:$D$1000,
MATCH(1,
(個体台帳!$A$2:$A$1000=$A272)*
(個体台帳!$C$2:$C$1000="服"),
0)))</f>
        <v/>
      </c>
      <c r="F272" t="str">
        <f t="array" ref="F272">IF($A272="","",
IF(COUNTIFS(貸出記録!$B:$B,$A272,貸出記録!$E:$E,"")&gt;0,
"貸出中","在庫"))</f>
        <v/>
      </c>
      <c r="G272" t="s">
        <v>6</v>
      </c>
      <c r="H272" t="s">
        <v>6</v>
      </c>
      <c r="I272" t="s">
        <v>6</v>
      </c>
    </row>
    <row r="273" spans="1:9">
      <c r="A273" s="21" t="s">
        <v>6</v>
      </c>
      <c r="B273" t="str">
        <f t="array" ref="B273">IF(TRIM(A273)="","",
_xlfn.TEXTJOIN(" , ",TRUE,
IF((個体台帳!$A$2:$A$1000=TRIM(A273))*(個体台帳!$C$2:$C$1000="服"),
個体台帳!$B$2:$B$1000,
"")))</f>
        <v/>
      </c>
      <c r="C273" t="str">
        <f t="array" ref="C273">IF(TRIM(A273)="","",
_xlfn.TEXTJOIN(" , ",TRUE,
IF((個体台帳!$A$2:$A$1000=TRIM(A273))*(個体台帳!$C$2:$C$1000="小物1"),
個体台帳!$B$2:$B$1000,
"")))</f>
        <v/>
      </c>
      <c r="D273" t="str">
        <f t="array" ref="D273">IF(TRIM(A273)="","",
_xlfn.TEXTJOIN(" , ",TRUE,
IF((個体台帳!$A$2:$A$1000=TRIM(A273))*(個体台帳!$C$2:$C$1000="小物2"),
個体台帳!$B$2:$B$1000,
"")))</f>
        <v/>
      </c>
      <c r="E273" s="8" t="str">
        <f t="array" ref="E273">IF($A273="","",
INDEX(個体台帳!$D$2:$D$1000,
MATCH(1,
(個体台帳!$A$2:$A$1000=$A273)*
(個体台帳!$C$2:$C$1000="服"),
0)))</f>
        <v/>
      </c>
      <c r="F273" t="str">
        <f t="array" ref="F273">IF($A273="","",
IF(COUNTIFS(貸出記録!$B:$B,$A273,貸出記録!$E:$E,"")&gt;0,
"貸出中","在庫"))</f>
        <v/>
      </c>
      <c r="G273" t="s">
        <v>6</v>
      </c>
      <c r="H273" t="s">
        <v>6</v>
      </c>
      <c r="I273" t="s">
        <v>6</v>
      </c>
    </row>
    <row r="274" spans="1:9">
      <c r="A274" s="21" t="s">
        <v>6</v>
      </c>
      <c r="B274" t="str">
        <f t="array" ref="B274">IF(TRIM(A274)="","",
_xlfn.TEXTJOIN(" , ",TRUE,
IF((個体台帳!$A$2:$A$1000=TRIM(A274))*(個体台帳!$C$2:$C$1000="服"),
個体台帳!$B$2:$B$1000,
"")))</f>
        <v/>
      </c>
      <c r="C274" t="str">
        <f t="array" ref="C274">IF(TRIM(A274)="","",
_xlfn.TEXTJOIN(" , ",TRUE,
IF((個体台帳!$A$2:$A$1000=TRIM(A274))*(個体台帳!$C$2:$C$1000="小物1"),
個体台帳!$B$2:$B$1000,
"")))</f>
        <v/>
      </c>
      <c r="D274" t="str">
        <f t="array" ref="D274">IF(TRIM(A274)="","",
_xlfn.TEXTJOIN(" , ",TRUE,
IF((個体台帳!$A$2:$A$1000=TRIM(A274))*(個体台帳!$C$2:$C$1000="小物2"),
個体台帳!$B$2:$B$1000,
"")))</f>
        <v/>
      </c>
      <c r="E274" s="8" t="str">
        <f t="array" ref="E274">IF($A274="","",
INDEX(個体台帳!$D$2:$D$1000,
MATCH(1,
(個体台帳!$A$2:$A$1000=$A274)*
(個体台帳!$C$2:$C$1000="服"),
0)))</f>
        <v/>
      </c>
      <c r="F274" t="str">
        <f t="array" ref="F274">IF($A274="","",
IF(COUNTIFS(貸出記録!$B:$B,$A274,貸出記録!$E:$E,"")&gt;0,
"貸出中","在庫"))</f>
        <v/>
      </c>
      <c r="G274" t="s">
        <v>6</v>
      </c>
      <c r="H274" t="s">
        <v>6</v>
      </c>
      <c r="I274" t="s">
        <v>6</v>
      </c>
    </row>
    <row r="275" spans="1:9">
      <c r="A275" s="21" t="s">
        <v>6</v>
      </c>
      <c r="B275" t="str">
        <f t="array" ref="B275">IF(TRIM(A275)="","",
_xlfn.TEXTJOIN(" , ",TRUE,
IF((個体台帳!$A$2:$A$1000=TRIM(A275))*(個体台帳!$C$2:$C$1000="服"),
個体台帳!$B$2:$B$1000,
"")))</f>
        <v/>
      </c>
      <c r="C275" t="str">
        <f t="array" ref="C275">IF(TRIM(A275)="","",
_xlfn.TEXTJOIN(" , ",TRUE,
IF((個体台帳!$A$2:$A$1000=TRIM(A275))*(個体台帳!$C$2:$C$1000="小物1"),
個体台帳!$B$2:$B$1000,
"")))</f>
        <v/>
      </c>
      <c r="D275" t="str">
        <f t="array" ref="D275">IF(TRIM(A275)="","",
_xlfn.TEXTJOIN(" , ",TRUE,
IF((個体台帳!$A$2:$A$1000=TRIM(A275))*(個体台帳!$C$2:$C$1000="小物2"),
個体台帳!$B$2:$B$1000,
"")))</f>
        <v/>
      </c>
      <c r="E275" s="8" t="str">
        <f t="array" ref="E275">IF($A275="","",
INDEX(個体台帳!$D$2:$D$1000,
MATCH(1,
(個体台帳!$A$2:$A$1000=$A275)*
(個体台帳!$C$2:$C$1000="服"),
0)))</f>
        <v/>
      </c>
      <c r="F275" t="str">
        <f t="array" ref="F275">IF($A275="","",
IF(COUNTIFS(貸出記録!$B:$B,$A275,貸出記録!$E:$E,"")&gt;0,
"貸出中","在庫"))</f>
        <v/>
      </c>
      <c r="G275" t="s">
        <v>6</v>
      </c>
      <c r="H275" t="s">
        <v>6</v>
      </c>
      <c r="I275" t="s">
        <v>6</v>
      </c>
    </row>
    <row r="276" spans="1:9">
      <c r="A276" s="21" t="s">
        <v>6</v>
      </c>
      <c r="B276" t="str">
        <f t="array" ref="B276">IF(TRIM(A276)="","",
_xlfn.TEXTJOIN(" , ",TRUE,
IF((個体台帳!$A$2:$A$1000=TRIM(A276))*(個体台帳!$C$2:$C$1000="服"),
個体台帳!$B$2:$B$1000,
"")))</f>
        <v/>
      </c>
      <c r="C276" t="str">
        <f t="array" ref="C276">IF(TRIM(A276)="","",
_xlfn.TEXTJOIN(" , ",TRUE,
IF((個体台帳!$A$2:$A$1000=TRIM(A276))*(個体台帳!$C$2:$C$1000="小物1"),
個体台帳!$B$2:$B$1000,
"")))</f>
        <v/>
      </c>
      <c r="D276" t="str">
        <f t="array" ref="D276">IF(TRIM(A276)="","",
_xlfn.TEXTJOIN(" , ",TRUE,
IF((個体台帳!$A$2:$A$1000=TRIM(A276))*(個体台帳!$C$2:$C$1000="小物2"),
個体台帳!$B$2:$B$1000,
"")))</f>
        <v/>
      </c>
      <c r="E276" s="8" t="str">
        <f t="array" ref="E276">IF($A276="","",
INDEX(個体台帳!$D$2:$D$1000,
MATCH(1,
(個体台帳!$A$2:$A$1000=$A276)*
(個体台帳!$C$2:$C$1000="服"),
0)))</f>
        <v/>
      </c>
      <c r="F276" t="str">
        <f t="array" ref="F276">IF($A276="","",
IF(COUNTIFS(貸出記録!$B:$B,$A276,貸出記録!$E:$E,"")&gt;0,
"貸出中","在庫"))</f>
        <v/>
      </c>
      <c r="G276" t="s">
        <v>6</v>
      </c>
      <c r="H276" t="s">
        <v>6</v>
      </c>
      <c r="I276" t="s">
        <v>6</v>
      </c>
    </row>
    <row r="277" spans="1:9">
      <c r="A277" s="21" t="s">
        <v>6</v>
      </c>
      <c r="B277" t="str">
        <f t="array" ref="B277">IF(TRIM(A277)="","",
_xlfn.TEXTJOIN(" , ",TRUE,
IF((個体台帳!$A$2:$A$1000=TRIM(A277))*(個体台帳!$C$2:$C$1000="服"),
個体台帳!$B$2:$B$1000,
"")))</f>
        <v/>
      </c>
      <c r="C277" t="str">
        <f t="array" ref="C277">IF(TRIM(A277)="","",
_xlfn.TEXTJOIN(" , ",TRUE,
IF((個体台帳!$A$2:$A$1000=TRIM(A277))*(個体台帳!$C$2:$C$1000="小物1"),
個体台帳!$B$2:$B$1000,
"")))</f>
        <v/>
      </c>
      <c r="D277" t="str">
        <f t="array" ref="D277">IF(TRIM(A277)="","",
_xlfn.TEXTJOIN(" , ",TRUE,
IF((個体台帳!$A$2:$A$1000=TRIM(A277))*(個体台帳!$C$2:$C$1000="小物2"),
個体台帳!$B$2:$B$1000,
"")))</f>
        <v/>
      </c>
      <c r="E277" s="8" t="str">
        <f t="array" ref="E277">IF($A277="","",
INDEX(個体台帳!$D$2:$D$1000,
MATCH(1,
(個体台帳!$A$2:$A$1000=$A277)*
(個体台帳!$C$2:$C$1000="服"),
0)))</f>
        <v/>
      </c>
      <c r="F277" t="str">
        <f t="array" ref="F277">IF($A277="","",
IF(COUNTIFS(貸出記録!$B:$B,$A277,貸出記録!$E:$E,"")&gt;0,
"貸出中","在庫"))</f>
        <v/>
      </c>
      <c r="G277" t="s">
        <v>6</v>
      </c>
      <c r="H277" t="s">
        <v>6</v>
      </c>
      <c r="I277" t="s">
        <v>6</v>
      </c>
    </row>
    <row r="278" spans="1:9">
      <c r="A278" s="21" t="s">
        <v>6</v>
      </c>
      <c r="B278" t="str">
        <f t="array" ref="B278">IF(TRIM(A278)="","",
_xlfn.TEXTJOIN(" , ",TRUE,
IF((個体台帳!$A$2:$A$1000=TRIM(A278))*(個体台帳!$C$2:$C$1000="服"),
個体台帳!$B$2:$B$1000,
"")))</f>
        <v/>
      </c>
      <c r="C278" t="str">
        <f t="array" ref="C278">IF(TRIM(A278)="","",
_xlfn.TEXTJOIN(" , ",TRUE,
IF((個体台帳!$A$2:$A$1000=TRIM(A278))*(個体台帳!$C$2:$C$1000="小物1"),
個体台帳!$B$2:$B$1000,
"")))</f>
        <v/>
      </c>
      <c r="D278" t="str">
        <f t="array" ref="D278">IF(TRIM(A278)="","",
_xlfn.TEXTJOIN(" , ",TRUE,
IF((個体台帳!$A$2:$A$1000=TRIM(A278))*(個体台帳!$C$2:$C$1000="小物2"),
個体台帳!$B$2:$B$1000,
"")))</f>
        <v/>
      </c>
      <c r="E278" s="8" t="str">
        <f t="array" ref="E278">IF($A278="","",
INDEX(個体台帳!$D$2:$D$1000,
MATCH(1,
(個体台帳!$A$2:$A$1000=$A278)*
(個体台帳!$C$2:$C$1000="服"),
0)))</f>
        <v/>
      </c>
      <c r="F278" t="str">
        <f t="array" ref="F278">IF($A278="","",
IF(COUNTIFS(貸出記録!$B:$B,$A278,貸出記録!$E:$E,"")&gt;0,
"貸出中","在庫"))</f>
        <v/>
      </c>
      <c r="G278" t="s">
        <v>6</v>
      </c>
      <c r="H278" t="s">
        <v>6</v>
      </c>
      <c r="I278" t="s">
        <v>6</v>
      </c>
    </row>
    <row r="279" spans="1:9">
      <c r="A279" s="21" t="s">
        <v>6</v>
      </c>
      <c r="B279" t="str">
        <f t="array" ref="B279">IF(TRIM(A279)="","",
_xlfn.TEXTJOIN(" , ",TRUE,
IF((個体台帳!$A$2:$A$1000=TRIM(A279))*(個体台帳!$C$2:$C$1000="服"),
個体台帳!$B$2:$B$1000,
"")))</f>
        <v/>
      </c>
      <c r="C279" t="str">
        <f t="array" ref="C279">IF(TRIM(A279)="","",
_xlfn.TEXTJOIN(" , ",TRUE,
IF((個体台帳!$A$2:$A$1000=TRIM(A279))*(個体台帳!$C$2:$C$1000="小物1"),
個体台帳!$B$2:$B$1000,
"")))</f>
        <v/>
      </c>
      <c r="D279" t="str">
        <f t="array" ref="D279">IF(TRIM(A279)="","",
_xlfn.TEXTJOIN(" , ",TRUE,
IF((個体台帳!$A$2:$A$1000=TRIM(A279))*(個体台帳!$C$2:$C$1000="小物2"),
個体台帳!$B$2:$B$1000,
"")))</f>
        <v/>
      </c>
      <c r="E279" s="8" t="str">
        <f t="array" ref="E279">IF($A279="","",
INDEX(個体台帳!$D$2:$D$1000,
MATCH(1,
(個体台帳!$A$2:$A$1000=$A279)*
(個体台帳!$C$2:$C$1000="服"),
0)))</f>
        <v/>
      </c>
      <c r="F279" t="str">
        <f t="array" ref="F279">IF($A279="","",
IF(COUNTIFS(貸出記録!$B:$B,$A279,貸出記録!$E:$E,"")&gt;0,
"貸出中","在庫"))</f>
        <v/>
      </c>
      <c r="G279" t="s">
        <v>6</v>
      </c>
      <c r="H279" t="s">
        <v>6</v>
      </c>
      <c r="I279" t="s">
        <v>6</v>
      </c>
    </row>
    <row r="280" spans="1:9">
      <c r="A280" s="21" t="s">
        <v>6</v>
      </c>
      <c r="B280" t="str">
        <f t="array" ref="B280">IF(TRIM(A280)="","",
_xlfn.TEXTJOIN(" , ",TRUE,
IF((個体台帳!$A$2:$A$1000=TRIM(A280))*(個体台帳!$C$2:$C$1000="服"),
個体台帳!$B$2:$B$1000,
"")))</f>
        <v/>
      </c>
      <c r="C280" t="str">
        <f t="array" ref="C280">IF(TRIM(A280)="","",
_xlfn.TEXTJOIN(" , ",TRUE,
IF((個体台帳!$A$2:$A$1000=TRIM(A280))*(個体台帳!$C$2:$C$1000="小物1"),
個体台帳!$B$2:$B$1000,
"")))</f>
        <v/>
      </c>
      <c r="D280" t="str">
        <f t="array" ref="D280">IF(TRIM(A280)="","",
_xlfn.TEXTJOIN(" , ",TRUE,
IF((個体台帳!$A$2:$A$1000=TRIM(A280))*(個体台帳!$C$2:$C$1000="小物2"),
個体台帳!$B$2:$B$1000,
"")))</f>
        <v/>
      </c>
      <c r="E280" s="8" t="str">
        <f t="array" ref="E280">IF($A280="","",
INDEX(個体台帳!$D$2:$D$1000,
MATCH(1,
(個体台帳!$A$2:$A$1000=$A280)*
(個体台帳!$C$2:$C$1000="服"),
0)))</f>
        <v/>
      </c>
      <c r="F280" t="str">
        <f t="array" ref="F280">IF($A280="","",
IF(COUNTIFS(貸出記録!$B:$B,$A280,貸出記録!$E:$E,"")&gt;0,
"貸出中","在庫"))</f>
        <v/>
      </c>
      <c r="G280" t="s">
        <v>6</v>
      </c>
      <c r="H280" t="s">
        <v>6</v>
      </c>
      <c r="I280" t="s">
        <v>6</v>
      </c>
    </row>
    <row r="281" spans="1:9">
      <c r="A281" s="21" t="s">
        <v>6</v>
      </c>
      <c r="B281" t="str">
        <f t="array" ref="B281">IF(TRIM(A281)="","",
_xlfn.TEXTJOIN(" , ",TRUE,
IF((個体台帳!$A$2:$A$1000=TRIM(A281))*(個体台帳!$C$2:$C$1000="服"),
個体台帳!$B$2:$B$1000,
"")))</f>
        <v/>
      </c>
      <c r="C281" t="str">
        <f t="array" ref="C281">IF(TRIM(A281)="","",
_xlfn.TEXTJOIN(" , ",TRUE,
IF((個体台帳!$A$2:$A$1000=TRIM(A281))*(個体台帳!$C$2:$C$1000="小物1"),
個体台帳!$B$2:$B$1000,
"")))</f>
        <v/>
      </c>
      <c r="D281" t="str">
        <f t="array" ref="D281">IF(TRIM(A281)="","",
_xlfn.TEXTJOIN(" , ",TRUE,
IF((個体台帳!$A$2:$A$1000=TRIM(A281))*(個体台帳!$C$2:$C$1000="小物2"),
個体台帳!$B$2:$B$1000,
"")))</f>
        <v/>
      </c>
      <c r="E281" s="8" t="str">
        <f t="array" ref="E281">IF($A281="","",
INDEX(個体台帳!$D$2:$D$1000,
MATCH(1,
(個体台帳!$A$2:$A$1000=$A281)*
(個体台帳!$C$2:$C$1000="服"),
0)))</f>
        <v/>
      </c>
      <c r="F281" t="str">
        <f t="array" ref="F281">IF($A281="","",
IF(COUNTIFS(貸出記録!$B:$B,$A281,貸出記録!$E:$E,"")&gt;0,
"貸出中","在庫"))</f>
        <v/>
      </c>
      <c r="G281" t="s">
        <v>6</v>
      </c>
      <c r="H281" t="s">
        <v>6</v>
      </c>
      <c r="I281" t="s">
        <v>6</v>
      </c>
    </row>
    <row r="282" spans="1:9">
      <c r="A282" s="21" t="s">
        <v>6</v>
      </c>
      <c r="B282" t="str">
        <f t="array" ref="B282">IF(TRIM(A282)="","",
_xlfn.TEXTJOIN(" , ",TRUE,
IF((個体台帳!$A$2:$A$1000=TRIM(A282))*(個体台帳!$C$2:$C$1000="服"),
個体台帳!$B$2:$B$1000,
"")))</f>
        <v/>
      </c>
      <c r="C282" t="str">
        <f t="array" ref="C282">IF(TRIM(A282)="","",
_xlfn.TEXTJOIN(" , ",TRUE,
IF((個体台帳!$A$2:$A$1000=TRIM(A282))*(個体台帳!$C$2:$C$1000="小物1"),
個体台帳!$B$2:$B$1000,
"")))</f>
        <v/>
      </c>
      <c r="D282" t="str">
        <f t="array" ref="D282">IF(TRIM(A282)="","",
_xlfn.TEXTJOIN(" , ",TRUE,
IF((個体台帳!$A$2:$A$1000=TRIM(A282))*(個体台帳!$C$2:$C$1000="小物2"),
個体台帳!$B$2:$B$1000,
"")))</f>
        <v/>
      </c>
      <c r="E282" s="8" t="str">
        <f t="array" ref="E282">IF($A282="","",
INDEX(個体台帳!$D$2:$D$1000,
MATCH(1,
(個体台帳!$A$2:$A$1000=$A282)*
(個体台帳!$C$2:$C$1000="服"),
0)))</f>
        <v/>
      </c>
      <c r="F282" t="str">
        <f t="array" ref="F282">IF($A282="","",
IF(COUNTIFS(貸出記録!$B:$B,$A282,貸出記録!$E:$E,"")&gt;0,
"貸出中","在庫"))</f>
        <v/>
      </c>
      <c r="G282" t="s">
        <v>6</v>
      </c>
      <c r="H282" t="s">
        <v>6</v>
      </c>
      <c r="I282" t="s">
        <v>6</v>
      </c>
    </row>
    <row r="283" spans="1:9">
      <c r="A283" s="21" t="s">
        <v>6</v>
      </c>
      <c r="B283" t="str">
        <f t="array" ref="B283">IF(TRIM(A283)="","",
_xlfn.TEXTJOIN(" , ",TRUE,
IF((個体台帳!$A$2:$A$1000=TRIM(A283))*(個体台帳!$C$2:$C$1000="服"),
個体台帳!$B$2:$B$1000,
"")))</f>
        <v/>
      </c>
      <c r="C283" t="str">
        <f t="array" ref="C283">IF(TRIM(A283)="","",
_xlfn.TEXTJOIN(" , ",TRUE,
IF((個体台帳!$A$2:$A$1000=TRIM(A283))*(個体台帳!$C$2:$C$1000="小物1"),
個体台帳!$B$2:$B$1000,
"")))</f>
        <v/>
      </c>
      <c r="D283" t="str">
        <f t="array" ref="D283">IF(TRIM(A283)="","",
_xlfn.TEXTJOIN(" , ",TRUE,
IF((個体台帳!$A$2:$A$1000=TRIM(A283))*(個体台帳!$C$2:$C$1000="小物2"),
個体台帳!$B$2:$B$1000,
"")))</f>
        <v/>
      </c>
      <c r="E283" s="8" t="str">
        <f t="array" ref="E283">IF($A283="","",
INDEX(個体台帳!$D$2:$D$1000,
MATCH(1,
(個体台帳!$A$2:$A$1000=$A283)*
(個体台帳!$C$2:$C$1000="服"),
0)))</f>
        <v/>
      </c>
      <c r="F283" t="str">
        <f t="array" ref="F283">IF($A283="","",
IF(COUNTIFS(貸出記録!$B:$B,$A283,貸出記録!$E:$E,"")&gt;0,
"貸出中","在庫"))</f>
        <v/>
      </c>
      <c r="G283" t="s">
        <v>6</v>
      </c>
      <c r="H283" t="s">
        <v>6</v>
      </c>
      <c r="I283" t="s">
        <v>6</v>
      </c>
    </row>
    <row r="284" spans="1:9">
      <c r="A284" s="21" t="s">
        <v>6</v>
      </c>
      <c r="B284" t="str">
        <f t="array" ref="B284">IF(TRIM(A284)="","",
_xlfn.TEXTJOIN(" , ",TRUE,
IF((個体台帳!$A$2:$A$1000=TRIM(A284))*(個体台帳!$C$2:$C$1000="服"),
個体台帳!$B$2:$B$1000,
"")))</f>
        <v/>
      </c>
      <c r="C284" t="str">
        <f t="array" ref="C284">IF(TRIM(A284)="","",
_xlfn.TEXTJOIN(" , ",TRUE,
IF((個体台帳!$A$2:$A$1000=TRIM(A284))*(個体台帳!$C$2:$C$1000="小物1"),
個体台帳!$B$2:$B$1000,
"")))</f>
        <v/>
      </c>
      <c r="D284" t="str">
        <f t="array" ref="D284">IF(TRIM(A284)="","",
_xlfn.TEXTJOIN(" , ",TRUE,
IF((個体台帳!$A$2:$A$1000=TRIM(A284))*(個体台帳!$C$2:$C$1000="小物2"),
個体台帳!$B$2:$B$1000,
"")))</f>
        <v/>
      </c>
      <c r="E284" s="8" t="str">
        <f t="array" ref="E284">IF($A284="","",
INDEX(個体台帳!$D$2:$D$1000,
MATCH(1,
(個体台帳!$A$2:$A$1000=$A284)*
(個体台帳!$C$2:$C$1000="服"),
0)))</f>
        <v/>
      </c>
      <c r="F284" t="str">
        <f t="array" ref="F284">IF($A284="","",
IF(COUNTIFS(貸出記録!$B:$B,$A284,貸出記録!$E:$E,"")&gt;0,
"貸出中","在庫"))</f>
        <v/>
      </c>
      <c r="G284" t="s">
        <v>6</v>
      </c>
      <c r="H284" t="s">
        <v>6</v>
      </c>
      <c r="I284" t="s">
        <v>6</v>
      </c>
    </row>
    <row r="285" spans="1:9">
      <c r="A285" s="21" t="s">
        <v>6</v>
      </c>
      <c r="B285" t="str">
        <f t="array" ref="B285">IF(TRIM(A285)="","",
_xlfn.TEXTJOIN(" , ",TRUE,
IF((個体台帳!$A$2:$A$1000=TRIM(A285))*(個体台帳!$C$2:$C$1000="服"),
個体台帳!$B$2:$B$1000,
"")))</f>
        <v/>
      </c>
      <c r="C285" t="str">
        <f t="array" ref="C285">IF(TRIM(A285)="","",
_xlfn.TEXTJOIN(" , ",TRUE,
IF((個体台帳!$A$2:$A$1000=TRIM(A285))*(個体台帳!$C$2:$C$1000="小物1"),
個体台帳!$B$2:$B$1000,
"")))</f>
        <v/>
      </c>
      <c r="D285" t="str">
        <f t="array" ref="D285">IF(TRIM(A285)="","",
_xlfn.TEXTJOIN(" , ",TRUE,
IF((個体台帳!$A$2:$A$1000=TRIM(A285))*(個体台帳!$C$2:$C$1000="小物2"),
個体台帳!$B$2:$B$1000,
"")))</f>
        <v/>
      </c>
      <c r="E285" s="8" t="str">
        <f t="array" ref="E285">IF($A285="","",
INDEX(個体台帳!$D$2:$D$1000,
MATCH(1,
(個体台帳!$A$2:$A$1000=$A285)*
(個体台帳!$C$2:$C$1000="服"),
0)))</f>
        <v/>
      </c>
      <c r="F285" t="str">
        <f t="array" ref="F285">IF($A285="","",
IF(COUNTIFS(貸出記録!$B:$B,$A285,貸出記録!$E:$E,"")&gt;0,
"貸出中","在庫"))</f>
        <v/>
      </c>
      <c r="G285" t="s">
        <v>6</v>
      </c>
      <c r="H285" t="s">
        <v>6</v>
      </c>
      <c r="I285" t="s">
        <v>6</v>
      </c>
    </row>
    <row r="286" spans="1:9">
      <c r="A286" s="21" t="s">
        <v>6</v>
      </c>
      <c r="B286" t="str">
        <f t="array" ref="B286">IF(TRIM(A286)="","",
_xlfn.TEXTJOIN(" , ",TRUE,
IF((個体台帳!$A$2:$A$1000=TRIM(A286))*(個体台帳!$C$2:$C$1000="服"),
個体台帳!$B$2:$B$1000,
"")))</f>
        <v/>
      </c>
      <c r="C286" t="str">
        <f t="array" ref="C286">IF(TRIM(A286)="","",
_xlfn.TEXTJOIN(" , ",TRUE,
IF((個体台帳!$A$2:$A$1000=TRIM(A286))*(個体台帳!$C$2:$C$1000="小物1"),
個体台帳!$B$2:$B$1000,
"")))</f>
        <v/>
      </c>
      <c r="D286" t="str">
        <f t="array" ref="D286">IF(TRIM(A286)="","",
_xlfn.TEXTJOIN(" , ",TRUE,
IF((個体台帳!$A$2:$A$1000=TRIM(A286))*(個体台帳!$C$2:$C$1000="小物2"),
個体台帳!$B$2:$B$1000,
"")))</f>
        <v/>
      </c>
      <c r="E286" s="8" t="str">
        <f t="array" ref="E286">IF($A286="","",
INDEX(個体台帳!$D$2:$D$1000,
MATCH(1,
(個体台帳!$A$2:$A$1000=$A286)*
(個体台帳!$C$2:$C$1000="服"),
0)))</f>
        <v/>
      </c>
      <c r="F286" t="str">
        <f t="array" ref="F286">IF($A286="","",
IF(COUNTIFS(貸出記録!$B:$B,$A286,貸出記録!$E:$E,"")&gt;0,
"貸出中","在庫"))</f>
        <v/>
      </c>
      <c r="G286" t="s">
        <v>6</v>
      </c>
      <c r="H286" t="s">
        <v>6</v>
      </c>
      <c r="I286" t="s">
        <v>6</v>
      </c>
    </row>
    <row r="287" spans="1:9">
      <c r="A287" s="21" t="s">
        <v>6</v>
      </c>
      <c r="B287" t="str">
        <f t="array" ref="B287">IF(TRIM(A287)="","",
_xlfn.TEXTJOIN(" , ",TRUE,
IF((個体台帳!$A$2:$A$1000=TRIM(A287))*(個体台帳!$C$2:$C$1000="服"),
個体台帳!$B$2:$B$1000,
"")))</f>
        <v/>
      </c>
      <c r="C287" t="str">
        <f t="array" ref="C287">IF(TRIM(A287)="","",
_xlfn.TEXTJOIN(" , ",TRUE,
IF((個体台帳!$A$2:$A$1000=TRIM(A287))*(個体台帳!$C$2:$C$1000="小物1"),
個体台帳!$B$2:$B$1000,
"")))</f>
        <v/>
      </c>
      <c r="D287" t="str">
        <f t="array" ref="D287">IF(TRIM(A287)="","",
_xlfn.TEXTJOIN(" , ",TRUE,
IF((個体台帳!$A$2:$A$1000=TRIM(A287))*(個体台帳!$C$2:$C$1000="小物2"),
個体台帳!$B$2:$B$1000,
"")))</f>
        <v/>
      </c>
      <c r="E287" s="8" t="str">
        <f t="array" ref="E287">IF($A287="","",
INDEX(個体台帳!$D$2:$D$1000,
MATCH(1,
(個体台帳!$A$2:$A$1000=$A287)*
(個体台帳!$C$2:$C$1000="服"),
0)))</f>
        <v/>
      </c>
      <c r="F287" t="str">
        <f t="array" ref="F287">IF($A287="","",
IF(COUNTIFS(貸出記録!$B:$B,$A287,貸出記録!$E:$E,"")&gt;0,
"貸出中","在庫"))</f>
        <v/>
      </c>
      <c r="G287" t="s">
        <v>6</v>
      </c>
      <c r="H287" t="s">
        <v>6</v>
      </c>
      <c r="I287" t="s">
        <v>6</v>
      </c>
    </row>
    <row r="288" spans="1:9">
      <c r="A288" s="21" t="s">
        <v>6</v>
      </c>
      <c r="B288" t="str">
        <f t="array" ref="B288">IF(TRIM(A288)="","",
_xlfn.TEXTJOIN(" , ",TRUE,
IF((個体台帳!$A$2:$A$1000=TRIM(A288))*(個体台帳!$C$2:$C$1000="服"),
個体台帳!$B$2:$B$1000,
"")))</f>
        <v/>
      </c>
      <c r="C288" t="str">
        <f t="array" ref="C288">IF(TRIM(A288)="","",
_xlfn.TEXTJOIN(" , ",TRUE,
IF((個体台帳!$A$2:$A$1000=TRIM(A288))*(個体台帳!$C$2:$C$1000="小物1"),
個体台帳!$B$2:$B$1000,
"")))</f>
        <v/>
      </c>
      <c r="D288" t="str">
        <f t="array" ref="D288">IF(TRIM(A288)="","",
_xlfn.TEXTJOIN(" , ",TRUE,
IF((個体台帳!$A$2:$A$1000=TRIM(A288))*(個体台帳!$C$2:$C$1000="小物2"),
個体台帳!$B$2:$B$1000,
"")))</f>
        <v/>
      </c>
      <c r="E288" s="8" t="str">
        <f t="array" ref="E288">IF($A288="","",
INDEX(個体台帳!$D$2:$D$1000,
MATCH(1,
(個体台帳!$A$2:$A$1000=$A288)*
(個体台帳!$C$2:$C$1000="服"),
0)))</f>
        <v/>
      </c>
      <c r="F288" t="str">
        <f t="array" ref="F288">IF($A288="","",
IF(COUNTIFS(貸出記録!$B:$B,$A288,貸出記録!$E:$E,"")&gt;0,
"貸出中","在庫"))</f>
        <v/>
      </c>
      <c r="G288" t="s">
        <v>6</v>
      </c>
      <c r="H288" t="s">
        <v>6</v>
      </c>
      <c r="I288" t="s">
        <v>6</v>
      </c>
    </row>
    <row r="289" spans="1:9">
      <c r="A289" s="21" t="s">
        <v>6</v>
      </c>
      <c r="B289" t="str">
        <f t="array" ref="B289">IF(TRIM(A289)="","",
_xlfn.TEXTJOIN(" , ",TRUE,
IF((個体台帳!$A$2:$A$1000=TRIM(A289))*(個体台帳!$C$2:$C$1000="服"),
個体台帳!$B$2:$B$1000,
"")))</f>
        <v/>
      </c>
      <c r="C289" t="str">
        <f t="array" ref="C289">IF(TRIM(A289)="","",
_xlfn.TEXTJOIN(" , ",TRUE,
IF((個体台帳!$A$2:$A$1000=TRIM(A289))*(個体台帳!$C$2:$C$1000="小物1"),
個体台帳!$B$2:$B$1000,
"")))</f>
        <v/>
      </c>
      <c r="D289" t="str">
        <f t="array" ref="D289">IF(TRIM(A289)="","",
_xlfn.TEXTJOIN(" , ",TRUE,
IF((個体台帳!$A$2:$A$1000=TRIM(A289))*(個体台帳!$C$2:$C$1000="小物2"),
個体台帳!$B$2:$B$1000,
"")))</f>
        <v/>
      </c>
      <c r="E289" s="8" t="str">
        <f t="array" ref="E289">IF($A289="","",
INDEX(個体台帳!$D$2:$D$1000,
MATCH(1,
(個体台帳!$A$2:$A$1000=$A289)*
(個体台帳!$C$2:$C$1000="服"),
0)))</f>
        <v/>
      </c>
      <c r="F289" t="str">
        <f t="array" ref="F289">IF($A289="","",
IF(COUNTIFS(貸出記録!$B:$B,$A289,貸出記録!$E:$E,"")&gt;0,
"貸出中","在庫"))</f>
        <v/>
      </c>
      <c r="G289" t="s">
        <v>6</v>
      </c>
      <c r="H289" t="s">
        <v>6</v>
      </c>
      <c r="I289" t="s">
        <v>6</v>
      </c>
    </row>
    <row r="290" spans="1:9">
      <c r="A290" s="21" t="s">
        <v>6</v>
      </c>
      <c r="B290" t="str">
        <f t="array" ref="B290">IF(TRIM(A290)="","",
_xlfn.TEXTJOIN(" , ",TRUE,
IF((個体台帳!$A$2:$A$1000=TRIM(A290))*(個体台帳!$C$2:$C$1000="服"),
個体台帳!$B$2:$B$1000,
"")))</f>
        <v/>
      </c>
      <c r="C290" t="str">
        <f t="array" ref="C290">IF(TRIM(A290)="","",
_xlfn.TEXTJOIN(" , ",TRUE,
IF((個体台帳!$A$2:$A$1000=TRIM(A290))*(個体台帳!$C$2:$C$1000="小物1"),
個体台帳!$B$2:$B$1000,
"")))</f>
        <v/>
      </c>
      <c r="D290" t="str">
        <f t="array" ref="D290">IF(TRIM(A290)="","",
_xlfn.TEXTJOIN(" , ",TRUE,
IF((個体台帳!$A$2:$A$1000=TRIM(A290))*(個体台帳!$C$2:$C$1000="小物2"),
個体台帳!$B$2:$B$1000,
"")))</f>
        <v/>
      </c>
      <c r="E290" s="8" t="str">
        <f t="array" ref="E290">IF($A290="","",
INDEX(個体台帳!$D$2:$D$1000,
MATCH(1,
(個体台帳!$A$2:$A$1000=$A290)*
(個体台帳!$C$2:$C$1000="服"),
0)))</f>
        <v/>
      </c>
      <c r="F290" t="str">
        <f t="array" ref="F290">IF($A290="","",
IF(COUNTIFS(貸出記録!$B:$B,$A290,貸出記録!$E:$E,"")&gt;0,
"貸出中","在庫"))</f>
        <v/>
      </c>
      <c r="G290" t="s">
        <v>6</v>
      </c>
      <c r="H290" t="s">
        <v>6</v>
      </c>
      <c r="I290" t="s">
        <v>6</v>
      </c>
    </row>
    <row r="291" spans="1:9">
      <c r="A291" s="21" t="s">
        <v>6</v>
      </c>
      <c r="B291" t="str">
        <f t="array" ref="B291">IF(TRIM(A291)="","",
_xlfn.TEXTJOIN(" , ",TRUE,
IF((個体台帳!$A$2:$A$1000=TRIM(A291))*(個体台帳!$C$2:$C$1000="服"),
個体台帳!$B$2:$B$1000,
"")))</f>
        <v/>
      </c>
      <c r="C291" t="str">
        <f t="array" ref="C291">IF(TRIM(A291)="","",
_xlfn.TEXTJOIN(" , ",TRUE,
IF((個体台帳!$A$2:$A$1000=TRIM(A291))*(個体台帳!$C$2:$C$1000="小物1"),
個体台帳!$B$2:$B$1000,
"")))</f>
        <v/>
      </c>
      <c r="D291" t="str">
        <f t="array" ref="D291">IF(TRIM(A291)="","",
_xlfn.TEXTJOIN(" , ",TRUE,
IF((個体台帳!$A$2:$A$1000=TRIM(A291))*(個体台帳!$C$2:$C$1000="小物2"),
個体台帳!$B$2:$B$1000,
"")))</f>
        <v/>
      </c>
      <c r="E291" s="8" t="str">
        <f t="array" ref="E291">IF($A291="","",
INDEX(個体台帳!$D$2:$D$1000,
MATCH(1,
(個体台帳!$A$2:$A$1000=$A291)*
(個体台帳!$C$2:$C$1000="服"),
0)))</f>
        <v/>
      </c>
      <c r="F291" t="str">
        <f t="array" ref="F291">IF($A291="","",
IF(COUNTIFS(貸出記録!$B:$B,$A291,貸出記録!$E:$E,"")&gt;0,
"貸出中","在庫"))</f>
        <v/>
      </c>
      <c r="G291" t="s">
        <v>6</v>
      </c>
      <c r="H291" t="s">
        <v>6</v>
      </c>
      <c r="I291" t="s">
        <v>6</v>
      </c>
    </row>
    <row r="292" spans="1:9">
      <c r="A292" s="21" t="s">
        <v>6</v>
      </c>
      <c r="B292" t="str">
        <f t="array" ref="B292">IF(TRIM(A292)="","",
_xlfn.TEXTJOIN(" , ",TRUE,
IF((個体台帳!$A$2:$A$1000=TRIM(A292))*(個体台帳!$C$2:$C$1000="服"),
個体台帳!$B$2:$B$1000,
"")))</f>
        <v/>
      </c>
      <c r="C292" t="str">
        <f t="array" ref="C292">IF(TRIM(A292)="","",
_xlfn.TEXTJOIN(" , ",TRUE,
IF((個体台帳!$A$2:$A$1000=TRIM(A292))*(個体台帳!$C$2:$C$1000="小物1"),
個体台帳!$B$2:$B$1000,
"")))</f>
        <v/>
      </c>
      <c r="D292" t="str">
        <f t="array" ref="D292">IF(TRIM(A292)="","",
_xlfn.TEXTJOIN(" , ",TRUE,
IF((個体台帳!$A$2:$A$1000=TRIM(A292))*(個体台帳!$C$2:$C$1000="小物2"),
個体台帳!$B$2:$B$1000,
"")))</f>
        <v/>
      </c>
      <c r="E292" s="8" t="str">
        <f t="array" ref="E292">IF($A292="","",
INDEX(個体台帳!$D$2:$D$1000,
MATCH(1,
(個体台帳!$A$2:$A$1000=$A292)*
(個体台帳!$C$2:$C$1000="服"),
0)))</f>
        <v/>
      </c>
      <c r="F292" t="str">
        <f t="array" ref="F292">IF($A292="","",
IF(COUNTIFS(貸出記録!$B:$B,$A292,貸出記録!$E:$E,"")&gt;0,
"貸出中","在庫"))</f>
        <v/>
      </c>
      <c r="G292" t="s">
        <v>6</v>
      </c>
      <c r="H292" t="s">
        <v>6</v>
      </c>
      <c r="I292" t="s">
        <v>6</v>
      </c>
    </row>
    <row r="293" spans="1:9">
      <c r="A293" s="21" t="s">
        <v>6</v>
      </c>
      <c r="B293" t="str">
        <f t="array" ref="B293">IF(TRIM(A293)="","",
_xlfn.TEXTJOIN(" , ",TRUE,
IF((個体台帳!$A$2:$A$1000=TRIM(A293))*(個体台帳!$C$2:$C$1000="服"),
個体台帳!$B$2:$B$1000,
"")))</f>
        <v/>
      </c>
      <c r="C293" t="str">
        <f t="array" ref="C293">IF(TRIM(A293)="","",
_xlfn.TEXTJOIN(" , ",TRUE,
IF((個体台帳!$A$2:$A$1000=TRIM(A293))*(個体台帳!$C$2:$C$1000="小物1"),
個体台帳!$B$2:$B$1000,
"")))</f>
        <v/>
      </c>
      <c r="D293" t="str">
        <f t="array" ref="D293">IF(TRIM(A293)="","",
_xlfn.TEXTJOIN(" , ",TRUE,
IF((個体台帳!$A$2:$A$1000=TRIM(A293))*(個体台帳!$C$2:$C$1000="小物2"),
個体台帳!$B$2:$B$1000,
"")))</f>
        <v/>
      </c>
      <c r="E293" s="8" t="str">
        <f t="array" ref="E293">IF($A293="","",
INDEX(個体台帳!$D$2:$D$1000,
MATCH(1,
(個体台帳!$A$2:$A$1000=$A293)*
(個体台帳!$C$2:$C$1000="服"),
0)))</f>
        <v/>
      </c>
      <c r="F293" t="str">
        <f t="array" ref="F293">IF($A293="","",
IF(COUNTIFS(貸出記録!$B:$B,$A293,貸出記録!$E:$E,"")&gt;0,
"貸出中","在庫"))</f>
        <v/>
      </c>
      <c r="G293" t="s">
        <v>6</v>
      </c>
      <c r="H293" t="s">
        <v>6</v>
      </c>
      <c r="I293" t="s">
        <v>6</v>
      </c>
    </row>
    <row r="294" spans="1:9">
      <c r="A294" s="21" t="s">
        <v>6</v>
      </c>
      <c r="B294" t="str">
        <f t="array" ref="B294">IF(TRIM(A294)="","",
_xlfn.TEXTJOIN(" , ",TRUE,
IF((個体台帳!$A$2:$A$1000=TRIM(A294))*(個体台帳!$C$2:$C$1000="服"),
個体台帳!$B$2:$B$1000,
"")))</f>
        <v/>
      </c>
      <c r="C294" t="str">
        <f t="array" ref="C294">IF(TRIM(A294)="","",
_xlfn.TEXTJOIN(" , ",TRUE,
IF((個体台帳!$A$2:$A$1000=TRIM(A294))*(個体台帳!$C$2:$C$1000="小物1"),
個体台帳!$B$2:$B$1000,
"")))</f>
        <v/>
      </c>
      <c r="D294" t="str">
        <f t="array" ref="D294">IF(TRIM(A294)="","",
_xlfn.TEXTJOIN(" , ",TRUE,
IF((個体台帳!$A$2:$A$1000=TRIM(A294))*(個体台帳!$C$2:$C$1000="小物2"),
個体台帳!$B$2:$B$1000,
"")))</f>
        <v/>
      </c>
      <c r="E294" s="8" t="str">
        <f t="array" ref="E294">IF($A294="","",
INDEX(個体台帳!$D$2:$D$1000,
MATCH(1,
(個体台帳!$A$2:$A$1000=$A294)*
(個体台帳!$C$2:$C$1000="服"),
0)))</f>
        <v/>
      </c>
      <c r="F294" t="str">
        <f t="array" ref="F294">IF($A294="","",
IF(COUNTIFS(貸出記録!$B:$B,$A294,貸出記録!$E:$E,"")&gt;0,
"貸出中","在庫"))</f>
        <v/>
      </c>
      <c r="G294" t="s">
        <v>6</v>
      </c>
      <c r="H294" t="s">
        <v>6</v>
      </c>
      <c r="I294" t="s">
        <v>6</v>
      </c>
    </row>
    <row r="295" spans="1:9">
      <c r="A295" s="21" t="s">
        <v>6</v>
      </c>
      <c r="B295" t="str">
        <f t="array" ref="B295">IF(TRIM(A295)="","",
_xlfn.TEXTJOIN(" , ",TRUE,
IF((個体台帳!$A$2:$A$1000=TRIM(A295))*(個体台帳!$C$2:$C$1000="服"),
個体台帳!$B$2:$B$1000,
"")))</f>
        <v/>
      </c>
      <c r="C295" t="str">
        <f t="array" ref="C295">IF(TRIM(A295)="","",
_xlfn.TEXTJOIN(" , ",TRUE,
IF((個体台帳!$A$2:$A$1000=TRIM(A295))*(個体台帳!$C$2:$C$1000="小物1"),
個体台帳!$B$2:$B$1000,
"")))</f>
        <v/>
      </c>
      <c r="D295" t="str">
        <f t="array" ref="D295">IF(TRIM(A295)="","",
_xlfn.TEXTJOIN(" , ",TRUE,
IF((個体台帳!$A$2:$A$1000=TRIM(A295))*(個体台帳!$C$2:$C$1000="小物2"),
個体台帳!$B$2:$B$1000,
"")))</f>
        <v/>
      </c>
      <c r="E295" s="8" t="str">
        <f t="array" ref="E295">IF($A295="","",
INDEX(個体台帳!$D$2:$D$1000,
MATCH(1,
(個体台帳!$A$2:$A$1000=$A295)*
(個体台帳!$C$2:$C$1000="服"),
0)))</f>
        <v/>
      </c>
      <c r="F295" t="str">
        <f t="array" ref="F295">IF($A295="","",
IF(COUNTIFS(貸出記録!$B:$B,$A295,貸出記録!$E:$E,"")&gt;0,
"貸出中","在庫"))</f>
        <v/>
      </c>
      <c r="G295" t="s">
        <v>6</v>
      </c>
      <c r="H295" t="s">
        <v>6</v>
      </c>
      <c r="I295" t="s">
        <v>6</v>
      </c>
    </row>
    <row r="296" spans="1:9">
      <c r="A296" s="21" t="s">
        <v>6</v>
      </c>
      <c r="B296" t="str">
        <f t="array" ref="B296">IF(TRIM(A296)="","",
_xlfn.TEXTJOIN(" , ",TRUE,
IF((個体台帳!$A$2:$A$1000=TRIM(A296))*(個体台帳!$C$2:$C$1000="服"),
個体台帳!$B$2:$B$1000,
"")))</f>
        <v/>
      </c>
      <c r="C296" t="str">
        <f t="array" ref="C296">IF(TRIM(A296)="","",
_xlfn.TEXTJOIN(" , ",TRUE,
IF((個体台帳!$A$2:$A$1000=TRIM(A296))*(個体台帳!$C$2:$C$1000="小物1"),
個体台帳!$B$2:$B$1000,
"")))</f>
        <v/>
      </c>
      <c r="D296" t="str">
        <f t="array" ref="D296">IF(TRIM(A296)="","",
_xlfn.TEXTJOIN(" , ",TRUE,
IF((個体台帳!$A$2:$A$1000=TRIM(A296))*(個体台帳!$C$2:$C$1000="小物2"),
個体台帳!$B$2:$B$1000,
"")))</f>
        <v/>
      </c>
      <c r="E296" s="8" t="str">
        <f t="array" ref="E296">IF($A296="","",
INDEX(個体台帳!$D$2:$D$1000,
MATCH(1,
(個体台帳!$A$2:$A$1000=$A296)*
(個体台帳!$C$2:$C$1000="服"),
0)))</f>
        <v/>
      </c>
      <c r="F296" t="str">
        <f t="array" ref="F296">IF($A296="","",
IF(COUNTIFS(貸出記録!$B:$B,$A296,貸出記録!$E:$E,"")&gt;0,
"貸出中","在庫"))</f>
        <v/>
      </c>
      <c r="G296" t="s">
        <v>6</v>
      </c>
      <c r="H296" t="s">
        <v>6</v>
      </c>
      <c r="I296" t="s">
        <v>6</v>
      </c>
    </row>
    <row r="297" spans="1:9">
      <c r="A297" s="21" t="s">
        <v>6</v>
      </c>
      <c r="B297" t="str">
        <f t="array" ref="B297">IF(TRIM(A297)="","",
_xlfn.TEXTJOIN(" , ",TRUE,
IF((個体台帳!$A$2:$A$1000=TRIM(A297))*(個体台帳!$C$2:$C$1000="服"),
個体台帳!$B$2:$B$1000,
"")))</f>
        <v/>
      </c>
      <c r="C297" t="str">
        <f t="array" ref="C297">IF(TRIM(A297)="","",
_xlfn.TEXTJOIN(" , ",TRUE,
IF((個体台帳!$A$2:$A$1000=TRIM(A297))*(個体台帳!$C$2:$C$1000="小物1"),
個体台帳!$B$2:$B$1000,
"")))</f>
        <v/>
      </c>
      <c r="D297" t="str">
        <f t="array" ref="D297">IF(TRIM(A297)="","",
_xlfn.TEXTJOIN(" , ",TRUE,
IF((個体台帳!$A$2:$A$1000=TRIM(A297))*(個体台帳!$C$2:$C$1000="小物2"),
個体台帳!$B$2:$B$1000,
"")))</f>
        <v/>
      </c>
      <c r="E297" s="8" t="str">
        <f t="array" ref="E297">IF($A297="","",
INDEX(個体台帳!$D$2:$D$1000,
MATCH(1,
(個体台帳!$A$2:$A$1000=$A297)*
(個体台帳!$C$2:$C$1000="服"),
0)))</f>
        <v/>
      </c>
      <c r="F297" t="str">
        <f t="array" ref="F297">IF($A297="","",
IF(COUNTIFS(貸出記録!$B:$B,$A297,貸出記録!$E:$E,"")&gt;0,
"貸出中","在庫"))</f>
        <v/>
      </c>
      <c r="G297" t="s">
        <v>6</v>
      </c>
      <c r="H297" t="s">
        <v>6</v>
      </c>
      <c r="I297" t="s">
        <v>6</v>
      </c>
    </row>
    <row r="298" spans="1:9">
      <c r="A298" s="21" t="s">
        <v>6</v>
      </c>
      <c r="B298" t="str">
        <f t="array" ref="B298">IF(TRIM(A298)="","",
_xlfn.TEXTJOIN(" , ",TRUE,
IF((個体台帳!$A$2:$A$1000=TRIM(A298))*(個体台帳!$C$2:$C$1000="服"),
個体台帳!$B$2:$B$1000,
"")))</f>
        <v/>
      </c>
      <c r="C298" t="str">
        <f t="array" ref="C298">IF(TRIM(A298)="","",
_xlfn.TEXTJOIN(" , ",TRUE,
IF((個体台帳!$A$2:$A$1000=TRIM(A298))*(個体台帳!$C$2:$C$1000="小物1"),
個体台帳!$B$2:$B$1000,
"")))</f>
        <v/>
      </c>
      <c r="D298" t="str">
        <f t="array" ref="D298">IF(TRIM(A298)="","",
_xlfn.TEXTJOIN(" , ",TRUE,
IF((個体台帳!$A$2:$A$1000=TRIM(A298))*(個体台帳!$C$2:$C$1000="小物2"),
個体台帳!$B$2:$B$1000,
"")))</f>
        <v/>
      </c>
      <c r="E298" s="8" t="str">
        <f t="array" ref="E298">IF($A298="","",
INDEX(個体台帳!$D$2:$D$1000,
MATCH(1,
(個体台帳!$A$2:$A$1000=$A298)*
(個体台帳!$C$2:$C$1000="服"),
0)))</f>
        <v/>
      </c>
      <c r="F298" t="str">
        <f t="array" ref="F298">IF($A298="","",
IF(COUNTIFS(貸出記録!$B:$B,$A298,貸出記録!$E:$E,"")&gt;0,
"貸出中","在庫"))</f>
        <v/>
      </c>
      <c r="G298" t="s">
        <v>6</v>
      </c>
      <c r="H298" t="s">
        <v>6</v>
      </c>
      <c r="I298" t="s">
        <v>6</v>
      </c>
    </row>
    <row r="299" spans="1:9">
      <c r="A299" s="21" t="s">
        <v>6</v>
      </c>
      <c r="B299" t="str">
        <f t="array" ref="B299">IF(TRIM(A299)="","",
_xlfn.TEXTJOIN(" , ",TRUE,
IF((個体台帳!$A$2:$A$1000=TRIM(A299))*(個体台帳!$C$2:$C$1000="服"),
個体台帳!$B$2:$B$1000,
"")))</f>
        <v/>
      </c>
      <c r="C299" t="str">
        <f t="array" ref="C299">IF(TRIM(A299)="","",
_xlfn.TEXTJOIN(" , ",TRUE,
IF((個体台帳!$A$2:$A$1000=TRIM(A299))*(個体台帳!$C$2:$C$1000="小物1"),
個体台帳!$B$2:$B$1000,
"")))</f>
        <v/>
      </c>
      <c r="D299" t="str">
        <f t="array" ref="D299">IF(TRIM(A299)="","",
_xlfn.TEXTJOIN(" , ",TRUE,
IF((個体台帳!$A$2:$A$1000=TRIM(A299))*(個体台帳!$C$2:$C$1000="小物2"),
個体台帳!$B$2:$B$1000,
"")))</f>
        <v/>
      </c>
      <c r="E299" s="8" t="str">
        <f t="array" ref="E299">IF($A299="","",
INDEX(個体台帳!$D$2:$D$1000,
MATCH(1,
(個体台帳!$A$2:$A$1000=$A299)*
(個体台帳!$C$2:$C$1000="服"),
0)))</f>
        <v/>
      </c>
      <c r="F299" t="str">
        <f t="array" ref="F299">IF($A299="","",
IF(COUNTIFS(貸出記録!$B:$B,$A299,貸出記録!$E:$E,"")&gt;0,
"貸出中","在庫"))</f>
        <v/>
      </c>
      <c r="G299" t="s">
        <v>6</v>
      </c>
      <c r="H299" t="s">
        <v>6</v>
      </c>
      <c r="I299" t="s">
        <v>6</v>
      </c>
    </row>
    <row r="300" spans="1:9">
      <c r="A300" s="21" t="s">
        <v>6</v>
      </c>
      <c r="B300" t="str">
        <f t="array" ref="B300">IF(TRIM(A300)="","",
_xlfn.TEXTJOIN(" , ",TRUE,
IF((個体台帳!$A$2:$A$1000=TRIM(A300))*(個体台帳!$C$2:$C$1000="服"),
個体台帳!$B$2:$B$1000,
"")))</f>
        <v/>
      </c>
      <c r="C300" t="str">
        <f t="array" ref="C300">IF(TRIM(A300)="","",
_xlfn.TEXTJOIN(" , ",TRUE,
IF((個体台帳!$A$2:$A$1000=TRIM(A300))*(個体台帳!$C$2:$C$1000="小物1"),
個体台帳!$B$2:$B$1000,
"")))</f>
        <v/>
      </c>
      <c r="D300" t="str">
        <f t="array" ref="D300">IF(TRIM(A300)="","",
_xlfn.TEXTJOIN(" , ",TRUE,
IF((個体台帳!$A$2:$A$1000=TRIM(A300))*(個体台帳!$C$2:$C$1000="小物2"),
個体台帳!$B$2:$B$1000,
"")))</f>
        <v/>
      </c>
      <c r="E300" s="8" t="str">
        <f t="array" ref="E300">IF($A300="","",
INDEX(個体台帳!$D$2:$D$1000,
MATCH(1,
(個体台帳!$A$2:$A$1000=$A300)*
(個体台帳!$C$2:$C$1000="服"),
0)))</f>
        <v/>
      </c>
      <c r="F300" t="str">
        <f t="array" ref="F300">IF($A300="","",
IF(COUNTIFS(貸出記録!$B:$B,$A300,貸出記録!$E:$E,"")&gt;0,
"貸出中","在庫"))</f>
        <v/>
      </c>
      <c r="G300" t="s">
        <v>6</v>
      </c>
      <c r="H300" t="s">
        <v>6</v>
      </c>
      <c r="I300" t="s">
        <v>6</v>
      </c>
    </row>
    <row r="301" spans="1:9">
      <c r="A301" s="21" t="s">
        <v>6</v>
      </c>
      <c r="B301" t="str">
        <f t="array" ref="B301">IF(TRIM(A301)="","",
_xlfn.TEXTJOIN(" , ",TRUE,
IF((個体台帳!$A$2:$A$1000=TRIM(A301))*(個体台帳!$C$2:$C$1000="服"),
個体台帳!$B$2:$B$1000,
"")))</f>
        <v/>
      </c>
      <c r="C301" t="str">
        <f t="array" ref="C301">IF(TRIM(A301)="","",
_xlfn.TEXTJOIN(" , ",TRUE,
IF((個体台帳!$A$2:$A$1000=TRIM(A301))*(個体台帳!$C$2:$C$1000="小物1"),
個体台帳!$B$2:$B$1000,
"")))</f>
        <v/>
      </c>
      <c r="D301" t="str">
        <f t="array" ref="D301">IF(TRIM(A301)="","",
_xlfn.TEXTJOIN(" , ",TRUE,
IF((個体台帳!$A$2:$A$1000=TRIM(A301))*(個体台帳!$C$2:$C$1000="小物2"),
個体台帳!$B$2:$B$1000,
"")))</f>
        <v/>
      </c>
      <c r="E301" s="8" t="str">
        <f t="array" ref="E301">IF($A301="","",
INDEX(個体台帳!$D$2:$D$1000,
MATCH(1,
(個体台帳!$A$2:$A$1000=$A301)*
(個体台帳!$C$2:$C$1000="服"),
0)))</f>
        <v/>
      </c>
      <c r="F301" t="str">
        <f t="array" ref="F301">IF($A301="","",
IF(COUNTIFS(貸出記録!$B:$B,$A301,貸出記録!$E:$E,"")&gt;0,
"貸出中","在庫"))</f>
        <v/>
      </c>
      <c r="G301" t="s">
        <v>6</v>
      </c>
      <c r="H301" t="s">
        <v>6</v>
      </c>
      <c r="I301" t="s">
        <v>6</v>
      </c>
    </row>
    <row r="302" spans="1:9">
      <c r="A302" s="21" t="s">
        <v>6</v>
      </c>
      <c r="B302" t="str">
        <f t="array" ref="B302">IF(TRIM(A302)="","",
_xlfn.TEXTJOIN(" , ",TRUE,
IF((個体台帳!$A$2:$A$1000=TRIM(A302))*(個体台帳!$C$2:$C$1000="服"),
個体台帳!$B$2:$B$1000,
"")))</f>
        <v/>
      </c>
      <c r="C302" t="str">
        <f t="array" ref="C302">IF(TRIM(A302)="","",
_xlfn.TEXTJOIN(" , ",TRUE,
IF((個体台帳!$A$2:$A$1000=TRIM(A302))*(個体台帳!$C$2:$C$1000="小物1"),
個体台帳!$B$2:$B$1000,
"")))</f>
        <v/>
      </c>
      <c r="D302" t="str">
        <f t="array" ref="D302">IF(TRIM(A302)="","",
_xlfn.TEXTJOIN(" , ",TRUE,
IF((個体台帳!$A$2:$A$1000=TRIM(A302))*(個体台帳!$C$2:$C$1000="小物2"),
個体台帳!$B$2:$B$1000,
"")))</f>
        <v/>
      </c>
      <c r="E302" s="8" t="str">
        <f t="array" ref="E302">IF($A302="","",
INDEX(個体台帳!$D$2:$D$1000,
MATCH(1,
(個体台帳!$A$2:$A$1000=$A302)*
(個体台帳!$C$2:$C$1000="服"),
0)))</f>
        <v/>
      </c>
      <c r="F302" t="str">
        <f t="array" ref="F302">IF($A302="","",
IF(COUNTIFS(貸出記録!$B:$B,$A302,貸出記録!$E:$E,"")&gt;0,
"貸出中","在庫"))</f>
        <v/>
      </c>
      <c r="G302" t="s">
        <v>6</v>
      </c>
      <c r="H302" t="s">
        <v>6</v>
      </c>
      <c r="I302" t="s">
        <v>6</v>
      </c>
    </row>
    <row r="303" spans="1:9">
      <c r="A303" s="21" t="s">
        <v>6</v>
      </c>
      <c r="B303" t="str">
        <f t="array" ref="B303">IF(TRIM(A303)="","",
_xlfn.TEXTJOIN(" , ",TRUE,
IF((個体台帳!$A$2:$A$1000=TRIM(A303))*(個体台帳!$C$2:$C$1000="服"),
個体台帳!$B$2:$B$1000,
"")))</f>
        <v/>
      </c>
      <c r="C303" t="str">
        <f t="array" ref="C303">IF(TRIM(A303)="","",
_xlfn.TEXTJOIN(" , ",TRUE,
IF((個体台帳!$A$2:$A$1000=TRIM(A303))*(個体台帳!$C$2:$C$1000="小物1"),
個体台帳!$B$2:$B$1000,
"")))</f>
        <v/>
      </c>
      <c r="D303" t="str">
        <f t="array" ref="D303">IF(TRIM(A303)="","",
_xlfn.TEXTJOIN(" , ",TRUE,
IF((個体台帳!$A$2:$A$1000=TRIM(A303))*(個体台帳!$C$2:$C$1000="小物2"),
個体台帳!$B$2:$B$1000,
"")))</f>
        <v/>
      </c>
      <c r="E303" s="8" t="str">
        <f t="array" ref="E303">IF($A303="","",
INDEX(個体台帳!$D$2:$D$1000,
MATCH(1,
(個体台帳!$A$2:$A$1000=$A303)*
(個体台帳!$C$2:$C$1000="服"),
0)))</f>
        <v/>
      </c>
      <c r="F303" t="str">
        <f t="array" ref="F303">IF($A303="","",
IF(COUNTIFS(貸出記録!$B:$B,$A303,貸出記録!$E:$E,"")&gt;0,
"貸出中","在庫"))</f>
        <v/>
      </c>
      <c r="G303" t="s">
        <v>6</v>
      </c>
      <c r="H303" t="s">
        <v>6</v>
      </c>
      <c r="I303" t="s">
        <v>6</v>
      </c>
    </row>
    <row r="304" spans="1:9">
      <c r="A304" s="21" t="s">
        <v>6</v>
      </c>
      <c r="B304" t="str">
        <f t="array" ref="B304">IF(TRIM(A304)="","",
_xlfn.TEXTJOIN(" , ",TRUE,
IF((個体台帳!$A$2:$A$1000=TRIM(A304))*(個体台帳!$C$2:$C$1000="服"),
個体台帳!$B$2:$B$1000,
"")))</f>
        <v/>
      </c>
      <c r="C304" t="str">
        <f t="array" ref="C304">IF(TRIM(A304)="","",
_xlfn.TEXTJOIN(" , ",TRUE,
IF((個体台帳!$A$2:$A$1000=TRIM(A304))*(個体台帳!$C$2:$C$1000="小物1"),
個体台帳!$B$2:$B$1000,
"")))</f>
        <v/>
      </c>
      <c r="D304" t="str">
        <f t="array" ref="D304">IF(TRIM(A304)="","",
_xlfn.TEXTJOIN(" , ",TRUE,
IF((個体台帳!$A$2:$A$1000=TRIM(A304))*(個体台帳!$C$2:$C$1000="小物2"),
個体台帳!$B$2:$B$1000,
"")))</f>
        <v/>
      </c>
      <c r="E304" s="8" t="str">
        <f t="array" ref="E304">IF($A304="","",
INDEX(個体台帳!$D$2:$D$1000,
MATCH(1,
(個体台帳!$A$2:$A$1000=$A304)*
(個体台帳!$C$2:$C$1000="服"),
0)))</f>
        <v/>
      </c>
      <c r="F304" t="str">
        <f t="array" ref="F304">IF($A304="","",
IF(COUNTIFS(貸出記録!$B:$B,$A304,貸出記録!$E:$E,"")&gt;0,
"貸出中","在庫"))</f>
        <v/>
      </c>
      <c r="G304" t="s">
        <v>6</v>
      </c>
      <c r="H304" t="s">
        <v>6</v>
      </c>
      <c r="I304" t="s">
        <v>6</v>
      </c>
    </row>
    <row r="305" spans="1:9">
      <c r="A305" s="21" t="s">
        <v>6</v>
      </c>
      <c r="B305" t="str">
        <f t="array" ref="B305">IF(TRIM(A305)="","",
_xlfn.TEXTJOIN(" , ",TRUE,
IF((個体台帳!$A$2:$A$1000=TRIM(A305))*(個体台帳!$C$2:$C$1000="服"),
個体台帳!$B$2:$B$1000,
"")))</f>
        <v/>
      </c>
      <c r="C305" t="str">
        <f t="array" ref="C305">IF(TRIM(A305)="","",
_xlfn.TEXTJOIN(" , ",TRUE,
IF((個体台帳!$A$2:$A$1000=TRIM(A305))*(個体台帳!$C$2:$C$1000="小物1"),
個体台帳!$B$2:$B$1000,
"")))</f>
        <v/>
      </c>
      <c r="D305" t="str">
        <f t="array" ref="D305">IF(TRIM(A305)="","",
_xlfn.TEXTJOIN(" , ",TRUE,
IF((個体台帳!$A$2:$A$1000=TRIM(A305))*(個体台帳!$C$2:$C$1000="小物2"),
個体台帳!$B$2:$B$1000,
"")))</f>
        <v/>
      </c>
      <c r="E305" s="8" t="str">
        <f t="array" ref="E305">IF($A305="","",
INDEX(個体台帳!$D$2:$D$1000,
MATCH(1,
(個体台帳!$A$2:$A$1000=$A305)*
(個体台帳!$C$2:$C$1000="服"),
0)))</f>
        <v/>
      </c>
      <c r="F305" t="str">
        <f t="array" ref="F305">IF($A305="","",
IF(COUNTIFS(貸出記録!$B:$B,$A305,貸出記録!$E:$E,"")&gt;0,
"貸出中","在庫"))</f>
        <v/>
      </c>
      <c r="G305" t="s">
        <v>6</v>
      </c>
      <c r="H305" t="s">
        <v>6</v>
      </c>
      <c r="I305" t="s">
        <v>6</v>
      </c>
    </row>
    <row r="306" spans="1:9">
      <c r="A306" s="21" t="s">
        <v>6</v>
      </c>
      <c r="B306" t="str">
        <f t="array" ref="B306">IF(TRIM(A306)="","",
_xlfn.TEXTJOIN(" , ",TRUE,
IF((個体台帳!$A$2:$A$1000=TRIM(A306))*(個体台帳!$C$2:$C$1000="服"),
個体台帳!$B$2:$B$1000,
"")))</f>
        <v/>
      </c>
      <c r="C306" t="str">
        <f t="array" ref="C306">IF(TRIM(A306)="","",
_xlfn.TEXTJOIN(" , ",TRUE,
IF((個体台帳!$A$2:$A$1000=TRIM(A306))*(個体台帳!$C$2:$C$1000="小物1"),
個体台帳!$B$2:$B$1000,
"")))</f>
        <v/>
      </c>
      <c r="D306" t="str">
        <f t="array" ref="D306">IF(TRIM(A306)="","",
_xlfn.TEXTJOIN(" , ",TRUE,
IF((個体台帳!$A$2:$A$1000=TRIM(A306))*(個体台帳!$C$2:$C$1000="小物2"),
個体台帳!$B$2:$B$1000,
"")))</f>
        <v/>
      </c>
      <c r="E306" s="8" t="str">
        <f t="array" ref="E306">IF($A306="","",
INDEX(個体台帳!$D$2:$D$1000,
MATCH(1,
(個体台帳!$A$2:$A$1000=$A306)*
(個体台帳!$C$2:$C$1000="服"),
0)))</f>
        <v/>
      </c>
      <c r="F306" t="str">
        <f t="array" ref="F306">IF($A306="","",
IF(COUNTIFS(貸出記録!$B:$B,$A306,貸出記録!$E:$E,"")&gt;0,
"貸出中","在庫"))</f>
        <v/>
      </c>
      <c r="G306" t="s">
        <v>6</v>
      </c>
      <c r="H306" t="s">
        <v>6</v>
      </c>
      <c r="I306" t="s">
        <v>6</v>
      </c>
    </row>
    <row r="307" spans="1:9">
      <c r="A307" s="21" t="s">
        <v>6</v>
      </c>
      <c r="B307" t="str">
        <f t="array" ref="B307">IF(TRIM(A307)="","",
_xlfn.TEXTJOIN(" , ",TRUE,
IF((個体台帳!$A$2:$A$1000=TRIM(A307))*(個体台帳!$C$2:$C$1000="服"),
個体台帳!$B$2:$B$1000,
"")))</f>
        <v/>
      </c>
      <c r="C307" t="str">
        <f t="array" ref="C307">IF(TRIM(A307)="","",
_xlfn.TEXTJOIN(" , ",TRUE,
IF((個体台帳!$A$2:$A$1000=TRIM(A307))*(個体台帳!$C$2:$C$1000="小物1"),
個体台帳!$B$2:$B$1000,
"")))</f>
        <v/>
      </c>
      <c r="D307" t="str">
        <f t="array" ref="D307">IF(TRIM(A307)="","",
_xlfn.TEXTJOIN(" , ",TRUE,
IF((個体台帳!$A$2:$A$1000=TRIM(A307))*(個体台帳!$C$2:$C$1000="小物2"),
個体台帳!$B$2:$B$1000,
"")))</f>
        <v/>
      </c>
      <c r="E307" s="8" t="str">
        <f t="array" ref="E307">IF($A307="","",
INDEX(個体台帳!$D$2:$D$1000,
MATCH(1,
(個体台帳!$A$2:$A$1000=$A307)*
(個体台帳!$C$2:$C$1000="服"),
0)))</f>
        <v/>
      </c>
      <c r="F307" t="str">
        <f t="array" ref="F307">IF($A307="","",
IF(COUNTIFS(貸出記録!$B:$B,$A307,貸出記録!$E:$E,"")&gt;0,
"貸出中","在庫"))</f>
        <v/>
      </c>
      <c r="G307" t="s">
        <v>6</v>
      </c>
      <c r="H307" t="s">
        <v>6</v>
      </c>
      <c r="I307" t="s">
        <v>6</v>
      </c>
    </row>
    <row r="308" spans="1:9">
      <c r="A308" s="21" t="s">
        <v>6</v>
      </c>
      <c r="B308" t="str">
        <f t="array" ref="B308">IF(TRIM(A308)="","",
_xlfn.TEXTJOIN(" , ",TRUE,
IF((個体台帳!$A$2:$A$1000=TRIM(A308))*(個体台帳!$C$2:$C$1000="服"),
個体台帳!$B$2:$B$1000,
"")))</f>
        <v/>
      </c>
      <c r="C308" t="str">
        <f t="array" ref="C308">IF(TRIM(A308)="","",
_xlfn.TEXTJOIN(" , ",TRUE,
IF((個体台帳!$A$2:$A$1000=TRIM(A308))*(個体台帳!$C$2:$C$1000="小物1"),
個体台帳!$B$2:$B$1000,
"")))</f>
        <v/>
      </c>
      <c r="D308" t="str">
        <f t="array" ref="D308">IF(TRIM(A308)="","",
_xlfn.TEXTJOIN(" , ",TRUE,
IF((個体台帳!$A$2:$A$1000=TRIM(A308))*(個体台帳!$C$2:$C$1000="小物2"),
個体台帳!$B$2:$B$1000,
"")))</f>
        <v/>
      </c>
      <c r="E308" s="8" t="str">
        <f t="array" ref="E308">IF($A308="","",
INDEX(個体台帳!$D$2:$D$1000,
MATCH(1,
(個体台帳!$A$2:$A$1000=$A308)*
(個体台帳!$C$2:$C$1000="服"),
0)))</f>
        <v/>
      </c>
      <c r="F308" t="str">
        <f t="array" ref="F308">IF($A308="","",
IF(COUNTIFS(貸出記録!$B:$B,$A308,貸出記録!$E:$E,"")&gt;0,
"貸出中","在庫"))</f>
        <v/>
      </c>
      <c r="G308" t="s">
        <v>6</v>
      </c>
      <c r="H308" t="s">
        <v>6</v>
      </c>
      <c r="I308" t="s">
        <v>6</v>
      </c>
    </row>
    <row r="309" spans="1:9">
      <c r="A309" s="21" t="s">
        <v>6</v>
      </c>
      <c r="B309" t="str">
        <f t="array" ref="B309">IF(TRIM(A309)="","",
_xlfn.TEXTJOIN(" , ",TRUE,
IF((個体台帳!$A$2:$A$1000=TRIM(A309))*(個体台帳!$C$2:$C$1000="服"),
個体台帳!$B$2:$B$1000,
"")))</f>
        <v/>
      </c>
      <c r="C309" t="str">
        <f t="array" ref="C309">IF(TRIM(A309)="","",
_xlfn.TEXTJOIN(" , ",TRUE,
IF((個体台帳!$A$2:$A$1000=TRIM(A309))*(個体台帳!$C$2:$C$1000="小物1"),
個体台帳!$B$2:$B$1000,
"")))</f>
        <v/>
      </c>
      <c r="D309" t="str">
        <f t="array" ref="D309">IF(TRIM(A309)="","",
_xlfn.TEXTJOIN(" , ",TRUE,
IF((個体台帳!$A$2:$A$1000=TRIM(A309))*(個体台帳!$C$2:$C$1000="小物2"),
個体台帳!$B$2:$B$1000,
"")))</f>
        <v/>
      </c>
      <c r="E309" s="8" t="str">
        <f t="array" ref="E309">IF($A309="","",
INDEX(個体台帳!$D$2:$D$1000,
MATCH(1,
(個体台帳!$A$2:$A$1000=$A309)*
(個体台帳!$C$2:$C$1000="服"),
0)))</f>
        <v/>
      </c>
      <c r="F309" t="str">
        <f t="array" ref="F309">IF($A309="","",
IF(COUNTIFS(貸出記録!$B:$B,$A309,貸出記録!$E:$E,"")&gt;0,
"貸出中","在庫"))</f>
        <v/>
      </c>
      <c r="G309" t="s">
        <v>6</v>
      </c>
      <c r="H309" t="s">
        <v>6</v>
      </c>
      <c r="I309" t="s">
        <v>6</v>
      </c>
    </row>
    <row r="310" spans="1:9">
      <c r="A310" s="21" t="s">
        <v>6</v>
      </c>
      <c r="B310" t="str">
        <f t="array" ref="B310">IF(TRIM(A310)="","",
_xlfn.TEXTJOIN(" , ",TRUE,
IF((個体台帳!$A$2:$A$1000=TRIM(A310))*(個体台帳!$C$2:$C$1000="服"),
個体台帳!$B$2:$B$1000,
"")))</f>
        <v/>
      </c>
      <c r="C310" t="str">
        <f t="array" ref="C310">IF(TRIM(A310)="","",
_xlfn.TEXTJOIN(" , ",TRUE,
IF((個体台帳!$A$2:$A$1000=TRIM(A310))*(個体台帳!$C$2:$C$1000="小物1"),
個体台帳!$B$2:$B$1000,
"")))</f>
        <v/>
      </c>
      <c r="D310" t="str">
        <f t="array" ref="D310">IF(TRIM(A310)="","",
_xlfn.TEXTJOIN(" , ",TRUE,
IF((個体台帳!$A$2:$A$1000=TRIM(A310))*(個体台帳!$C$2:$C$1000="小物2"),
個体台帳!$B$2:$B$1000,
"")))</f>
        <v/>
      </c>
      <c r="E310" s="8" t="str">
        <f t="array" ref="E310">IF($A310="","",
INDEX(個体台帳!$D$2:$D$1000,
MATCH(1,
(個体台帳!$A$2:$A$1000=$A310)*
(個体台帳!$C$2:$C$1000="服"),
0)))</f>
        <v/>
      </c>
      <c r="F310" t="str">
        <f t="array" ref="F310">IF($A310="","",
IF(COUNTIFS(貸出記録!$B:$B,$A310,貸出記録!$E:$E,"")&gt;0,
"貸出中","在庫"))</f>
        <v/>
      </c>
      <c r="G310" t="s">
        <v>6</v>
      </c>
      <c r="H310" t="s">
        <v>6</v>
      </c>
      <c r="I310" t="s">
        <v>6</v>
      </c>
    </row>
    <row r="311" spans="1:9">
      <c r="A311" s="21" t="s">
        <v>6</v>
      </c>
      <c r="B311" t="str">
        <f t="array" ref="B311">IF(TRIM(A311)="","",
_xlfn.TEXTJOIN(" , ",TRUE,
IF((個体台帳!$A$2:$A$1000=TRIM(A311))*(個体台帳!$C$2:$C$1000="服"),
個体台帳!$B$2:$B$1000,
"")))</f>
        <v/>
      </c>
      <c r="C311" t="str">
        <f t="array" ref="C311">IF(TRIM(A311)="","",
_xlfn.TEXTJOIN(" , ",TRUE,
IF((個体台帳!$A$2:$A$1000=TRIM(A311))*(個体台帳!$C$2:$C$1000="小物1"),
個体台帳!$B$2:$B$1000,
"")))</f>
        <v/>
      </c>
      <c r="D311" t="str">
        <f t="array" ref="D311">IF(TRIM(A311)="","",
_xlfn.TEXTJOIN(" , ",TRUE,
IF((個体台帳!$A$2:$A$1000=TRIM(A311))*(個体台帳!$C$2:$C$1000="小物2"),
個体台帳!$B$2:$B$1000,
"")))</f>
        <v/>
      </c>
      <c r="E311" s="8" t="str">
        <f t="array" ref="E311">IF($A311="","",
INDEX(個体台帳!$D$2:$D$1000,
MATCH(1,
(個体台帳!$A$2:$A$1000=$A311)*
(個体台帳!$C$2:$C$1000="服"),
0)))</f>
        <v/>
      </c>
      <c r="F311" t="str">
        <f t="array" ref="F311">IF($A311="","",
IF(COUNTIFS(貸出記録!$B:$B,$A311,貸出記録!$E:$E,"")&gt;0,
"貸出中","在庫"))</f>
        <v/>
      </c>
      <c r="G311" t="s">
        <v>6</v>
      </c>
      <c r="H311" t="s">
        <v>6</v>
      </c>
      <c r="I311" t="s">
        <v>6</v>
      </c>
    </row>
    <row r="312" spans="1:9">
      <c r="A312" s="21" t="s">
        <v>6</v>
      </c>
      <c r="B312" t="str">
        <f t="array" ref="B312">IF(TRIM(A312)="","",
_xlfn.TEXTJOIN(" , ",TRUE,
IF((個体台帳!$A$2:$A$1000=TRIM(A312))*(個体台帳!$C$2:$C$1000="服"),
個体台帳!$B$2:$B$1000,
"")))</f>
        <v/>
      </c>
      <c r="C312" t="str">
        <f t="array" ref="C312">IF(TRIM(A312)="","",
_xlfn.TEXTJOIN(" , ",TRUE,
IF((個体台帳!$A$2:$A$1000=TRIM(A312))*(個体台帳!$C$2:$C$1000="小物1"),
個体台帳!$B$2:$B$1000,
"")))</f>
        <v/>
      </c>
      <c r="D312" t="str">
        <f t="array" ref="D312">IF(TRIM(A312)="","",
_xlfn.TEXTJOIN(" , ",TRUE,
IF((個体台帳!$A$2:$A$1000=TRIM(A312))*(個体台帳!$C$2:$C$1000="小物2"),
個体台帳!$B$2:$B$1000,
"")))</f>
        <v/>
      </c>
      <c r="E312" s="8" t="str">
        <f t="array" ref="E312">IF($A312="","",
INDEX(個体台帳!$D$2:$D$1000,
MATCH(1,
(個体台帳!$A$2:$A$1000=$A312)*
(個体台帳!$C$2:$C$1000="服"),
0)))</f>
        <v/>
      </c>
      <c r="F312" t="str">
        <f t="array" ref="F312">IF($A312="","",
IF(COUNTIFS(貸出記録!$B:$B,$A312,貸出記録!$E:$E,"")&gt;0,
"貸出中","在庫"))</f>
        <v/>
      </c>
      <c r="G312" t="s">
        <v>6</v>
      </c>
      <c r="H312" t="s">
        <v>6</v>
      </c>
      <c r="I312" t="s">
        <v>6</v>
      </c>
    </row>
    <row r="313" spans="1:9">
      <c r="A313" s="21" t="s">
        <v>6</v>
      </c>
      <c r="B313" t="str">
        <f t="array" ref="B313">IF(TRIM(A313)="","",
_xlfn.TEXTJOIN(" , ",TRUE,
IF((個体台帳!$A$2:$A$1000=TRIM(A313))*(個体台帳!$C$2:$C$1000="服"),
個体台帳!$B$2:$B$1000,
"")))</f>
        <v/>
      </c>
      <c r="C313" t="str">
        <f t="array" ref="C313">IF(TRIM(A313)="","",
_xlfn.TEXTJOIN(" , ",TRUE,
IF((個体台帳!$A$2:$A$1000=TRIM(A313))*(個体台帳!$C$2:$C$1000="小物1"),
個体台帳!$B$2:$B$1000,
"")))</f>
        <v/>
      </c>
      <c r="D313" t="str">
        <f t="array" ref="D313">IF(TRIM(A313)="","",
_xlfn.TEXTJOIN(" , ",TRUE,
IF((個体台帳!$A$2:$A$1000=TRIM(A313))*(個体台帳!$C$2:$C$1000="小物2"),
個体台帳!$B$2:$B$1000,
"")))</f>
        <v/>
      </c>
      <c r="E313" s="8" t="str">
        <f t="array" ref="E313">IF($A313="","",
INDEX(個体台帳!$D$2:$D$1000,
MATCH(1,
(個体台帳!$A$2:$A$1000=$A313)*
(個体台帳!$C$2:$C$1000="服"),
0)))</f>
        <v/>
      </c>
      <c r="F313" t="str">
        <f t="array" ref="F313">IF($A313="","",
IF(COUNTIFS(貸出記録!$B:$B,$A313,貸出記録!$E:$E,"")&gt;0,
"貸出中","在庫"))</f>
        <v/>
      </c>
      <c r="G313" t="s">
        <v>6</v>
      </c>
      <c r="H313" t="s">
        <v>6</v>
      </c>
      <c r="I313" t="s">
        <v>6</v>
      </c>
    </row>
    <row r="314" spans="1:9">
      <c r="A314" s="21" t="s">
        <v>6</v>
      </c>
      <c r="B314" t="str">
        <f t="array" ref="B314">IF(TRIM(A314)="","",
_xlfn.TEXTJOIN(" , ",TRUE,
IF((個体台帳!$A$2:$A$1000=TRIM(A314))*(個体台帳!$C$2:$C$1000="服"),
個体台帳!$B$2:$B$1000,
"")))</f>
        <v/>
      </c>
      <c r="C314" t="str">
        <f t="array" ref="C314">IF(TRIM(A314)="","",
_xlfn.TEXTJOIN(" , ",TRUE,
IF((個体台帳!$A$2:$A$1000=TRIM(A314))*(個体台帳!$C$2:$C$1000="小物1"),
個体台帳!$B$2:$B$1000,
"")))</f>
        <v/>
      </c>
      <c r="D314" t="str">
        <f t="array" ref="D314">IF(TRIM(A314)="","",
_xlfn.TEXTJOIN(" , ",TRUE,
IF((個体台帳!$A$2:$A$1000=TRIM(A314))*(個体台帳!$C$2:$C$1000="小物2"),
個体台帳!$B$2:$B$1000,
"")))</f>
        <v/>
      </c>
      <c r="E314" s="8" t="str">
        <f t="array" ref="E314">IF($A314="","",
INDEX(個体台帳!$D$2:$D$1000,
MATCH(1,
(個体台帳!$A$2:$A$1000=$A314)*
(個体台帳!$C$2:$C$1000="服"),
0)))</f>
        <v/>
      </c>
      <c r="F314" t="str">
        <f t="array" ref="F314">IF($A314="","",
IF(COUNTIFS(貸出記録!$B:$B,$A314,貸出記録!$E:$E,"")&gt;0,
"貸出中","在庫"))</f>
        <v/>
      </c>
      <c r="G314" t="s">
        <v>6</v>
      </c>
      <c r="H314" t="s">
        <v>6</v>
      </c>
      <c r="I314" t="s">
        <v>6</v>
      </c>
    </row>
    <row r="315" spans="1:9">
      <c r="A315" s="21" t="s">
        <v>6</v>
      </c>
      <c r="B315" t="str">
        <f t="array" ref="B315">IF(TRIM(A315)="","",
_xlfn.TEXTJOIN(" , ",TRUE,
IF((個体台帳!$A$2:$A$1000=TRIM(A315))*(個体台帳!$C$2:$C$1000="服"),
個体台帳!$B$2:$B$1000,
"")))</f>
        <v/>
      </c>
      <c r="C315" t="str">
        <f t="array" ref="C315">IF(TRIM(A315)="","",
_xlfn.TEXTJOIN(" , ",TRUE,
IF((個体台帳!$A$2:$A$1000=TRIM(A315))*(個体台帳!$C$2:$C$1000="小物1"),
個体台帳!$B$2:$B$1000,
"")))</f>
        <v/>
      </c>
      <c r="D315" t="str">
        <f t="array" ref="D315">IF(TRIM(A315)="","",
_xlfn.TEXTJOIN(" , ",TRUE,
IF((個体台帳!$A$2:$A$1000=TRIM(A315))*(個体台帳!$C$2:$C$1000="小物2"),
個体台帳!$B$2:$B$1000,
"")))</f>
        <v/>
      </c>
      <c r="E315" s="8" t="str">
        <f t="array" ref="E315">IF($A315="","",
INDEX(個体台帳!$D$2:$D$1000,
MATCH(1,
(個体台帳!$A$2:$A$1000=$A315)*
(個体台帳!$C$2:$C$1000="服"),
0)))</f>
        <v/>
      </c>
      <c r="F315" t="str">
        <f t="array" ref="F315">IF($A315="","",
IF(COUNTIFS(貸出記録!$B:$B,$A315,貸出記録!$E:$E,"")&gt;0,
"貸出中","在庫"))</f>
        <v/>
      </c>
      <c r="G315" t="s">
        <v>6</v>
      </c>
      <c r="H315" t="s">
        <v>6</v>
      </c>
      <c r="I315" t="s">
        <v>6</v>
      </c>
    </row>
    <row r="316" spans="1:9">
      <c r="A316" s="21" t="s">
        <v>6</v>
      </c>
      <c r="B316" t="str">
        <f t="array" ref="B316">IF(TRIM(A316)="","",
_xlfn.TEXTJOIN(" , ",TRUE,
IF((個体台帳!$A$2:$A$1000=TRIM(A316))*(個体台帳!$C$2:$C$1000="服"),
個体台帳!$B$2:$B$1000,
"")))</f>
        <v/>
      </c>
      <c r="C316" t="str">
        <f t="array" ref="C316">IF(TRIM(A316)="","",
_xlfn.TEXTJOIN(" , ",TRUE,
IF((個体台帳!$A$2:$A$1000=TRIM(A316))*(個体台帳!$C$2:$C$1000="小物1"),
個体台帳!$B$2:$B$1000,
"")))</f>
        <v/>
      </c>
      <c r="D316" t="str">
        <f t="array" ref="D316">IF(TRIM(A316)="","",
_xlfn.TEXTJOIN(" , ",TRUE,
IF((個体台帳!$A$2:$A$1000=TRIM(A316))*(個体台帳!$C$2:$C$1000="小物2"),
個体台帳!$B$2:$B$1000,
"")))</f>
        <v/>
      </c>
      <c r="E316" s="8" t="str">
        <f t="array" ref="E316">IF($A316="","",
INDEX(個体台帳!$D$2:$D$1000,
MATCH(1,
(個体台帳!$A$2:$A$1000=$A316)*
(個体台帳!$C$2:$C$1000="服"),
0)))</f>
        <v/>
      </c>
      <c r="F316" t="str">
        <f t="array" ref="F316">IF($A316="","",
IF(COUNTIFS(貸出記録!$B:$B,$A316,貸出記録!$E:$E,"")&gt;0,
"貸出中","在庫"))</f>
        <v/>
      </c>
      <c r="G316" t="s">
        <v>6</v>
      </c>
      <c r="H316" t="s">
        <v>6</v>
      </c>
      <c r="I316" t="s">
        <v>6</v>
      </c>
    </row>
    <row r="317" spans="1:9">
      <c r="A317" s="21" t="s">
        <v>6</v>
      </c>
      <c r="B317" t="str">
        <f t="array" ref="B317">IF(TRIM(A317)="","",
_xlfn.TEXTJOIN(" , ",TRUE,
IF((個体台帳!$A$2:$A$1000=TRIM(A317))*(個体台帳!$C$2:$C$1000="服"),
個体台帳!$B$2:$B$1000,
"")))</f>
        <v/>
      </c>
      <c r="C317" t="str">
        <f t="array" ref="C317">IF(TRIM(A317)="","",
_xlfn.TEXTJOIN(" , ",TRUE,
IF((個体台帳!$A$2:$A$1000=TRIM(A317))*(個体台帳!$C$2:$C$1000="小物1"),
個体台帳!$B$2:$B$1000,
"")))</f>
        <v/>
      </c>
      <c r="D317" t="str">
        <f t="array" ref="D317">IF(TRIM(A317)="","",
_xlfn.TEXTJOIN(" , ",TRUE,
IF((個体台帳!$A$2:$A$1000=TRIM(A317))*(個体台帳!$C$2:$C$1000="小物2"),
個体台帳!$B$2:$B$1000,
"")))</f>
        <v/>
      </c>
      <c r="E317" s="8" t="str">
        <f t="array" ref="E317">IF($A317="","",
INDEX(個体台帳!$D$2:$D$1000,
MATCH(1,
(個体台帳!$A$2:$A$1000=$A317)*
(個体台帳!$C$2:$C$1000="服"),
0)))</f>
        <v/>
      </c>
      <c r="F317" t="str">
        <f t="array" ref="F317">IF($A317="","",
IF(COUNTIFS(貸出記録!$B:$B,$A317,貸出記録!$E:$E,"")&gt;0,
"貸出中","在庫"))</f>
        <v/>
      </c>
      <c r="G317" t="s">
        <v>6</v>
      </c>
      <c r="H317" t="s">
        <v>6</v>
      </c>
      <c r="I317" t="s">
        <v>6</v>
      </c>
    </row>
    <row r="318" spans="1:9">
      <c r="A318" s="21" t="s">
        <v>6</v>
      </c>
      <c r="B318" t="str">
        <f t="array" ref="B318">IF(TRIM(A318)="","",
_xlfn.TEXTJOIN(" , ",TRUE,
IF((個体台帳!$A$2:$A$1000=TRIM(A318))*(個体台帳!$C$2:$C$1000="服"),
個体台帳!$B$2:$B$1000,
"")))</f>
        <v/>
      </c>
      <c r="C318" t="str">
        <f t="array" ref="C318">IF(TRIM(A318)="","",
_xlfn.TEXTJOIN(" , ",TRUE,
IF((個体台帳!$A$2:$A$1000=TRIM(A318))*(個体台帳!$C$2:$C$1000="小物1"),
個体台帳!$B$2:$B$1000,
"")))</f>
        <v/>
      </c>
      <c r="D318" t="str">
        <f t="array" ref="D318">IF(TRIM(A318)="","",
_xlfn.TEXTJOIN(" , ",TRUE,
IF((個体台帳!$A$2:$A$1000=TRIM(A318))*(個体台帳!$C$2:$C$1000="小物2"),
個体台帳!$B$2:$B$1000,
"")))</f>
        <v/>
      </c>
      <c r="E318" s="8" t="str">
        <f t="array" ref="E318">IF($A318="","",
INDEX(個体台帳!$D$2:$D$1000,
MATCH(1,
(個体台帳!$A$2:$A$1000=$A318)*
(個体台帳!$C$2:$C$1000="服"),
0)))</f>
        <v/>
      </c>
      <c r="F318" t="str">
        <f t="array" ref="F318">IF($A318="","",
IF(COUNTIFS(貸出記録!$B:$B,$A318,貸出記録!$E:$E,"")&gt;0,
"貸出中","在庫"))</f>
        <v/>
      </c>
      <c r="G318" t="s">
        <v>6</v>
      </c>
      <c r="H318" t="s">
        <v>6</v>
      </c>
      <c r="I318" t="s">
        <v>6</v>
      </c>
    </row>
    <row r="319" spans="1:9">
      <c r="A319" s="21" t="s">
        <v>6</v>
      </c>
      <c r="B319" t="str">
        <f t="array" ref="B319">IF(TRIM(A319)="","",
_xlfn.TEXTJOIN(" , ",TRUE,
IF((個体台帳!$A$2:$A$1000=TRIM(A319))*(個体台帳!$C$2:$C$1000="服"),
個体台帳!$B$2:$B$1000,
"")))</f>
        <v/>
      </c>
      <c r="C319" t="str">
        <f t="array" ref="C319">IF(TRIM(A319)="","",
_xlfn.TEXTJOIN(" , ",TRUE,
IF((個体台帳!$A$2:$A$1000=TRIM(A319))*(個体台帳!$C$2:$C$1000="小物1"),
個体台帳!$B$2:$B$1000,
"")))</f>
        <v/>
      </c>
      <c r="D319" t="str">
        <f t="array" ref="D319">IF(TRIM(A319)="","",
_xlfn.TEXTJOIN(" , ",TRUE,
IF((個体台帳!$A$2:$A$1000=TRIM(A319))*(個体台帳!$C$2:$C$1000="小物2"),
個体台帳!$B$2:$B$1000,
"")))</f>
        <v/>
      </c>
      <c r="E319" s="8" t="str">
        <f t="array" ref="E319">IF($A319="","",
INDEX(個体台帳!$D$2:$D$1000,
MATCH(1,
(個体台帳!$A$2:$A$1000=$A319)*
(個体台帳!$C$2:$C$1000="服"),
0)))</f>
        <v/>
      </c>
      <c r="F319" t="str">
        <f t="array" ref="F319">IF($A319="","",
IF(COUNTIFS(貸出記録!$B:$B,$A319,貸出記録!$E:$E,"")&gt;0,
"貸出中","在庫"))</f>
        <v/>
      </c>
      <c r="G319" t="s">
        <v>6</v>
      </c>
      <c r="H319" t="s">
        <v>6</v>
      </c>
      <c r="I319" t="s">
        <v>6</v>
      </c>
    </row>
    <row r="320" spans="1:9">
      <c r="A320" s="21" t="s">
        <v>6</v>
      </c>
      <c r="B320" t="str">
        <f t="array" ref="B320">IF(TRIM(A320)="","",
_xlfn.TEXTJOIN(" , ",TRUE,
IF((個体台帳!$A$2:$A$1000=TRIM(A320))*(個体台帳!$C$2:$C$1000="服"),
個体台帳!$B$2:$B$1000,
"")))</f>
        <v/>
      </c>
      <c r="C320" t="str">
        <f t="array" ref="C320">IF(TRIM(A320)="","",
_xlfn.TEXTJOIN(" , ",TRUE,
IF((個体台帳!$A$2:$A$1000=TRIM(A320))*(個体台帳!$C$2:$C$1000="小物1"),
個体台帳!$B$2:$B$1000,
"")))</f>
        <v/>
      </c>
      <c r="D320" t="str">
        <f t="array" ref="D320">IF(TRIM(A320)="","",
_xlfn.TEXTJOIN(" , ",TRUE,
IF((個体台帳!$A$2:$A$1000=TRIM(A320))*(個体台帳!$C$2:$C$1000="小物2"),
個体台帳!$B$2:$B$1000,
"")))</f>
        <v/>
      </c>
      <c r="E320" s="8" t="str">
        <f t="array" ref="E320">IF($A320="","",
INDEX(個体台帳!$D$2:$D$1000,
MATCH(1,
(個体台帳!$A$2:$A$1000=$A320)*
(個体台帳!$C$2:$C$1000="服"),
0)))</f>
        <v/>
      </c>
      <c r="F320" t="str">
        <f t="array" ref="F320">IF($A320="","",
IF(COUNTIFS(貸出記録!$B:$B,$A320,貸出記録!$E:$E,"")&gt;0,
"貸出中","在庫"))</f>
        <v/>
      </c>
      <c r="G320" t="s">
        <v>6</v>
      </c>
      <c r="H320" t="s">
        <v>6</v>
      </c>
      <c r="I320" t="s">
        <v>6</v>
      </c>
    </row>
    <row r="321" spans="1:9">
      <c r="A321" s="21" t="s">
        <v>6</v>
      </c>
      <c r="B321" t="str">
        <f t="array" ref="B321">IF(TRIM(A321)="","",
_xlfn.TEXTJOIN(" , ",TRUE,
IF((個体台帳!$A$2:$A$1000=TRIM(A321))*(個体台帳!$C$2:$C$1000="服"),
個体台帳!$B$2:$B$1000,
"")))</f>
        <v/>
      </c>
      <c r="C321" t="str">
        <f t="array" ref="C321">IF(TRIM(A321)="","",
_xlfn.TEXTJOIN(" , ",TRUE,
IF((個体台帳!$A$2:$A$1000=TRIM(A321))*(個体台帳!$C$2:$C$1000="小物1"),
個体台帳!$B$2:$B$1000,
"")))</f>
        <v/>
      </c>
      <c r="D321" t="str">
        <f t="array" ref="D321">IF(TRIM(A321)="","",
_xlfn.TEXTJOIN(" , ",TRUE,
IF((個体台帳!$A$2:$A$1000=TRIM(A321))*(個体台帳!$C$2:$C$1000="小物2"),
個体台帳!$B$2:$B$1000,
"")))</f>
        <v/>
      </c>
      <c r="E321" s="8" t="str">
        <f t="array" ref="E321">IF($A321="","",
INDEX(個体台帳!$D$2:$D$1000,
MATCH(1,
(個体台帳!$A$2:$A$1000=$A321)*
(個体台帳!$C$2:$C$1000="服"),
0)))</f>
        <v/>
      </c>
      <c r="F321" t="str">
        <f t="array" ref="F321">IF($A321="","",
IF(COUNTIFS(貸出記録!$B:$B,$A321,貸出記録!$E:$E,"")&gt;0,
"貸出中","在庫"))</f>
        <v/>
      </c>
      <c r="G321" t="s">
        <v>6</v>
      </c>
      <c r="H321" t="s">
        <v>6</v>
      </c>
      <c r="I321" t="s">
        <v>6</v>
      </c>
    </row>
    <row r="322" spans="1:9">
      <c r="A322" s="21" t="s">
        <v>6</v>
      </c>
      <c r="B322" t="str">
        <f t="array" ref="B322">IF(TRIM(A322)="","",
_xlfn.TEXTJOIN(" , ",TRUE,
IF((個体台帳!$A$2:$A$1000=TRIM(A322))*(個体台帳!$C$2:$C$1000="服"),
個体台帳!$B$2:$B$1000,
"")))</f>
        <v/>
      </c>
      <c r="C322" t="str">
        <f t="array" ref="C322">IF(TRIM(A322)="","",
_xlfn.TEXTJOIN(" , ",TRUE,
IF((個体台帳!$A$2:$A$1000=TRIM(A322))*(個体台帳!$C$2:$C$1000="小物1"),
個体台帳!$B$2:$B$1000,
"")))</f>
        <v/>
      </c>
      <c r="D322" t="str">
        <f t="array" ref="D322">IF(TRIM(A322)="","",
_xlfn.TEXTJOIN(" , ",TRUE,
IF((個体台帳!$A$2:$A$1000=TRIM(A322))*(個体台帳!$C$2:$C$1000="小物2"),
個体台帳!$B$2:$B$1000,
"")))</f>
        <v/>
      </c>
      <c r="E322" s="8" t="str">
        <f t="array" ref="E322">IF($A322="","",
INDEX(個体台帳!$D$2:$D$1000,
MATCH(1,
(個体台帳!$A$2:$A$1000=$A322)*
(個体台帳!$C$2:$C$1000="服"),
0)))</f>
        <v/>
      </c>
      <c r="F322" t="str">
        <f t="array" ref="F322">IF($A322="","",
IF(COUNTIFS(貸出記録!$B:$B,$A322,貸出記録!$E:$E,"")&gt;0,
"貸出中","在庫"))</f>
        <v/>
      </c>
      <c r="G322" t="s">
        <v>6</v>
      </c>
      <c r="H322" t="s">
        <v>6</v>
      </c>
      <c r="I322" t="s">
        <v>6</v>
      </c>
    </row>
    <row r="323" spans="1:9">
      <c r="A323" s="21" t="s">
        <v>6</v>
      </c>
      <c r="B323" t="str">
        <f t="array" ref="B323">IF(TRIM(A323)="","",
_xlfn.TEXTJOIN(" , ",TRUE,
IF((個体台帳!$A$2:$A$1000=TRIM(A323))*(個体台帳!$C$2:$C$1000="服"),
個体台帳!$B$2:$B$1000,
"")))</f>
        <v/>
      </c>
      <c r="C323" t="str">
        <f t="array" ref="C323">IF(TRIM(A323)="","",
_xlfn.TEXTJOIN(" , ",TRUE,
IF((個体台帳!$A$2:$A$1000=TRIM(A323))*(個体台帳!$C$2:$C$1000="小物1"),
個体台帳!$B$2:$B$1000,
"")))</f>
        <v/>
      </c>
      <c r="D323" t="str">
        <f t="array" ref="D323">IF(TRIM(A323)="","",
_xlfn.TEXTJOIN(" , ",TRUE,
IF((個体台帳!$A$2:$A$1000=TRIM(A323))*(個体台帳!$C$2:$C$1000="小物2"),
個体台帳!$B$2:$B$1000,
"")))</f>
        <v/>
      </c>
      <c r="E323" s="8" t="str">
        <f t="array" ref="E323">IF($A323="","",
INDEX(個体台帳!$D$2:$D$1000,
MATCH(1,
(個体台帳!$A$2:$A$1000=$A323)*
(個体台帳!$C$2:$C$1000="服"),
0)))</f>
        <v/>
      </c>
      <c r="F323" t="str">
        <f t="array" ref="F323">IF($A323="","",
IF(COUNTIFS(貸出記録!$B:$B,$A323,貸出記録!$E:$E,"")&gt;0,
"貸出中","在庫"))</f>
        <v/>
      </c>
      <c r="G323" t="s">
        <v>6</v>
      </c>
      <c r="H323" t="s">
        <v>6</v>
      </c>
      <c r="I323" t="s">
        <v>6</v>
      </c>
    </row>
    <row r="324" spans="1:9">
      <c r="A324" s="21" t="s">
        <v>6</v>
      </c>
      <c r="B324" t="str">
        <f t="array" ref="B324">IF(TRIM(A324)="","",
_xlfn.TEXTJOIN(" , ",TRUE,
IF((個体台帳!$A$2:$A$1000=TRIM(A324))*(個体台帳!$C$2:$C$1000="服"),
個体台帳!$B$2:$B$1000,
"")))</f>
        <v/>
      </c>
      <c r="C324" t="str">
        <f t="array" ref="C324">IF(TRIM(A324)="","",
_xlfn.TEXTJOIN(" , ",TRUE,
IF((個体台帳!$A$2:$A$1000=TRIM(A324))*(個体台帳!$C$2:$C$1000="小物1"),
個体台帳!$B$2:$B$1000,
"")))</f>
        <v/>
      </c>
      <c r="D324" t="str">
        <f t="array" ref="D324">IF(TRIM(A324)="","",
_xlfn.TEXTJOIN(" , ",TRUE,
IF((個体台帳!$A$2:$A$1000=TRIM(A324))*(個体台帳!$C$2:$C$1000="小物2"),
個体台帳!$B$2:$B$1000,
"")))</f>
        <v/>
      </c>
      <c r="E324" s="8" t="str">
        <f t="array" ref="E324">IF($A324="","",
INDEX(個体台帳!$D$2:$D$1000,
MATCH(1,
(個体台帳!$A$2:$A$1000=$A324)*
(個体台帳!$C$2:$C$1000="服"),
0)))</f>
        <v/>
      </c>
      <c r="F324" t="str">
        <f t="array" ref="F324">IF($A324="","",
IF(COUNTIFS(貸出記録!$B:$B,$A324,貸出記録!$E:$E,"")&gt;0,
"貸出中","在庫"))</f>
        <v/>
      </c>
      <c r="G324" t="s">
        <v>6</v>
      </c>
      <c r="H324" t="s">
        <v>6</v>
      </c>
      <c r="I324" t="s">
        <v>6</v>
      </c>
    </row>
    <row r="325" spans="1:9">
      <c r="A325" s="21" t="s">
        <v>6</v>
      </c>
      <c r="B325" t="str">
        <f t="array" ref="B325">IF(TRIM(A325)="","",
_xlfn.TEXTJOIN(" , ",TRUE,
IF((個体台帳!$A$2:$A$1000=TRIM(A325))*(個体台帳!$C$2:$C$1000="服"),
個体台帳!$B$2:$B$1000,
"")))</f>
        <v/>
      </c>
      <c r="C325" t="str">
        <f t="array" ref="C325">IF(TRIM(A325)="","",
_xlfn.TEXTJOIN(" , ",TRUE,
IF((個体台帳!$A$2:$A$1000=TRIM(A325))*(個体台帳!$C$2:$C$1000="小物1"),
個体台帳!$B$2:$B$1000,
"")))</f>
        <v/>
      </c>
      <c r="D325" t="str">
        <f t="array" ref="D325">IF(TRIM(A325)="","",
_xlfn.TEXTJOIN(" , ",TRUE,
IF((個体台帳!$A$2:$A$1000=TRIM(A325))*(個体台帳!$C$2:$C$1000="小物2"),
個体台帳!$B$2:$B$1000,
"")))</f>
        <v/>
      </c>
      <c r="E325" s="8" t="str">
        <f t="array" ref="E325">IF($A325="","",
INDEX(個体台帳!$D$2:$D$1000,
MATCH(1,
(個体台帳!$A$2:$A$1000=$A325)*
(個体台帳!$C$2:$C$1000="服"),
0)))</f>
        <v/>
      </c>
      <c r="F325" t="str">
        <f t="array" ref="F325">IF($A325="","",
IF(COUNTIFS(貸出記録!$B:$B,$A325,貸出記録!$E:$E,"")&gt;0,
"貸出中","在庫"))</f>
        <v/>
      </c>
      <c r="G325" t="s">
        <v>6</v>
      </c>
      <c r="H325" t="s">
        <v>6</v>
      </c>
      <c r="I325" t="s">
        <v>6</v>
      </c>
    </row>
    <row r="326" spans="1:9">
      <c r="A326" s="21" t="s">
        <v>6</v>
      </c>
      <c r="B326" t="str">
        <f t="array" ref="B326">IF(TRIM(A326)="","",
_xlfn.TEXTJOIN(" , ",TRUE,
IF((個体台帳!$A$2:$A$1000=TRIM(A326))*(個体台帳!$C$2:$C$1000="服"),
個体台帳!$B$2:$B$1000,
"")))</f>
        <v/>
      </c>
      <c r="C326" t="str">
        <f t="array" ref="C326">IF(TRIM(A326)="","",
_xlfn.TEXTJOIN(" , ",TRUE,
IF((個体台帳!$A$2:$A$1000=TRIM(A326))*(個体台帳!$C$2:$C$1000="小物1"),
個体台帳!$B$2:$B$1000,
"")))</f>
        <v/>
      </c>
      <c r="D326" t="str">
        <f t="array" ref="D326">IF(TRIM(A326)="","",
_xlfn.TEXTJOIN(" , ",TRUE,
IF((個体台帳!$A$2:$A$1000=TRIM(A326))*(個体台帳!$C$2:$C$1000="小物2"),
個体台帳!$B$2:$B$1000,
"")))</f>
        <v/>
      </c>
      <c r="E326" s="8" t="str">
        <f t="array" ref="E326">IF($A326="","",
INDEX(個体台帳!$D$2:$D$1000,
MATCH(1,
(個体台帳!$A$2:$A$1000=$A326)*
(個体台帳!$C$2:$C$1000="服"),
0)))</f>
        <v/>
      </c>
      <c r="F326" t="str">
        <f t="array" ref="F326">IF($A326="","",
IF(COUNTIFS(貸出記録!$B:$B,$A326,貸出記録!$E:$E,"")&gt;0,
"貸出中","在庫"))</f>
        <v/>
      </c>
      <c r="G326" t="s">
        <v>6</v>
      </c>
      <c r="H326" t="s">
        <v>6</v>
      </c>
      <c r="I326" t="s">
        <v>6</v>
      </c>
    </row>
    <row r="327" spans="1:9">
      <c r="A327" s="21" t="s">
        <v>6</v>
      </c>
      <c r="B327" t="str">
        <f t="array" ref="B327">IF(TRIM(A327)="","",
_xlfn.TEXTJOIN(" , ",TRUE,
IF((個体台帳!$A$2:$A$1000=TRIM(A327))*(個体台帳!$C$2:$C$1000="服"),
個体台帳!$B$2:$B$1000,
"")))</f>
        <v/>
      </c>
      <c r="C327" t="str">
        <f t="array" ref="C327">IF(TRIM(A327)="","",
_xlfn.TEXTJOIN(" , ",TRUE,
IF((個体台帳!$A$2:$A$1000=TRIM(A327))*(個体台帳!$C$2:$C$1000="小物1"),
個体台帳!$B$2:$B$1000,
"")))</f>
        <v/>
      </c>
      <c r="D327" t="str">
        <f t="array" ref="D327">IF(TRIM(A327)="","",
_xlfn.TEXTJOIN(" , ",TRUE,
IF((個体台帳!$A$2:$A$1000=TRIM(A327))*(個体台帳!$C$2:$C$1000="小物2"),
個体台帳!$B$2:$B$1000,
"")))</f>
        <v/>
      </c>
      <c r="E327" s="8" t="str">
        <f t="array" ref="E327">IF($A327="","",
INDEX(個体台帳!$D$2:$D$1000,
MATCH(1,
(個体台帳!$A$2:$A$1000=$A327)*
(個体台帳!$C$2:$C$1000="服"),
0)))</f>
        <v/>
      </c>
      <c r="F327" t="str">
        <f t="array" ref="F327">IF($A327="","",
IF(COUNTIFS(貸出記録!$B:$B,$A327,貸出記録!$E:$E,"")&gt;0,
"貸出中","在庫"))</f>
        <v/>
      </c>
      <c r="G327" t="s">
        <v>6</v>
      </c>
      <c r="H327" t="s">
        <v>6</v>
      </c>
      <c r="I327" t="s">
        <v>6</v>
      </c>
    </row>
    <row r="328" spans="1:9">
      <c r="A328" s="21" t="s">
        <v>6</v>
      </c>
      <c r="B328" t="str">
        <f t="array" ref="B328">IF(TRIM(A328)="","",
_xlfn.TEXTJOIN(" , ",TRUE,
IF((個体台帳!$A$2:$A$1000=TRIM(A328))*(個体台帳!$C$2:$C$1000="服"),
個体台帳!$B$2:$B$1000,
"")))</f>
        <v/>
      </c>
      <c r="C328" t="str">
        <f t="array" ref="C328">IF(TRIM(A328)="","",
_xlfn.TEXTJOIN(" , ",TRUE,
IF((個体台帳!$A$2:$A$1000=TRIM(A328))*(個体台帳!$C$2:$C$1000="小物1"),
個体台帳!$B$2:$B$1000,
"")))</f>
        <v/>
      </c>
      <c r="D328" t="str">
        <f t="array" ref="D328">IF(TRIM(A328)="","",
_xlfn.TEXTJOIN(" , ",TRUE,
IF((個体台帳!$A$2:$A$1000=TRIM(A328))*(個体台帳!$C$2:$C$1000="小物2"),
個体台帳!$B$2:$B$1000,
"")))</f>
        <v/>
      </c>
      <c r="E328" s="8" t="str">
        <f t="array" ref="E328">IF($A328="","",
INDEX(個体台帳!$D$2:$D$1000,
MATCH(1,
(個体台帳!$A$2:$A$1000=$A328)*
(個体台帳!$C$2:$C$1000="服"),
0)))</f>
        <v/>
      </c>
      <c r="F328" t="str">
        <f t="array" ref="F328">IF($A328="","",
IF(COUNTIFS(貸出記録!$B:$B,$A328,貸出記録!$E:$E,"")&gt;0,
"貸出中","在庫"))</f>
        <v/>
      </c>
      <c r="G328" t="s">
        <v>6</v>
      </c>
      <c r="H328" t="s">
        <v>6</v>
      </c>
      <c r="I328" t="s">
        <v>6</v>
      </c>
    </row>
    <row r="329" spans="1:9">
      <c r="A329" s="21" t="s">
        <v>6</v>
      </c>
      <c r="B329" t="str">
        <f t="array" ref="B329">IF(TRIM(A329)="","",
_xlfn.TEXTJOIN(" , ",TRUE,
IF((個体台帳!$A$2:$A$1000=TRIM(A329))*(個体台帳!$C$2:$C$1000="服"),
個体台帳!$B$2:$B$1000,
"")))</f>
        <v/>
      </c>
      <c r="C329" t="str">
        <f t="array" ref="C329">IF(TRIM(A329)="","",
_xlfn.TEXTJOIN(" , ",TRUE,
IF((個体台帳!$A$2:$A$1000=TRIM(A329))*(個体台帳!$C$2:$C$1000="小物1"),
個体台帳!$B$2:$B$1000,
"")))</f>
        <v/>
      </c>
      <c r="D329" t="str">
        <f t="array" ref="D329">IF(TRIM(A329)="","",
_xlfn.TEXTJOIN(" , ",TRUE,
IF((個体台帳!$A$2:$A$1000=TRIM(A329))*(個体台帳!$C$2:$C$1000="小物2"),
個体台帳!$B$2:$B$1000,
"")))</f>
        <v/>
      </c>
      <c r="E329" s="8" t="str">
        <f t="array" ref="E329">IF($A329="","",
INDEX(個体台帳!$D$2:$D$1000,
MATCH(1,
(個体台帳!$A$2:$A$1000=$A329)*
(個体台帳!$C$2:$C$1000="服"),
0)))</f>
        <v/>
      </c>
      <c r="F329" t="str">
        <f t="array" ref="F329">IF($A329="","",
IF(COUNTIFS(貸出記録!$B:$B,$A329,貸出記録!$E:$E,"")&gt;0,
"貸出中","在庫"))</f>
        <v/>
      </c>
      <c r="G329" t="s">
        <v>6</v>
      </c>
      <c r="H329" t="s">
        <v>6</v>
      </c>
      <c r="I329" t="s">
        <v>6</v>
      </c>
    </row>
    <row r="330" spans="1:9">
      <c r="A330" s="21" t="s">
        <v>6</v>
      </c>
      <c r="B330" t="str">
        <f t="array" ref="B330">IF(TRIM(A330)="","",
_xlfn.TEXTJOIN(" , ",TRUE,
IF((個体台帳!$A$2:$A$1000=TRIM(A330))*(個体台帳!$C$2:$C$1000="服"),
個体台帳!$B$2:$B$1000,
"")))</f>
        <v/>
      </c>
      <c r="C330" t="str">
        <f t="array" ref="C330">IF(TRIM(A330)="","",
_xlfn.TEXTJOIN(" , ",TRUE,
IF((個体台帳!$A$2:$A$1000=TRIM(A330))*(個体台帳!$C$2:$C$1000="小物1"),
個体台帳!$B$2:$B$1000,
"")))</f>
        <v/>
      </c>
      <c r="D330" t="str">
        <f t="array" ref="D330">IF(TRIM(A330)="","",
_xlfn.TEXTJOIN(" , ",TRUE,
IF((個体台帳!$A$2:$A$1000=TRIM(A330))*(個体台帳!$C$2:$C$1000="小物2"),
個体台帳!$B$2:$B$1000,
"")))</f>
        <v/>
      </c>
      <c r="E330" s="8" t="str">
        <f t="array" ref="E330">IF($A330="","",
INDEX(個体台帳!$D$2:$D$1000,
MATCH(1,
(個体台帳!$A$2:$A$1000=$A330)*
(個体台帳!$C$2:$C$1000="服"),
0)))</f>
        <v/>
      </c>
      <c r="F330" t="str">
        <f t="array" ref="F330">IF($A330="","",
IF(COUNTIFS(貸出記録!$B:$B,$A330,貸出記録!$E:$E,"")&gt;0,
"貸出中","在庫"))</f>
        <v/>
      </c>
      <c r="G330" t="s">
        <v>6</v>
      </c>
      <c r="H330" t="s">
        <v>6</v>
      </c>
      <c r="I330" t="s">
        <v>6</v>
      </c>
    </row>
    <row r="331" spans="1:9">
      <c r="A331" s="21" t="s">
        <v>6</v>
      </c>
      <c r="B331" t="str">
        <f t="array" ref="B331">IF(TRIM(A331)="","",
_xlfn.TEXTJOIN(" , ",TRUE,
IF((個体台帳!$A$2:$A$1000=TRIM(A331))*(個体台帳!$C$2:$C$1000="服"),
個体台帳!$B$2:$B$1000,
"")))</f>
        <v/>
      </c>
      <c r="C331" t="str">
        <f t="array" ref="C331">IF(TRIM(A331)="","",
_xlfn.TEXTJOIN(" , ",TRUE,
IF((個体台帳!$A$2:$A$1000=TRIM(A331))*(個体台帳!$C$2:$C$1000="小物1"),
個体台帳!$B$2:$B$1000,
"")))</f>
        <v/>
      </c>
      <c r="D331" t="str">
        <f t="array" ref="D331">IF(TRIM(A331)="","",
_xlfn.TEXTJOIN(" , ",TRUE,
IF((個体台帳!$A$2:$A$1000=TRIM(A331))*(個体台帳!$C$2:$C$1000="小物2"),
個体台帳!$B$2:$B$1000,
"")))</f>
        <v/>
      </c>
      <c r="E331" s="8" t="str">
        <f t="array" ref="E331">IF($A331="","",
INDEX(個体台帳!$D$2:$D$1000,
MATCH(1,
(個体台帳!$A$2:$A$1000=$A331)*
(個体台帳!$C$2:$C$1000="服"),
0)))</f>
        <v/>
      </c>
      <c r="F331" t="str">
        <f t="array" ref="F331">IF($A331="","",
IF(COUNTIFS(貸出記録!$B:$B,$A331,貸出記録!$E:$E,"")&gt;0,
"貸出中","在庫"))</f>
        <v/>
      </c>
      <c r="G331" t="s">
        <v>6</v>
      </c>
      <c r="H331" t="s">
        <v>6</v>
      </c>
      <c r="I331" t="s">
        <v>6</v>
      </c>
    </row>
    <row r="332" spans="1:9">
      <c r="A332" s="21" t="s">
        <v>6</v>
      </c>
      <c r="B332" t="str">
        <f t="array" ref="B332">IF(TRIM(A332)="","",
_xlfn.TEXTJOIN(" , ",TRUE,
IF((個体台帳!$A$2:$A$1000=TRIM(A332))*(個体台帳!$C$2:$C$1000="服"),
個体台帳!$B$2:$B$1000,
"")))</f>
        <v/>
      </c>
      <c r="C332" t="str">
        <f t="array" ref="C332">IF(TRIM(A332)="","",
_xlfn.TEXTJOIN(" , ",TRUE,
IF((個体台帳!$A$2:$A$1000=TRIM(A332))*(個体台帳!$C$2:$C$1000="小物1"),
個体台帳!$B$2:$B$1000,
"")))</f>
        <v/>
      </c>
      <c r="D332" t="str">
        <f t="array" ref="D332">IF(TRIM(A332)="","",
_xlfn.TEXTJOIN(" , ",TRUE,
IF((個体台帳!$A$2:$A$1000=TRIM(A332))*(個体台帳!$C$2:$C$1000="小物2"),
個体台帳!$B$2:$B$1000,
"")))</f>
        <v/>
      </c>
      <c r="E332" s="8" t="str">
        <f t="array" ref="E332">IF($A332="","",
INDEX(個体台帳!$D$2:$D$1000,
MATCH(1,
(個体台帳!$A$2:$A$1000=$A332)*
(個体台帳!$C$2:$C$1000="服"),
0)))</f>
        <v/>
      </c>
      <c r="F332" t="str">
        <f t="array" ref="F332">IF($A332="","",
IF(COUNTIFS(貸出記録!$B:$B,$A332,貸出記録!$E:$E,"")&gt;0,
"貸出中","在庫"))</f>
        <v/>
      </c>
      <c r="G332" t="s">
        <v>6</v>
      </c>
      <c r="H332" t="s">
        <v>6</v>
      </c>
      <c r="I332" t="s">
        <v>6</v>
      </c>
    </row>
    <row r="333" spans="1:9">
      <c r="A333" s="21" t="s">
        <v>6</v>
      </c>
      <c r="B333" t="str">
        <f t="array" ref="B333">IF(TRIM(A333)="","",
_xlfn.TEXTJOIN(" , ",TRUE,
IF((個体台帳!$A$2:$A$1000=TRIM(A333))*(個体台帳!$C$2:$C$1000="服"),
個体台帳!$B$2:$B$1000,
"")))</f>
        <v/>
      </c>
      <c r="C333" t="str">
        <f t="array" ref="C333">IF(TRIM(A333)="","",
_xlfn.TEXTJOIN(" , ",TRUE,
IF((個体台帳!$A$2:$A$1000=TRIM(A333))*(個体台帳!$C$2:$C$1000="小物1"),
個体台帳!$B$2:$B$1000,
"")))</f>
        <v/>
      </c>
      <c r="D333" t="str">
        <f t="array" ref="D333">IF(TRIM(A333)="","",
_xlfn.TEXTJOIN(" , ",TRUE,
IF((個体台帳!$A$2:$A$1000=TRIM(A333))*(個体台帳!$C$2:$C$1000="小物2"),
個体台帳!$B$2:$B$1000,
"")))</f>
        <v/>
      </c>
      <c r="E333" s="8" t="str">
        <f t="array" ref="E333">IF($A333="","",
INDEX(個体台帳!$D$2:$D$1000,
MATCH(1,
(個体台帳!$A$2:$A$1000=$A333)*
(個体台帳!$C$2:$C$1000="服"),
0)))</f>
        <v/>
      </c>
      <c r="F333" t="str">
        <f t="array" ref="F333">IF($A333="","",
IF(COUNTIFS(貸出記録!$B:$B,$A333,貸出記録!$E:$E,"")&gt;0,
"貸出中","在庫"))</f>
        <v/>
      </c>
      <c r="G333" t="s">
        <v>6</v>
      </c>
      <c r="H333" t="s">
        <v>6</v>
      </c>
      <c r="I333" t="s">
        <v>6</v>
      </c>
    </row>
    <row r="334" spans="1:9">
      <c r="A334" s="21" t="s">
        <v>6</v>
      </c>
      <c r="B334" t="str">
        <f t="array" ref="B334">IF(TRIM(A334)="","",
_xlfn.TEXTJOIN(" , ",TRUE,
IF((個体台帳!$A$2:$A$1000=TRIM(A334))*(個体台帳!$C$2:$C$1000="服"),
個体台帳!$B$2:$B$1000,
"")))</f>
        <v/>
      </c>
      <c r="C334" t="str">
        <f t="array" ref="C334">IF(TRIM(A334)="","",
_xlfn.TEXTJOIN(" , ",TRUE,
IF((個体台帳!$A$2:$A$1000=TRIM(A334))*(個体台帳!$C$2:$C$1000="小物1"),
個体台帳!$B$2:$B$1000,
"")))</f>
        <v/>
      </c>
      <c r="D334" t="str">
        <f t="array" ref="D334">IF(TRIM(A334)="","",
_xlfn.TEXTJOIN(" , ",TRUE,
IF((個体台帳!$A$2:$A$1000=TRIM(A334))*(個体台帳!$C$2:$C$1000="小物2"),
個体台帳!$B$2:$B$1000,
"")))</f>
        <v/>
      </c>
      <c r="E334" s="8" t="str">
        <f t="array" ref="E334">IF($A334="","",
INDEX(個体台帳!$D$2:$D$1000,
MATCH(1,
(個体台帳!$A$2:$A$1000=$A334)*
(個体台帳!$C$2:$C$1000="服"),
0)))</f>
        <v/>
      </c>
      <c r="F334" t="str">
        <f t="array" ref="F334">IF($A334="","",
IF(COUNTIFS(貸出記録!$B:$B,$A334,貸出記録!$E:$E,"")&gt;0,
"貸出中","在庫"))</f>
        <v/>
      </c>
      <c r="G334" t="s">
        <v>6</v>
      </c>
      <c r="H334" t="s">
        <v>6</v>
      </c>
      <c r="I334" t="s">
        <v>6</v>
      </c>
    </row>
    <row r="335" spans="1:9">
      <c r="A335" s="21" t="s">
        <v>6</v>
      </c>
      <c r="B335" t="str">
        <f t="array" ref="B335">IF(TRIM(A335)="","",
_xlfn.TEXTJOIN(" , ",TRUE,
IF((個体台帳!$A$2:$A$1000=TRIM(A335))*(個体台帳!$C$2:$C$1000="服"),
個体台帳!$B$2:$B$1000,
"")))</f>
        <v/>
      </c>
      <c r="C335" t="str">
        <f t="array" ref="C335">IF(TRIM(A335)="","",
_xlfn.TEXTJOIN(" , ",TRUE,
IF((個体台帳!$A$2:$A$1000=TRIM(A335))*(個体台帳!$C$2:$C$1000="小物1"),
個体台帳!$B$2:$B$1000,
"")))</f>
        <v/>
      </c>
      <c r="D335" t="str">
        <f t="array" ref="D335">IF(TRIM(A335)="","",
_xlfn.TEXTJOIN(" , ",TRUE,
IF((個体台帳!$A$2:$A$1000=TRIM(A335))*(個体台帳!$C$2:$C$1000="小物2"),
個体台帳!$B$2:$B$1000,
"")))</f>
        <v/>
      </c>
      <c r="E335" s="8" t="str">
        <f t="array" ref="E335">IF($A335="","",
INDEX(個体台帳!$D$2:$D$1000,
MATCH(1,
(個体台帳!$A$2:$A$1000=$A335)*
(個体台帳!$C$2:$C$1000="服"),
0)))</f>
        <v/>
      </c>
      <c r="F335" t="str">
        <f t="array" ref="F335">IF($A335="","",
IF(COUNTIFS(貸出記録!$B:$B,$A335,貸出記録!$E:$E,"")&gt;0,
"貸出中","在庫"))</f>
        <v/>
      </c>
      <c r="G335" t="s">
        <v>6</v>
      </c>
      <c r="H335" t="s">
        <v>6</v>
      </c>
      <c r="I335" t="s">
        <v>6</v>
      </c>
    </row>
    <row r="336" spans="1:9">
      <c r="A336" s="21" t="s">
        <v>6</v>
      </c>
      <c r="B336" t="str">
        <f t="array" ref="B336">IF(TRIM(A336)="","",
_xlfn.TEXTJOIN(" , ",TRUE,
IF((個体台帳!$A$2:$A$1000=TRIM(A336))*(個体台帳!$C$2:$C$1000="服"),
個体台帳!$B$2:$B$1000,
"")))</f>
        <v/>
      </c>
      <c r="C336" t="str">
        <f t="array" ref="C336">IF(TRIM(A336)="","",
_xlfn.TEXTJOIN(" , ",TRUE,
IF((個体台帳!$A$2:$A$1000=TRIM(A336))*(個体台帳!$C$2:$C$1000="小物1"),
個体台帳!$B$2:$B$1000,
"")))</f>
        <v/>
      </c>
      <c r="D336" t="str">
        <f t="array" ref="D336">IF(TRIM(A336)="","",
_xlfn.TEXTJOIN(" , ",TRUE,
IF((個体台帳!$A$2:$A$1000=TRIM(A336))*(個体台帳!$C$2:$C$1000="小物2"),
個体台帳!$B$2:$B$1000,
"")))</f>
        <v/>
      </c>
      <c r="E336" s="8" t="str">
        <f t="array" ref="E336">IF($A336="","",
INDEX(個体台帳!$D$2:$D$1000,
MATCH(1,
(個体台帳!$A$2:$A$1000=$A336)*
(個体台帳!$C$2:$C$1000="服"),
0)))</f>
        <v/>
      </c>
      <c r="F336" t="str">
        <f t="array" ref="F336">IF($A336="","",
IF(COUNTIFS(貸出記録!$B:$B,$A336,貸出記録!$E:$E,"")&gt;0,
"貸出中","在庫"))</f>
        <v/>
      </c>
      <c r="G336" t="s">
        <v>6</v>
      </c>
      <c r="H336" t="s">
        <v>6</v>
      </c>
      <c r="I336" t="s">
        <v>6</v>
      </c>
    </row>
    <row r="337" spans="1:9">
      <c r="A337" s="21" t="s">
        <v>6</v>
      </c>
      <c r="B337" t="str">
        <f t="array" ref="B337">IF(TRIM(A337)="","",
_xlfn.TEXTJOIN(" , ",TRUE,
IF((個体台帳!$A$2:$A$1000=TRIM(A337))*(個体台帳!$C$2:$C$1000="服"),
個体台帳!$B$2:$B$1000,
"")))</f>
        <v/>
      </c>
      <c r="C337" t="str">
        <f t="array" ref="C337">IF(TRIM(A337)="","",
_xlfn.TEXTJOIN(" , ",TRUE,
IF((個体台帳!$A$2:$A$1000=TRIM(A337))*(個体台帳!$C$2:$C$1000="小物1"),
個体台帳!$B$2:$B$1000,
"")))</f>
        <v/>
      </c>
      <c r="D337" t="str">
        <f t="array" ref="D337">IF(TRIM(A337)="","",
_xlfn.TEXTJOIN(" , ",TRUE,
IF((個体台帳!$A$2:$A$1000=TRIM(A337))*(個体台帳!$C$2:$C$1000="小物2"),
個体台帳!$B$2:$B$1000,
"")))</f>
        <v/>
      </c>
      <c r="E337" s="8" t="str">
        <f t="array" ref="E337">IF($A337="","",
INDEX(個体台帳!$D$2:$D$1000,
MATCH(1,
(個体台帳!$A$2:$A$1000=$A337)*
(個体台帳!$C$2:$C$1000="服"),
0)))</f>
        <v/>
      </c>
      <c r="F337" t="str">
        <f t="array" ref="F337">IF($A337="","",
IF(COUNTIFS(貸出記録!$B:$B,$A337,貸出記録!$E:$E,"")&gt;0,
"貸出中","在庫"))</f>
        <v/>
      </c>
      <c r="G337" t="s">
        <v>6</v>
      </c>
      <c r="H337" t="s">
        <v>6</v>
      </c>
      <c r="I337" t="s">
        <v>6</v>
      </c>
    </row>
    <row r="338" spans="1:9">
      <c r="A338" s="21" t="s">
        <v>6</v>
      </c>
      <c r="B338" t="str">
        <f t="array" ref="B338">IF(TRIM(A338)="","",
_xlfn.TEXTJOIN(" , ",TRUE,
IF((個体台帳!$A$2:$A$1000=TRIM(A338))*(個体台帳!$C$2:$C$1000="服"),
個体台帳!$B$2:$B$1000,
"")))</f>
        <v/>
      </c>
      <c r="C338" t="str">
        <f t="array" ref="C338">IF(TRIM(A338)="","",
_xlfn.TEXTJOIN(" , ",TRUE,
IF((個体台帳!$A$2:$A$1000=TRIM(A338))*(個体台帳!$C$2:$C$1000="小物1"),
個体台帳!$B$2:$B$1000,
"")))</f>
        <v/>
      </c>
      <c r="D338" t="str">
        <f t="array" ref="D338">IF(TRIM(A338)="","",
_xlfn.TEXTJOIN(" , ",TRUE,
IF((個体台帳!$A$2:$A$1000=TRIM(A338))*(個体台帳!$C$2:$C$1000="小物2"),
個体台帳!$B$2:$B$1000,
"")))</f>
        <v/>
      </c>
      <c r="E338" s="8" t="str">
        <f t="array" ref="E338">IF($A338="","",
INDEX(個体台帳!$D$2:$D$1000,
MATCH(1,
(個体台帳!$A$2:$A$1000=$A338)*
(個体台帳!$C$2:$C$1000="服"),
0)))</f>
        <v/>
      </c>
      <c r="F338" t="str">
        <f t="array" ref="F338">IF($A338="","",
IF(COUNTIFS(貸出記録!$B:$B,$A338,貸出記録!$E:$E,"")&gt;0,
"貸出中","在庫"))</f>
        <v/>
      </c>
      <c r="G338" t="s">
        <v>6</v>
      </c>
      <c r="H338" t="s">
        <v>6</v>
      </c>
      <c r="I338" t="s">
        <v>6</v>
      </c>
    </row>
    <row r="339" spans="1:9">
      <c r="A339" s="21" t="s">
        <v>6</v>
      </c>
      <c r="B339" t="str">
        <f t="array" ref="B339">IF(TRIM(A339)="","",
_xlfn.TEXTJOIN(" , ",TRUE,
IF((個体台帳!$A$2:$A$1000=TRIM(A339))*(個体台帳!$C$2:$C$1000="服"),
個体台帳!$B$2:$B$1000,
"")))</f>
        <v/>
      </c>
      <c r="C339" t="str">
        <f t="array" ref="C339">IF(TRIM(A339)="","",
_xlfn.TEXTJOIN(" , ",TRUE,
IF((個体台帳!$A$2:$A$1000=TRIM(A339))*(個体台帳!$C$2:$C$1000="小物1"),
個体台帳!$B$2:$B$1000,
"")))</f>
        <v/>
      </c>
      <c r="D339" t="str">
        <f t="array" ref="D339">IF(TRIM(A339)="","",
_xlfn.TEXTJOIN(" , ",TRUE,
IF((個体台帳!$A$2:$A$1000=TRIM(A339))*(個体台帳!$C$2:$C$1000="小物2"),
個体台帳!$B$2:$B$1000,
"")))</f>
        <v/>
      </c>
      <c r="E339" s="8" t="str">
        <f t="array" ref="E339">IF($A339="","",
INDEX(個体台帳!$D$2:$D$1000,
MATCH(1,
(個体台帳!$A$2:$A$1000=$A339)*
(個体台帳!$C$2:$C$1000="服"),
0)))</f>
        <v/>
      </c>
      <c r="F339" t="str">
        <f t="array" ref="F339">IF($A339="","",
IF(COUNTIFS(貸出記録!$B:$B,$A339,貸出記録!$E:$E,"")&gt;0,
"貸出中","在庫"))</f>
        <v/>
      </c>
      <c r="G339" t="s">
        <v>6</v>
      </c>
      <c r="H339" t="s">
        <v>6</v>
      </c>
      <c r="I339" t="s">
        <v>6</v>
      </c>
    </row>
    <row r="340" spans="1:9">
      <c r="A340" s="21" t="s">
        <v>6</v>
      </c>
      <c r="B340" t="str">
        <f t="array" ref="B340">IF(TRIM(A340)="","",
_xlfn.TEXTJOIN(" , ",TRUE,
IF((個体台帳!$A$2:$A$1000=TRIM(A340))*(個体台帳!$C$2:$C$1000="服"),
個体台帳!$B$2:$B$1000,
"")))</f>
        <v/>
      </c>
      <c r="C340" t="str">
        <f t="array" ref="C340">IF(TRIM(A340)="","",
_xlfn.TEXTJOIN(" , ",TRUE,
IF((個体台帳!$A$2:$A$1000=TRIM(A340))*(個体台帳!$C$2:$C$1000="小物1"),
個体台帳!$B$2:$B$1000,
"")))</f>
        <v/>
      </c>
      <c r="D340" t="str">
        <f t="array" ref="D340">IF(TRIM(A340)="","",
_xlfn.TEXTJOIN(" , ",TRUE,
IF((個体台帳!$A$2:$A$1000=TRIM(A340))*(個体台帳!$C$2:$C$1000="小物2"),
個体台帳!$B$2:$B$1000,
"")))</f>
        <v/>
      </c>
      <c r="E340" s="8" t="str">
        <f t="array" ref="E340">IF($A340="","",
INDEX(個体台帳!$D$2:$D$1000,
MATCH(1,
(個体台帳!$A$2:$A$1000=$A340)*
(個体台帳!$C$2:$C$1000="服"),
0)))</f>
        <v/>
      </c>
      <c r="F340" t="str">
        <f t="array" ref="F340">IF($A340="","",
IF(COUNTIFS(貸出記録!$B:$B,$A340,貸出記録!$E:$E,"")&gt;0,
"貸出中","在庫"))</f>
        <v/>
      </c>
      <c r="G340" t="s">
        <v>6</v>
      </c>
      <c r="H340" t="s">
        <v>6</v>
      </c>
      <c r="I340" t="s">
        <v>6</v>
      </c>
    </row>
    <row r="341" spans="1:9">
      <c r="A341" s="21" t="s">
        <v>6</v>
      </c>
      <c r="B341" t="str">
        <f t="array" ref="B341">IF(TRIM(A341)="","",
_xlfn.TEXTJOIN(" , ",TRUE,
IF((個体台帳!$A$2:$A$1000=TRIM(A341))*(個体台帳!$C$2:$C$1000="服"),
個体台帳!$B$2:$B$1000,
"")))</f>
        <v/>
      </c>
      <c r="C341" t="str">
        <f t="array" ref="C341">IF(TRIM(A341)="","",
_xlfn.TEXTJOIN(" , ",TRUE,
IF((個体台帳!$A$2:$A$1000=TRIM(A341))*(個体台帳!$C$2:$C$1000="小物1"),
個体台帳!$B$2:$B$1000,
"")))</f>
        <v/>
      </c>
      <c r="D341" t="str">
        <f t="array" ref="D341">IF(TRIM(A341)="","",
_xlfn.TEXTJOIN(" , ",TRUE,
IF((個体台帳!$A$2:$A$1000=TRIM(A341))*(個体台帳!$C$2:$C$1000="小物2"),
個体台帳!$B$2:$B$1000,
"")))</f>
        <v/>
      </c>
      <c r="E341" s="8" t="str">
        <f t="array" ref="E341">IF($A341="","",
INDEX(個体台帳!$D$2:$D$1000,
MATCH(1,
(個体台帳!$A$2:$A$1000=$A341)*
(個体台帳!$C$2:$C$1000="服"),
0)))</f>
        <v/>
      </c>
      <c r="F341" t="str">
        <f t="array" ref="F341">IF($A341="","",
IF(COUNTIFS(貸出記録!$B:$B,$A341,貸出記録!$E:$E,"")&gt;0,
"貸出中","在庫"))</f>
        <v/>
      </c>
      <c r="G341" t="s">
        <v>6</v>
      </c>
      <c r="H341" t="s">
        <v>6</v>
      </c>
      <c r="I341" t="s">
        <v>6</v>
      </c>
    </row>
    <row r="342" spans="1:9">
      <c r="A342" s="21" t="s">
        <v>6</v>
      </c>
      <c r="B342" t="str">
        <f t="array" ref="B342">IF(TRIM(A342)="","",
_xlfn.TEXTJOIN(" , ",TRUE,
IF((個体台帳!$A$2:$A$1000=TRIM(A342))*(個体台帳!$C$2:$C$1000="服"),
個体台帳!$B$2:$B$1000,
"")))</f>
        <v/>
      </c>
      <c r="C342" t="str">
        <f t="array" ref="C342">IF(TRIM(A342)="","",
_xlfn.TEXTJOIN(" , ",TRUE,
IF((個体台帳!$A$2:$A$1000=TRIM(A342))*(個体台帳!$C$2:$C$1000="小物1"),
個体台帳!$B$2:$B$1000,
"")))</f>
        <v/>
      </c>
      <c r="D342" t="str">
        <f t="array" ref="D342">IF(TRIM(A342)="","",
_xlfn.TEXTJOIN(" , ",TRUE,
IF((個体台帳!$A$2:$A$1000=TRIM(A342))*(個体台帳!$C$2:$C$1000="小物2"),
個体台帳!$B$2:$B$1000,
"")))</f>
        <v/>
      </c>
      <c r="E342" s="8" t="str">
        <f t="array" ref="E342">IF($A342="","",
INDEX(個体台帳!$D$2:$D$1000,
MATCH(1,
(個体台帳!$A$2:$A$1000=$A342)*
(個体台帳!$C$2:$C$1000="服"),
0)))</f>
        <v/>
      </c>
      <c r="F342" t="str">
        <f t="array" ref="F342">IF($A342="","",
IF(COUNTIFS(貸出記録!$B:$B,$A342,貸出記録!$E:$E,"")&gt;0,
"貸出中","在庫"))</f>
        <v/>
      </c>
      <c r="G342" t="s">
        <v>6</v>
      </c>
      <c r="H342" t="s">
        <v>6</v>
      </c>
      <c r="I342" t="s">
        <v>6</v>
      </c>
    </row>
    <row r="343" spans="1:9">
      <c r="A343" s="21" t="s">
        <v>6</v>
      </c>
      <c r="B343" t="str">
        <f t="array" ref="B343">IF(TRIM(A343)="","",
_xlfn.TEXTJOIN(" , ",TRUE,
IF((個体台帳!$A$2:$A$1000=TRIM(A343))*(個体台帳!$C$2:$C$1000="服"),
個体台帳!$B$2:$B$1000,
"")))</f>
        <v/>
      </c>
      <c r="C343" t="str">
        <f t="array" ref="C343">IF(TRIM(A343)="","",
_xlfn.TEXTJOIN(" , ",TRUE,
IF((個体台帳!$A$2:$A$1000=TRIM(A343))*(個体台帳!$C$2:$C$1000="小物1"),
個体台帳!$B$2:$B$1000,
"")))</f>
        <v/>
      </c>
      <c r="D343" t="str">
        <f t="array" ref="D343">IF(TRIM(A343)="","",
_xlfn.TEXTJOIN(" , ",TRUE,
IF((個体台帳!$A$2:$A$1000=TRIM(A343))*(個体台帳!$C$2:$C$1000="小物2"),
個体台帳!$B$2:$B$1000,
"")))</f>
        <v/>
      </c>
      <c r="E343" s="8" t="str">
        <f t="array" ref="E343">IF($A343="","",
INDEX(個体台帳!$D$2:$D$1000,
MATCH(1,
(個体台帳!$A$2:$A$1000=$A343)*
(個体台帳!$C$2:$C$1000="服"),
0)))</f>
        <v/>
      </c>
      <c r="F343" t="str">
        <f t="array" ref="F343">IF($A343="","",
IF(COUNTIFS(貸出記録!$B:$B,$A343,貸出記録!$E:$E,"")&gt;0,
"貸出中","在庫"))</f>
        <v/>
      </c>
      <c r="G343" t="s">
        <v>6</v>
      </c>
      <c r="H343" t="s">
        <v>6</v>
      </c>
      <c r="I343" t="s">
        <v>6</v>
      </c>
    </row>
    <row r="344" spans="1:9">
      <c r="A344" s="21" t="s">
        <v>6</v>
      </c>
      <c r="B344" t="str">
        <f t="array" ref="B344">IF(TRIM(A344)="","",
_xlfn.TEXTJOIN(" , ",TRUE,
IF((個体台帳!$A$2:$A$1000=TRIM(A344))*(個体台帳!$C$2:$C$1000="服"),
個体台帳!$B$2:$B$1000,
"")))</f>
        <v/>
      </c>
      <c r="C344" t="str">
        <f t="array" ref="C344">IF(TRIM(A344)="","",
_xlfn.TEXTJOIN(" , ",TRUE,
IF((個体台帳!$A$2:$A$1000=TRIM(A344))*(個体台帳!$C$2:$C$1000="小物1"),
個体台帳!$B$2:$B$1000,
"")))</f>
        <v/>
      </c>
      <c r="D344" t="str">
        <f t="array" ref="D344">IF(TRIM(A344)="","",
_xlfn.TEXTJOIN(" , ",TRUE,
IF((個体台帳!$A$2:$A$1000=TRIM(A344))*(個体台帳!$C$2:$C$1000="小物2"),
個体台帳!$B$2:$B$1000,
"")))</f>
        <v/>
      </c>
      <c r="E344" s="8" t="str">
        <f t="array" ref="E344">IF($A344="","",
INDEX(個体台帳!$D$2:$D$1000,
MATCH(1,
(個体台帳!$A$2:$A$1000=$A344)*
(個体台帳!$C$2:$C$1000="服"),
0)))</f>
        <v/>
      </c>
      <c r="F344" t="str">
        <f t="array" ref="F344">IF($A344="","",
IF(COUNTIFS(貸出記録!$B:$B,$A344,貸出記録!$E:$E,"")&gt;0,
"貸出中","在庫"))</f>
        <v/>
      </c>
      <c r="G344" t="s">
        <v>6</v>
      </c>
      <c r="H344" t="s">
        <v>6</v>
      </c>
      <c r="I344" t="s">
        <v>6</v>
      </c>
    </row>
    <row r="345" spans="1:9">
      <c r="A345" s="21" t="s">
        <v>6</v>
      </c>
      <c r="B345" t="str">
        <f t="array" ref="B345">IF(TRIM(A345)="","",
_xlfn.TEXTJOIN(" , ",TRUE,
IF((個体台帳!$A$2:$A$1000=TRIM(A345))*(個体台帳!$C$2:$C$1000="服"),
個体台帳!$B$2:$B$1000,
"")))</f>
        <v/>
      </c>
      <c r="C345" t="str">
        <f t="array" ref="C345">IF(TRIM(A345)="","",
_xlfn.TEXTJOIN(" , ",TRUE,
IF((個体台帳!$A$2:$A$1000=TRIM(A345))*(個体台帳!$C$2:$C$1000="小物1"),
個体台帳!$B$2:$B$1000,
"")))</f>
        <v/>
      </c>
      <c r="D345" t="str">
        <f t="array" ref="D345">IF(TRIM(A345)="","",
_xlfn.TEXTJOIN(" , ",TRUE,
IF((個体台帳!$A$2:$A$1000=TRIM(A345))*(個体台帳!$C$2:$C$1000="小物2"),
個体台帳!$B$2:$B$1000,
"")))</f>
        <v/>
      </c>
      <c r="E345" s="8" t="str">
        <f t="array" ref="E345">IF($A345="","",
INDEX(個体台帳!$D$2:$D$1000,
MATCH(1,
(個体台帳!$A$2:$A$1000=$A345)*
(個体台帳!$C$2:$C$1000="服"),
0)))</f>
        <v/>
      </c>
      <c r="F345" t="str">
        <f t="array" ref="F345">IF($A345="","",
IF(COUNTIFS(貸出記録!$B:$B,$A345,貸出記録!$E:$E,"")&gt;0,
"貸出中","在庫"))</f>
        <v/>
      </c>
      <c r="G345" t="s">
        <v>6</v>
      </c>
      <c r="H345" t="s">
        <v>6</v>
      </c>
      <c r="I345" t="s">
        <v>6</v>
      </c>
    </row>
    <row r="346" spans="1:9">
      <c r="A346" s="21" t="s">
        <v>6</v>
      </c>
      <c r="B346" t="str">
        <f t="array" ref="B346">IF(TRIM(A346)="","",
_xlfn.TEXTJOIN(" , ",TRUE,
IF((個体台帳!$A$2:$A$1000=TRIM(A346))*(個体台帳!$C$2:$C$1000="服"),
個体台帳!$B$2:$B$1000,
"")))</f>
        <v/>
      </c>
      <c r="C346" t="str">
        <f t="array" ref="C346">IF(TRIM(A346)="","",
_xlfn.TEXTJOIN(" , ",TRUE,
IF((個体台帳!$A$2:$A$1000=TRIM(A346))*(個体台帳!$C$2:$C$1000="小物1"),
個体台帳!$B$2:$B$1000,
"")))</f>
        <v/>
      </c>
      <c r="D346" t="str">
        <f t="array" ref="D346">IF(TRIM(A346)="","",
_xlfn.TEXTJOIN(" , ",TRUE,
IF((個体台帳!$A$2:$A$1000=TRIM(A346))*(個体台帳!$C$2:$C$1000="小物2"),
個体台帳!$B$2:$B$1000,
"")))</f>
        <v/>
      </c>
      <c r="E346" s="8" t="str">
        <f t="array" ref="E346">IF($A346="","",
INDEX(個体台帳!$D$2:$D$1000,
MATCH(1,
(個体台帳!$A$2:$A$1000=$A346)*
(個体台帳!$C$2:$C$1000="服"),
0)))</f>
        <v/>
      </c>
      <c r="F346" t="str">
        <f t="array" ref="F346">IF($A346="","",
IF(COUNTIFS(貸出記録!$B:$B,$A346,貸出記録!$E:$E,"")&gt;0,
"貸出中","在庫"))</f>
        <v/>
      </c>
      <c r="G346" t="s">
        <v>6</v>
      </c>
      <c r="H346" t="s">
        <v>6</v>
      </c>
      <c r="I346" t="s">
        <v>6</v>
      </c>
    </row>
    <row r="347" spans="1:9">
      <c r="A347" s="21" t="s">
        <v>6</v>
      </c>
      <c r="B347" t="str">
        <f t="array" ref="B347">IF(TRIM(A347)="","",
_xlfn.TEXTJOIN(" , ",TRUE,
IF((個体台帳!$A$2:$A$1000=TRIM(A347))*(個体台帳!$C$2:$C$1000="服"),
個体台帳!$B$2:$B$1000,
"")))</f>
        <v/>
      </c>
      <c r="C347" t="str">
        <f t="array" ref="C347">IF(TRIM(A347)="","",
_xlfn.TEXTJOIN(" , ",TRUE,
IF((個体台帳!$A$2:$A$1000=TRIM(A347))*(個体台帳!$C$2:$C$1000="小物1"),
個体台帳!$B$2:$B$1000,
"")))</f>
        <v/>
      </c>
      <c r="D347" t="str">
        <f t="array" ref="D347">IF(TRIM(A347)="","",
_xlfn.TEXTJOIN(" , ",TRUE,
IF((個体台帳!$A$2:$A$1000=TRIM(A347))*(個体台帳!$C$2:$C$1000="小物2"),
個体台帳!$B$2:$B$1000,
"")))</f>
        <v/>
      </c>
      <c r="E347" s="8" t="str">
        <f t="array" ref="E347">IF($A347="","",
INDEX(個体台帳!$D$2:$D$1000,
MATCH(1,
(個体台帳!$A$2:$A$1000=$A347)*
(個体台帳!$C$2:$C$1000="服"),
0)))</f>
        <v/>
      </c>
      <c r="F347" t="str">
        <f t="array" ref="F347">IF($A347="","",
IF(COUNTIFS(貸出記録!$B:$B,$A347,貸出記録!$E:$E,"")&gt;0,
"貸出中","在庫"))</f>
        <v/>
      </c>
      <c r="G347" t="s">
        <v>6</v>
      </c>
      <c r="H347" t="s">
        <v>6</v>
      </c>
      <c r="I347" t="s">
        <v>6</v>
      </c>
    </row>
    <row r="348" spans="1:9">
      <c r="A348" s="21" t="s">
        <v>6</v>
      </c>
      <c r="B348" t="str">
        <f t="array" ref="B348">IF(TRIM(A348)="","",
_xlfn.TEXTJOIN(" , ",TRUE,
IF((個体台帳!$A$2:$A$1000=TRIM(A348))*(個体台帳!$C$2:$C$1000="服"),
個体台帳!$B$2:$B$1000,
"")))</f>
        <v/>
      </c>
      <c r="C348" t="str">
        <f t="array" ref="C348">IF(TRIM(A348)="","",
_xlfn.TEXTJOIN(" , ",TRUE,
IF((個体台帳!$A$2:$A$1000=TRIM(A348))*(個体台帳!$C$2:$C$1000="小物1"),
個体台帳!$B$2:$B$1000,
"")))</f>
        <v/>
      </c>
      <c r="D348" t="str">
        <f t="array" ref="D348">IF(TRIM(A348)="","",
_xlfn.TEXTJOIN(" , ",TRUE,
IF((個体台帳!$A$2:$A$1000=TRIM(A348))*(個体台帳!$C$2:$C$1000="小物2"),
個体台帳!$B$2:$B$1000,
"")))</f>
        <v/>
      </c>
      <c r="E348" s="8" t="str">
        <f t="array" ref="E348">IF($A348="","",
INDEX(個体台帳!$D$2:$D$1000,
MATCH(1,
(個体台帳!$A$2:$A$1000=$A348)*
(個体台帳!$C$2:$C$1000="服"),
0)))</f>
        <v/>
      </c>
      <c r="F348" t="str">
        <f t="array" ref="F348">IF($A348="","",
IF(COUNTIFS(貸出記録!$B:$B,$A348,貸出記録!$E:$E,"")&gt;0,
"貸出中","在庫"))</f>
        <v/>
      </c>
      <c r="G348" t="s">
        <v>6</v>
      </c>
      <c r="H348" t="s">
        <v>6</v>
      </c>
      <c r="I348" t="s">
        <v>6</v>
      </c>
    </row>
    <row r="349" spans="1:9">
      <c r="A349" s="21" t="s">
        <v>6</v>
      </c>
      <c r="B349" t="str">
        <f t="array" ref="B349">IF(TRIM(A349)="","",
_xlfn.TEXTJOIN(" , ",TRUE,
IF((個体台帳!$A$2:$A$1000=TRIM(A349))*(個体台帳!$C$2:$C$1000="服"),
個体台帳!$B$2:$B$1000,
"")))</f>
        <v/>
      </c>
      <c r="C349" t="str">
        <f t="array" ref="C349">IF(TRIM(A349)="","",
_xlfn.TEXTJOIN(" , ",TRUE,
IF((個体台帳!$A$2:$A$1000=TRIM(A349))*(個体台帳!$C$2:$C$1000="小物1"),
個体台帳!$B$2:$B$1000,
"")))</f>
        <v/>
      </c>
      <c r="D349" t="str">
        <f t="array" ref="D349">IF(TRIM(A349)="","",
_xlfn.TEXTJOIN(" , ",TRUE,
IF((個体台帳!$A$2:$A$1000=TRIM(A349))*(個体台帳!$C$2:$C$1000="小物2"),
個体台帳!$B$2:$B$1000,
"")))</f>
        <v/>
      </c>
      <c r="E349" s="8" t="str">
        <f t="array" ref="E349">IF($A349="","",
INDEX(個体台帳!$D$2:$D$1000,
MATCH(1,
(個体台帳!$A$2:$A$1000=$A349)*
(個体台帳!$C$2:$C$1000="服"),
0)))</f>
        <v/>
      </c>
      <c r="F349" t="str">
        <f t="array" ref="F349">IF($A349="","",
IF(COUNTIFS(貸出記録!$B:$B,$A349,貸出記録!$E:$E,"")&gt;0,
"貸出中","在庫"))</f>
        <v/>
      </c>
      <c r="G349" t="s">
        <v>6</v>
      </c>
      <c r="H349" t="s">
        <v>6</v>
      </c>
      <c r="I349" t="s">
        <v>6</v>
      </c>
    </row>
    <row r="350" spans="1:9">
      <c r="A350" s="21" t="s">
        <v>6</v>
      </c>
      <c r="B350" t="str">
        <f t="array" ref="B350">IF(TRIM(A350)="","",
_xlfn.TEXTJOIN(" , ",TRUE,
IF((個体台帳!$A$2:$A$1000=TRIM(A350))*(個体台帳!$C$2:$C$1000="服"),
個体台帳!$B$2:$B$1000,
"")))</f>
        <v/>
      </c>
      <c r="C350" t="str">
        <f t="array" ref="C350">IF(TRIM(A350)="","",
_xlfn.TEXTJOIN(" , ",TRUE,
IF((個体台帳!$A$2:$A$1000=TRIM(A350))*(個体台帳!$C$2:$C$1000="小物1"),
個体台帳!$B$2:$B$1000,
"")))</f>
        <v/>
      </c>
      <c r="D350" t="str">
        <f t="array" ref="D350">IF(TRIM(A350)="","",
_xlfn.TEXTJOIN(" , ",TRUE,
IF((個体台帳!$A$2:$A$1000=TRIM(A350))*(個体台帳!$C$2:$C$1000="小物2"),
個体台帳!$B$2:$B$1000,
"")))</f>
        <v/>
      </c>
      <c r="E350" s="8" t="str">
        <f t="array" ref="E350">IF($A350="","",
INDEX(個体台帳!$D$2:$D$1000,
MATCH(1,
(個体台帳!$A$2:$A$1000=$A350)*
(個体台帳!$C$2:$C$1000="服"),
0)))</f>
        <v/>
      </c>
      <c r="F350" t="str">
        <f t="array" ref="F350">IF($A350="","",
IF(COUNTIFS(貸出記録!$B:$B,$A350,貸出記録!$E:$E,"")&gt;0,
"貸出中","在庫"))</f>
        <v/>
      </c>
      <c r="G350" t="s">
        <v>6</v>
      </c>
      <c r="H350" t="s">
        <v>6</v>
      </c>
      <c r="I350" t="s">
        <v>6</v>
      </c>
    </row>
    <row r="351" spans="1:9">
      <c r="A351" s="21" t="s">
        <v>6</v>
      </c>
      <c r="B351" t="str">
        <f t="array" ref="B351">IF(TRIM(A351)="","",
_xlfn.TEXTJOIN(" , ",TRUE,
IF((個体台帳!$A$2:$A$1000=TRIM(A351))*(個体台帳!$C$2:$C$1000="服"),
個体台帳!$B$2:$B$1000,
"")))</f>
        <v/>
      </c>
      <c r="C351" t="str">
        <f t="array" ref="C351">IF(TRIM(A351)="","",
_xlfn.TEXTJOIN(" , ",TRUE,
IF((個体台帳!$A$2:$A$1000=TRIM(A351))*(個体台帳!$C$2:$C$1000="小物1"),
個体台帳!$B$2:$B$1000,
"")))</f>
        <v/>
      </c>
      <c r="D351" t="str">
        <f t="array" ref="D351">IF(TRIM(A351)="","",
_xlfn.TEXTJOIN(" , ",TRUE,
IF((個体台帳!$A$2:$A$1000=TRIM(A351))*(個体台帳!$C$2:$C$1000="小物2"),
個体台帳!$B$2:$B$1000,
"")))</f>
        <v/>
      </c>
      <c r="E351" s="8" t="str">
        <f t="array" ref="E351">IF($A351="","",
INDEX(個体台帳!$D$2:$D$1000,
MATCH(1,
(個体台帳!$A$2:$A$1000=$A351)*
(個体台帳!$C$2:$C$1000="服"),
0)))</f>
        <v/>
      </c>
      <c r="F351" t="str">
        <f t="array" ref="F351">IF($A351="","",
IF(COUNTIFS(貸出記録!$B:$B,$A351,貸出記録!$E:$E,"")&gt;0,
"貸出中","在庫"))</f>
        <v/>
      </c>
      <c r="G351" t="s">
        <v>6</v>
      </c>
      <c r="H351" t="s">
        <v>6</v>
      </c>
      <c r="I351" t="s">
        <v>6</v>
      </c>
    </row>
    <row r="352" spans="1:9">
      <c r="A352" s="21" t="s">
        <v>6</v>
      </c>
      <c r="B352" t="str">
        <f t="array" ref="B352">IF(TRIM(A352)="","",
_xlfn.TEXTJOIN(" , ",TRUE,
IF((個体台帳!$A$2:$A$1000=TRIM(A352))*(個体台帳!$C$2:$C$1000="服"),
個体台帳!$B$2:$B$1000,
"")))</f>
        <v/>
      </c>
      <c r="C352" t="str">
        <f t="array" ref="C352">IF(TRIM(A352)="","",
_xlfn.TEXTJOIN(" , ",TRUE,
IF((個体台帳!$A$2:$A$1000=TRIM(A352))*(個体台帳!$C$2:$C$1000="小物1"),
個体台帳!$B$2:$B$1000,
"")))</f>
        <v/>
      </c>
      <c r="D352" t="str">
        <f t="array" ref="D352">IF(TRIM(A352)="","",
_xlfn.TEXTJOIN(" , ",TRUE,
IF((個体台帳!$A$2:$A$1000=TRIM(A352))*(個体台帳!$C$2:$C$1000="小物2"),
個体台帳!$B$2:$B$1000,
"")))</f>
        <v/>
      </c>
      <c r="E352" s="8" t="str">
        <f t="array" ref="E352">IF($A352="","",
INDEX(個体台帳!$D$2:$D$1000,
MATCH(1,
(個体台帳!$A$2:$A$1000=$A352)*
(個体台帳!$C$2:$C$1000="服"),
0)))</f>
        <v/>
      </c>
      <c r="F352" t="str">
        <f t="array" ref="F352">IF($A352="","",
IF(COUNTIFS(貸出記録!$B:$B,$A352,貸出記録!$E:$E,"")&gt;0,
"貸出中","在庫"))</f>
        <v/>
      </c>
      <c r="G352" t="s">
        <v>6</v>
      </c>
      <c r="H352" t="s">
        <v>6</v>
      </c>
      <c r="I352" t="s">
        <v>6</v>
      </c>
    </row>
    <row r="353" spans="1:9">
      <c r="A353" s="21" t="s">
        <v>6</v>
      </c>
      <c r="B353" t="str">
        <f t="array" ref="B353">IF(TRIM(A353)="","",
_xlfn.TEXTJOIN(" , ",TRUE,
IF((個体台帳!$A$2:$A$1000=TRIM(A353))*(個体台帳!$C$2:$C$1000="服"),
個体台帳!$B$2:$B$1000,
"")))</f>
        <v/>
      </c>
      <c r="C353" t="str">
        <f t="array" ref="C353">IF(TRIM(A353)="","",
_xlfn.TEXTJOIN(" , ",TRUE,
IF((個体台帳!$A$2:$A$1000=TRIM(A353))*(個体台帳!$C$2:$C$1000="小物1"),
個体台帳!$B$2:$B$1000,
"")))</f>
        <v/>
      </c>
      <c r="D353" t="str">
        <f t="array" ref="D353">IF(TRIM(A353)="","",
_xlfn.TEXTJOIN(" , ",TRUE,
IF((個体台帳!$A$2:$A$1000=TRIM(A353))*(個体台帳!$C$2:$C$1000="小物2"),
個体台帳!$B$2:$B$1000,
"")))</f>
        <v/>
      </c>
      <c r="E353" s="8" t="str">
        <f t="array" ref="E353">IF($A353="","",
INDEX(個体台帳!$D$2:$D$1000,
MATCH(1,
(個体台帳!$A$2:$A$1000=$A353)*
(個体台帳!$C$2:$C$1000="服"),
0)))</f>
        <v/>
      </c>
      <c r="F353" t="str">
        <f t="array" ref="F353">IF($A353="","",
IF(COUNTIFS(貸出記録!$B:$B,$A353,貸出記録!$E:$E,"")&gt;0,
"貸出中","在庫"))</f>
        <v/>
      </c>
      <c r="G353" t="s">
        <v>6</v>
      </c>
      <c r="H353" t="s">
        <v>6</v>
      </c>
      <c r="I353" t="s">
        <v>6</v>
      </c>
    </row>
    <row r="354" spans="1:9">
      <c r="A354" s="21" t="s">
        <v>6</v>
      </c>
      <c r="B354" t="str">
        <f t="array" ref="B354">IF(TRIM(A354)="","",
_xlfn.TEXTJOIN(" , ",TRUE,
IF((個体台帳!$A$2:$A$1000=TRIM(A354))*(個体台帳!$C$2:$C$1000="服"),
個体台帳!$B$2:$B$1000,
"")))</f>
        <v/>
      </c>
      <c r="C354" t="str">
        <f t="array" ref="C354">IF(TRIM(A354)="","",
_xlfn.TEXTJOIN(" , ",TRUE,
IF((個体台帳!$A$2:$A$1000=TRIM(A354))*(個体台帳!$C$2:$C$1000="小物1"),
個体台帳!$B$2:$B$1000,
"")))</f>
        <v/>
      </c>
      <c r="D354" t="str">
        <f t="array" ref="D354">IF(TRIM(A354)="","",
_xlfn.TEXTJOIN(" , ",TRUE,
IF((個体台帳!$A$2:$A$1000=TRIM(A354))*(個体台帳!$C$2:$C$1000="小物2"),
個体台帳!$B$2:$B$1000,
"")))</f>
        <v/>
      </c>
      <c r="E354" s="8" t="str">
        <f t="array" ref="E354">IF($A354="","",
INDEX(個体台帳!$D$2:$D$1000,
MATCH(1,
(個体台帳!$A$2:$A$1000=$A354)*
(個体台帳!$C$2:$C$1000="服"),
0)))</f>
        <v/>
      </c>
      <c r="F354" t="str">
        <f t="array" ref="F354">IF($A354="","",
IF(COUNTIFS(貸出記録!$B:$B,$A354,貸出記録!$E:$E,"")&gt;0,
"貸出中","在庫"))</f>
        <v/>
      </c>
      <c r="G354" t="s">
        <v>6</v>
      </c>
      <c r="H354" t="s">
        <v>6</v>
      </c>
      <c r="I354" t="s">
        <v>6</v>
      </c>
    </row>
    <row r="355" spans="1:9">
      <c r="A355" s="21" t="s">
        <v>6</v>
      </c>
      <c r="B355" t="str">
        <f t="array" ref="B355">IF(TRIM(A355)="","",
_xlfn.TEXTJOIN(" , ",TRUE,
IF((個体台帳!$A$2:$A$1000=TRIM(A355))*(個体台帳!$C$2:$C$1000="服"),
個体台帳!$B$2:$B$1000,
"")))</f>
        <v/>
      </c>
      <c r="C355" t="str">
        <f t="array" ref="C355">IF(TRIM(A355)="","",
_xlfn.TEXTJOIN(" , ",TRUE,
IF((個体台帳!$A$2:$A$1000=TRIM(A355))*(個体台帳!$C$2:$C$1000="小物1"),
個体台帳!$B$2:$B$1000,
"")))</f>
        <v/>
      </c>
      <c r="D355" t="str">
        <f t="array" ref="D355">IF(TRIM(A355)="","",
_xlfn.TEXTJOIN(" , ",TRUE,
IF((個体台帳!$A$2:$A$1000=TRIM(A355))*(個体台帳!$C$2:$C$1000="小物2"),
個体台帳!$B$2:$B$1000,
"")))</f>
        <v/>
      </c>
      <c r="E355" s="8" t="str">
        <f t="array" ref="E355">IF($A355="","",
INDEX(個体台帳!$D$2:$D$1000,
MATCH(1,
(個体台帳!$A$2:$A$1000=$A355)*
(個体台帳!$C$2:$C$1000="服"),
0)))</f>
        <v/>
      </c>
      <c r="F355" t="str">
        <f t="array" ref="F355">IF($A355="","",
IF(COUNTIFS(貸出記録!$B:$B,$A355,貸出記録!$E:$E,"")&gt;0,
"貸出中","在庫"))</f>
        <v/>
      </c>
      <c r="G355" t="s">
        <v>6</v>
      </c>
      <c r="H355" t="s">
        <v>6</v>
      </c>
      <c r="I355" t="s">
        <v>6</v>
      </c>
    </row>
    <row r="356" spans="1:9">
      <c r="A356" s="21" t="s">
        <v>6</v>
      </c>
      <c r="B356" t="str">
        <f t="array" ref="B356">IF(TRIM(A356)="","",
_xlfn.TEXTJOIN(" , ",TRUE,
IF((個体台帳!$A$2:$A$1000=TRIM(A356))*(個体台帳!$C$2:$C$1000="服"),
個体台帳!$B$2:$B$1000,
"")))</f>
        <v/>
      </c>
      <c r="C356" t="str">
        <f t="array" ref="C356">IF(TRIM(A356)="","",
_xlfn.TEXTJOIN(" , ",TRUE,
IF((個体台帳!$A$2:$A$1000=TRIM(A356))*(個体台帳!$C$2:$C$1000="小物1"),
個体台帳!$B$2:$B$1000,
"")))</f>
        <v/>
      </c>
      <c r="D356" t="str">
        <f t="array" ref="D356">IF(TRIM(A356)="","",
_xlfn.TEXTJOIN(" , ",TRUE,
IF((個体台帳!$A$2:$A$1000=TRIM(A356))*(個体台帳!$C$2:$C$1000="小物2"),
個体台帳!$B$2:$B$1000,
"")))</f>
        <v/>
      </c>
      <c r="E356" s="8" t="str">
        <f t="array" ref="E356">IF($A356="","",
INDEX(個体台帳!$D$2:$D$1000,
MATCH(1,
(個体台帳!$A$2:$A$1000=$A356)*
(個体台帳!$C$2:$C$1000="服"),
0)))</f>
        <v/>
      </c>
      <c r="F356" t="str">
        <f t="array" ref="F356">IF($A356="","",
IF(COUNTIFS(貸出記録!$B:$B,$A356,貸出記録!$E:$E,"")&gt;0,
"貸出中","在庫"))</f>
        <v/>
      </c>
      <c r="G356" t="s">
        <v>6</v>
      </c>
      <c r="H356" t="s">
        <v>6</v>
      </c>
      <c r="I356" t="s">
        <v>6</v>
      </c>
    </row>
    <row r="357" spans="1:9">
      <c r="A357" s="21" t="s">
        <v>6</v>
      </c>
      <c r="B357" t="str">
        <f t="array" ref="B357">IF(TRIM(A357)="","",
_xlfn.TEXTJOIN(" , ",TRUE,
IF((個体台帳!$A$2:$A$1000=TRIM(A357))*(個体台帳!$C$2:$C$1000="服"),
個体台帳!$B$2:$B$1000,
"")))</f>
        <v/>
      </c>
      <c r="C357" t="str">
        <f t="array" ref="C357">IF(TRIM(A357)="","",
_xlfn.TEXTJOIN(" , ",TRUE,
IF((個体台帳!$A$2:$A$1000=TRIM(A357))*(個体台帳!$C$2:$C$1000="小物1"),
個体台帳!$B$2:$B$1000,
"")))</f>
        <v/>
      </c>
      <c r="D357" t="str">
        <f t="array" ref="D357">IF(TRIM(A357)="","",
_xlfn.TEXTJOIN(" , ",TRUE,
IF((個体台帳!$A$2:$A$1000=TRIM(A357))*(個体台帳!$C$2:$C$1000="小物2"),
個体台帳!$B$2:$B$1000,
"")))</f>
        <v/>
      </c>
      <c r="E357" s="8" t="str">
        <f t="array" ref="E357">IF($A357="","",
INDEX(個体台帳!$D$2:$D$1000,
MATCH(1,
(個体台帳!$A$2:$A$1000=$A357)*
(個体台帳!$C$2:$C$1000="服"),
0)))</f>
        <v/>
      </c>
      <c r="F357" t="str">
        <f t="array" ref="F357">IF($A357="","",
IF(COUNTIFS(貸出記録!$B:$B,$A357,貸出記録!$E:$E,"")&gt;0,
"貸出中","在庫"))</f>
        <v/>
      </c>
      <c r="G357" t="s">
        <v>6</v>
      </c>
      <c r="H357" t="s">
        <v>6</v>
      </c>
      <c r="I357" t="s">
        <v>6</v>
      </c>
    </row>
    <row r="358" spans="1:9">
      <c r="A358" s="21" t="s">
        <v>6</v>
      </c>
      <c r="B358" t="str">
        <f t="array" ref="B358">IF(TRIM(A358)="","",
_xlfn.TEXTJOIN(" , ",TRUE,
IF((個体台帳!$A$2:$A$1000=TRIM(A358))*(個体台帳!$C$2:$C$1000="服"),
個体台帳!$B$2:$B$1000,
"")))</f>
        <v/>
      </c>
      <c r="C358" t="str">
        <f t="array" ref="C358">IF(TRIM(A358)="","",
_xlfn.TEXTJOIN(" , ",TRUE,
IF((個体台帳!$A$2:$A$1000=TRIM(A358))*(個体台帳!$C$2:$C$1000="小物1"),
個体台帳!$B$2:$B$1000,
"")))</f>
        <v/>
      </c>
      <c r="D358" t="str">
        <f t="array" ref="D358">IF(TRIM(A358)="","",
_xlfn.TEXTJOIN(" , ",TRUE,
IF((個体台帳!$A$2:$A$1000=TRIM(A358))*(個体台帳!$C$2:$C$1000="小物2"),
個体台帳!$B$2:$B$1000,
"")))</f>
        <v/>
      </c>
      <c r="E358" s="8" t="str">
        <f t="array" ref="E358">IF($A358="","",
INDEX(個体台帳!$D$2:$D$1000,
MATCH(1,
(個体台帳!$A$2:$A$1000=$A358)*
(個体台帳!$C$2:$C$1000="服"),
0)))</f>
        <v/>
      </c>
      <c r="F358" t="str">
        <f t="array" ref="F358">IF($A358="","",
IF(COUNTIFS(貸出記録!$B:$B,$A358,貸出記録!$E:$E,"")&gt;0,
"貸出中","在庫"))</f>
        <v/>
      </c>
      <c r="G358" t="s">
        <v>6</v>
      </c>
      <c r="H358" t="s">
        <v>6</v>
      </c>
      <c r="I358" t="s">
        <v>6</v>
      </c>
    </row>
    <row r="359" spans="1:9">
      <c r="A359" s="21" t="s">
        <v>6</v>
      </c>
      <c r="B359" t="str">
        <f t="array" ref="B359">IF(TRIM(A359)="","",
_xlfn.TEXTJOIN(" , ",TRUE,
IF((個体台帳!$A$2:$A$1000=TRIM(A359))*(個体台帳!$C$2:$C$1000="服"),
個体台帳!$B$2:$B$1000,
"")))</f>
        <v/>
      </c>
      <c r="C359" t="str">
        <f t="array" ref="C359">IF(TRIM(A359)="","",
_xlfn.TEXTJOIN(" , ",TRUE,
IF((個体台帳!$A$2:$A$1000=TRIM(A359))*(個体台帳!$C$2:$C$1000="小物1"),
個体台帳!$B$2:$B$1000,
"")))</f>
        <v/>
      </c>
      <c r="D359" t="str">
        <f t="array" ref="D359">IF(TRIM(A359)="","",
_xlfn.TEXTJOIN(" , ",TRUE,
IF((個体台帳!$A$2:$A$1000=TRIM(A359))*(個体台帳!$C$2:$C$1000="小物2"),
個体台帳!$B$2:$B$1000,
"")))</f>
        <v/>
      </c>
      <c r="E359" s="8" t="str">
        <f t="array" ref="E359">IF($A359="","",
INDEX(個体台帳!$D$2:$D$1000,
MATCH(1,
(個体台帳!$A$2:$A$1000=$A359)*
(個体台帳!$C$2:$C$1000="服"),
0)))</f>
        <v/>
      </c>
      <c r="F359" t="str">
        <f t="array" ref="F359">IF($A359="","",
IF(COUNTIFS(貸出記録!$B:$B,$A359,貸出記録!$E:$E,"")&gt;0,
"貸出中","在庫"))</f>
        <v/>
      </c>
      <c r="G359" t="s">
        <v>6</v>
      </c>
      <c r="H359" t="s">
        <v>6</v>
      </c>
      <c r="I359" t="s">
        <v>6</v>
      </c>
    </row>
    <row r="360" spans="1:9">
      <c r="A360" s="21" t="s">
        <v>6</v>
      </c>
      <c r="B360" t="str">
        <f t="array" ref="B360">IF(TRIM(A360)="","",
_xlfn.TEXTJOIN(" , ",TRUE,
IF((個体台帳!$A$2:$A$1000=TRIM(A360))*(個体台帳!$C$2:$C$1000="服"),
個体台帳!$B$2:$B$1000,
"")))</f>
        <v/>
      </c>
      <c r="C360" t="str">
        <f t="array" ref="C360">IF(TRIM(A360)="","",
_xlfn.TEXTJOIN(" , ",TRUE,
IF((個体台帳!$A$2:$A$1000=TRIM(A360))*(個体台帳!$C$2:$C$1000="小物1"),
個体台帳!$B$2:$B$1000,
"")))</f>
        <v/>
      </c>
      <c r="D360" t="str">
        <f t="array" ref="D360">IF(TRIM(A360)="","",
_xlfn.TEXTJOIN(" , ",TRUE,
IF((個体台帳!$A$2:$A$1000=TRIM(A360))*(個体台帳!$C$2:$C$1000="小物2"),
個体台帳!$B$2:$B$1000,
"")))</f>
        <v/>
      </c>
      <c r="E360" s="8" t="str">
        <f t="array" ref="E360">IF($A360="","",
INDEX(個体台帳!$D$2:$D$1000,
MATCH(1,
(個体台帳!$A$2:$A$1000=$A360)*
(個体台帳!$C$2:$C$1000="服"),
0)))</f>
        <v/>
      </c>
      <c r="F360" t="str">
        <f t="array" ref="F360">IF($A360="","",
IF(COUNTIFS(貸出記録!$B:$B,$A360,貸出記録!$E:$E,"")&gt;0,
"貸出中","在庫"))</f>
        <v/>
      </c>
      <c r="G360" t="s">
        <v>6</v>
      </c>
      <c r="H360" t="s">
        <v>6</v>
      </c>
      <c r="I360" t="s">
        <v>6</v>
      </c>
    </row>
    <row r="361" spans="1:9">
      <c r="A361" s="21" t="s">
        <v>6</v>
      </c>
      <c r="B361" t="str">
        <f t="array" ref="B361">IF(TRIM(A361)="","",
_xlfn.TEXTJOIN(" , ",TRUE,
IF((個体台帳!$A$2:$A$1000=TRIM(A361))*(個体台帳!$C$2:$C$1000="服"),
個体台帳!$B$2:$B$1000,
"")))</f>
        <v/>
      </c>
      <c r="C361" t="str">
        <f t="array" ref="C361">IF(TRIM(A361)="","",
_xlfn.TEXTJOIN(" , ",TRUE,
IF((個体台帳!$A$2:$A$1000=TRIM(A361))*(個体台帳!$C$2:$C$1000="小物1"),
個体台帳!$B$2:$B$1000,
"")))</f>
        <v/>
      </c>
      <c r="D361" t="str">
        <f t="array" ref="D361">IF(TRIM(A361)="","",
_xlfn.TEXTJOIN(" , ",TRUE,
IF((個体台帳!$A$2:$A$1000=TRIM(A361))*(個体台帳!$C$2:$C$1000="小物2"),
個体台帳!$B$2:$B$1000,
"")))</f>
        <v/>
      </c>
      <c r="E361" s="8" t="str">
        <f t="array" ref="E361">IF($A361="","",
INDEX(個体台帳!$D$2:$D$1000,
MATCH(1,
(個体台帳!$A$2:$A$1000=$A361)*
(個体台帳!$C$2:$C$1000="服"),
0)))</f>
        <v/>
      </c>
      <c r="F361" t="str">
        <f t="array" ref="F361">IF($A361="","",
IF(COUNTIFS(貸出記録!$B:$B,$A361,貸出記録!$E:$E,"")&gt;0,
"貸出中","在庫"))</f>
        <v/>
      </c>
      <c r="G361" t="s">
        <v>6</v>
      </c>
      <c r="H361" t="s">
        <v>6</v>
      </c>
      <c r="I361" t="s">
        <v>6</v>
      </c>
    </row>
    <row r="362" spans="1:9">
      <c r="A362" s="21" t="s">
        <v>6</v>
      </c>
      <c r="B362" t="str">
        <f t="array" ref="B362">IF(TRIM(A362)="","",
_xlfn.TEXTJOIN(" , ",TRUE,
IF((個体台帳!$A$2:$A$1000=TRIM(A362))*(個体台帳!$C$2:$C$1000="服"),
個体台帳!$B$2:$B$1000,
"")))</f>
        <v/>
      </c>
      <c r="C362" t="str">
        <f t="array" ref="C362">IF(TRIM(A362)="","",
_xlfn.TEXTJOIN(" , ",TRUE,
IF((個体台帳!$A$2:$A$1000=TRIM(A362))*(個体台帳!$C$2:$C$1000="小物1"),
個体台帳!$B$2:$B$1000,
"")))</f>
        <v/>
      </c>
      <c r="D362" t="str">
        <f t="array" ref="D362">IF(TRIM(A362)="","",
_xlfn.TEXTJOIN(" , ",TRUE,
IF((個体台帳!$A$2:$A$1000=TRIM(A362))*(個体台帳!$C$2:$C$1000="小物2"),
個体台帳!$B$2:$B$1000,
"")))</f>
        <v/>
      </c>
      <c r="E362" s="8" t="str">
        <f t="array" ref="E362">IF($A362="","",
INDEX(個体台帳!$D$2:$D$1000,
MATCH(1,
(個体台帳!$A$2:$A$1000=$A362)*
(個体台帳!$C$2:$C$1000="服"),
0)))</f>
        <v/>
      </c>
      <c r="F362" t="str">
        <f t="array" ref="F362">IF($A362="","",
IF(COUNTIFS(貸出記録!$B:$B,$A362,貸出記録!$E:$E,"")&gt;0,
"貸出中","在庫"))</f>
        <v/>
      </c>
      <c r="G362" t="s">
        <v>6</v>
      </c>
      <c r="H362" t="s">
        <v>6</v>
      </c>
      <c r="I362" t="s">
        <v>6</v>
      </c>
    </row>
    <row r="363" spans="1:9">
      <c r="A363" s="21" t="s">
        <v>6</v>
      </c>
      <c r="B363" t="str">
        <f t="array" ref="B363">IF(TRIM(A363)="","",
_xlfn.TEXTJOIN(" , ",TRUE,
IF((個体台帳!$A$2:$A$1000=TRIM(A363))*(個体台帳!$C$2:$C$1000="服"),
個体台帳!$B$2:$B$1000,
"")))</f>
        <v/>
      </c>
      <c r="C363" t="str">
        <f t="array" ref="C363">IF(TRIM(A363)="","",
_xlfn.TEXTJOIN(" , ",TRUE,
IF((個体台帳!$A$2:$A$1000=TRIM(A363))*(個体台帳!$C$2:$C$1000="小物1"),
個体台帳!$B$2:$B$1000,
"")))</f>
        <v/>
      </c>
      <c r="D363" t="str">
        <f t="array" ref="D363">IF(TRIM(A363)="","",
_xlfn.TEXTJOIN(" , ",TRUE,
IF((個体台帳!$A$2:$A$1000=TRIM(A363))*(個体台帳!$C$2:$C$1000="小物2"),
個体台帳!$B$2:$B$1000,
"")))</f>
        <v/>
      </c>
      <c r="E363" s="8" t="str">
        <f t="array" ref="E363">IF($A363="","",
INDEX(個体台帳!$D$2:$D$1000,
MATCH(1,
(個体台帳!$A$2:$A$1000=$A363)*
(個体台帳!$C$2:$C$1000="服"),
0)))</f>
        <v/>
      </c>
      <c r="F363" t="str">
        <f t="array" ref="F363">IF($A363="","",
IF(COUNTIFS(貸出記録!$B:$B,$A363,貸出記録!$E:$E,"")&gt;0,
"貸出中","在庫"))</f>
        <v/>
      </c>
      <c r="G363" t="s">
        <v>6</v>
      </c>
      <c r="H363" t="s">
        <v>6</v>
      </c>
      <c r="I363" t="s">
        <v>6</v>
      </c>
    </row>
    <row r="364" spans="1:9">
      <c r="A364" s="21" t="s">
        <v>6</v>
      </c>
      <c r="B364" t="str">
        <f t="array" ref="B364">IF(TRIM(A364)="","",
_xlfn.TEXTJOIN(" , ",TRUE,
IF((個体台帳!$A$2:$A$1000=TRIM(A364))*(個体台帳!$C$2:$C$1000="服"),
個体台帳!$B$2:$B$1000,
"")))</f>
        <v/>
      </c>
      <c r="C364" t="str">
        <f t="array" ref="C364">IF(TRIM(A364)="","",
_xlfn.TEXTJOIN(" , ",TRUE,
IF((個体台帳!$A$2:$A$1000=TRIM(A364))*(個体台帳!$C$2:$C$1000="小物1"),
個体台帳!$B$2:$B$1000,
"")))</f>
        <v/>
      </c>
      <c r="D364" t="str">
        <f t="array" ref="D364">IF(TRIM(A364)="","",
_xlfn.TEXTJOIN(" , ",TRUE,
IF((個体台帳!$A$2:$A$1000=TRIM(A364))*(個体台帳!$C$2:$C$1000="小物2"),
個体台帳!$B$2:$B$1000,
"")))</f>
        <v/>
      </c>
      <c r="E364" s="8" t="str">
        <f t="array" ref="E364">IF($A364="","",
INDEX(個体台帳!$D$2:$D$1000,
MATCH(1,
(個体台帳!$A$2:$A$1000=$A364)*
(個体台帳!$C$2:$C$1000="服"),
0)))</f>
        <v/>
      </c>
      <c r="F364" t="str">
        <f t="array" ref="F364">IF($A364="","",
IF(COUNTIFS(貸出記録!$B:$B,$A364,貸出記録!$E:$E,"")&gt;0,
"貸出中","在庫"))</f>
        <v/>
      </c>
      <c r="G364" t="s">
        <v>6</v>
      </c>
      <c r="H364" t="s">
        <v>6</v>
      </c>
      <c r="I364" t="s">
        <v>6</v>
      </c>
    </row>
    <row r="365" spans="1:9">
      <c r="A365" s="21" t="s">
        <v>6</v>
      </c>
      <c r="B365" t="str">
        <f t="array" ref="B365">IF(TRIM(A365)="","",
_xlfn.TEXTJOIN(" , ",TRUE,
IF((個体台帳!$A$2:$A$1000=TRIM(A365))*(個体台帳!$C$2:$C$1000="服"),
個体台帳!$B$2:$B$1000,
"")))</f>
        <v/>
      </c>
      <c r="C365" t="str">
        <f t="array" ref="C365">IF(TRIM(A365)="","",
_xlfn.TEXTJOIN(" , ",TRUE,
IF((個体台帳!$A$2:$A$1000=TRIM(A365))*(個体台帳!$C$2:$C$1000="小物1"),
個体台帳!$B$2:$B$1000,
"")))</f>
        <v/>
      </c>
      <c r="D365" t="str">
        <f t="array" ref="D365">IF(TRIM(A365)="","",
_xlfn.TEXTJOIN(" , ",TRUE,
IF((個体台帳!$A$2:$A$1000=TRIM(A365))*(個体台帳!$C$2:$C$1000="小物2"),
個体台帳!$B$2:$B$1000,
"")))</f>
        <v/>
      </c>
      <c r="E365" s="8" t="str">
        <f t="array" ref="E365">IF($A365="","",
INDEX(個体台帳!$D$2:$D$1000,
MATCH(1,
(個体台帳!$A$2:$A$1000=$A365)*
(個体台帳!$C$2:$C$1000="服"),
0)))</f>
        <v/>
      </c>
      <c r="F365" t="str">
        <f t="array" ref="F365">IF($A365="","",
IF(COUNTIFS(貸出記録!$B:$B,$A365,貸出記録!$E:$E,"")&gt;0,
"貸出中","在庫"))</f>
        <v/>
      </c>
      <c r="G365" t="s">
        <v>6</v>
      </c>
      <c r="H365" t="s">
        <v>6</v>
      </c>
      <c r="I365" t="s">
        <v>6</v>
      </c>
    </row>
    <row r="366" spans="1:9">
      <c r="A366" s="21" t="s">
        <v>6</v>
      </c>
      <c r="B366" t="str">
        <f t="array" ref="B366">IF(TRIM(A366)="","",
_xlfn.TEXTJOIN(" , ",TRUE,
IF((個体台帳!$A$2:$A$1000=TRIM(A366))*(個体台帳!$C$2:$C$1000="服"),
個体台帳!$B$2:$B$1000,
"")))</f>
        <v/>
      </c>
      <c r="C366" t="str">
        <f t="array" ref="C366">IF(TRIM(A366)="","",
_xlfn.TEXTJOIN(" , ",TRUE,
IF((個体台帳!$A$2:$A$1000=TRIM(A366))*(個体台帳!$C$2:$C$1000="小物1"),
個体台帳!$B$2:$B$1000,
"")))</f>
        <v/>
      </c>
      <c r="D366" t="str">
        <f t="array" ref="D366">IF(TRIM(A366)="","",
_xlfn.TEXTJOIN(" , ",TRUE,
IF((個体台帳!$A$2:$A$1000=TRIM(A366))*(個体台帳!$C$2:$C$1000="小物2"),
個体台帳!$B$2:$B$1000,
"")))</f>
        <v/>
      </c>
      <c r="E366" s="8" t="str">
        <f t="array" ref="E366">IF($A366="","",
INDEX(個体台帳!$D$2:$D$1000,
MATCH(1,
(個体台帳!$A$2:$A$1000=$A366)*
(個体台帳!$C$2:$C$1000="服"),
0)))</f>
        <v/>
      </c>
      <c r="F366" t="str">
        <f t="array" ref="F366">IF($A366="","",
IF(COUNTIFS(貸出記録!$B:$B,$A366,貸出記録!$E:$E,"")&gt;0,
"貸出中","在庫"))</f>
        <v/>
      </c>
      <c r="G366" t="s">
        <v>6</v>
      </c>
      <c r="H366" t="s">
        <v>6</v>
      </c>
      <c r="I366" t="s">
        <v>6</v>
      </c>
    </row>
    <row r="367" spans="1:9">
      <c r="A367" s="21" t="s">
        <v>6</v>
      </c>
      <c r="B367" t="str">
        <f t="array" ref="B367">IF(TRIM(A367)="","",
_xlfn.TEXTJOIN(" , ",TRUE,
IF((個体台帳!$A$2:$A$1000=TRIM(A367))*(個体台帳!$C$2:$C$1000="服"),
個体台帳!$B$2:$B$1000,
"")))</f>
        <v/>
      </c>
      <c r="C367" t="str">
        <f t="array" ref="C367">IF(TRIM(A367)="","",
_xlfn.TEXTJOIN(" , ",TRUE,
IF((個体台帳!$A$2:$A$1000=TRIM(A367))*(個体台帳!$C$2:$C$1000="小物1"),
個体台帳!$B$2:$B$1000,
"")))</f>
        <v/>
      </c>
      <c r="D367" t="str">
        <f t="array" ref="D367">IF(TRIM(A367)="","",
_xlfn.TEXTJOIN(" , ",TRUE,
IF((個体台帳!$A$2:$A$1000=TRIM(A367))*(個体台帳!$C$2:$C$1000="小物2"),
個体台帳!$B$2:$B$1000,
"")))</f>
        <v/>
      </c>
      <c r="E367" s="8" t="str">
        <f t="array" ref="E367">IF($A367="","",
INDEX(個体台帳!$D$2:$D$1000,
MATCH(1,
(個体台帳!$A$2:$A$1000=$A367)*
(個体台帳!$C$2:$C$1000="服"),
0)))</f>
        <v/>
      </c>
      <c r="F367" t="str">
        <f t="array" ref="F367">IF($A367="","",
IF(COUNTIFS(貸出記録!$B:$B,$A367,貸出記録!$E:$E,"")&gt;0,
"貸出中","在庫"))</f>
        <v/>
      </c>
      <c r="G367" t="s">
        <v>6</v>
      </c>
      <c r="H367" t="s">
        <v>6</v>
      </c>
      <c r="I367" t="s">
        <v>6</v>
      </c>
    </row>
    <row r="368" spans="1:9">
      <c r="A368" s="21" t="s">
        <v>6</v>
      </c>
      <c r="B368" t="str">
        <f t="array" ref="B368">IF(TRIM(A368)="","",
_xlfn.TEXTJOIN(" , ",TRUE,
IF((個体台帳!$A$2:$A$1000=TRIM(A368))*(個体台帳!$C$2:$C$1000="服"),
個体台帳!$B$2:$B$1000,
"")))</f>
        <v/>
      </c>
      <c r="C368" t="str">
        <f t="array" ref="C368">IF(TRIM(A368)="","",
_xlfn.TEXTJOIN(" , ",TRUE,
IF((個体台帳!$A$2:$A$1000=TRIM(A368))*(個体台帳!$C$2:$C$1000="小物1"),
個体台帳!$B$2:$B$1000,
"")))</f>
        <v/>
      </c>
      <c r="D368" t="str">
        <f t="array" ref="D368">IF(TRIM(A368)="","",
_xlfn.TEXTJOIN(" , ",TRUE,
IF((個体台帳!$A$2:$A$1000=TRIM(A368))*(個体台帳!$C$2:$C$1000="小物2"),
個体台帳!$B$2:$B$1000,
"")))</f>
        <v/>
      </c>
      <c r="E368" s="8" t="str">
        <f t="array" ref="E368">IF($A368="","",
INDEX(個体台帳!$D$2:$D$1000,
MATCH(1,
(個体台帳!$A$2:$A$1000=$A368)*
(個体台帳!$C$2:$C$1000="服"),
0)))</f>
        <v/>
      </c>
      <c r="F368" t="str">
        <f t="array" ref="F368">IF($A368="","",
IF(COUNTIFS(貸出記録!$B:$B,$A368,貸出記録!$E:$E,"")&gt;0,
"貸出中","在庫"))</f>
        <v/>
      </c>
      <c r="G368" t="s">
        <v>6</v>
      </c>
      <c r="H368" t="s">
        <v>6</v>
      </c>
      <c r="I368" t="s">
        <v>6</v>
      </c>
    </row>
    <row r="369" spans="1:9">
      <c r="A369" s="21" t="s">
        <v>6</v>
      </c>
      <c r="B369" t="str">
        <f t="array" ref="B369">IF(TRIM(A369)="","",
_xlfn.TEXTJOIN(" , ",TRUE,
IF((個体台帳!$A$2:$A$1000=TRIM(A369))*(個体台帳!$C$2:$C$1000="服"),
個体台帳!$B$2:$B$1000,
"")))</f>
        <v/>
      </c>
      <c r="C369" t="str">
        <f t="array" ref="C369">IF(TRIM(A369)="","",
_xlfn.TEXTJOIN(" , ",TRUE,
IF((個体台帳!$A$2:$A$1000=TRIM(A369))*(個体台帳!$C$2:$C$1000="小物1"),
個体台帳!$B$2:$B$1000,
"")))</f>
        <v/>
      </c>
      <c r="D369" t="str">
        <f t="array" ref="D369">IF(TRIM(A369)="","",
_xlfn.TEXTJOIN(" , ",TRUE,
IF((個体台帳!$A$2:$A$1000=TRIM(A369))*(個体台帳!$C$2:$C$1000="小物2"),
個体台帳!$B$2:$B$1000,
"")))</f>
        <v/>
      </c>
      <c r="E369" s="8" t="str">
        <f t="array" ref="E369">IF($A369="","",
INDEX(個体台帳!$D$2:$D$1000,
MATCH(1,
(個体台帳!$A$2:$A$1000=$A369)*
(個体台帳!$C$2:$C$1000="服"),
0)))</f>
        <v/>
      </c>
      <c r="F369" t="str">
        <f t="array" ref="F369">IF($A369="","",
IF(COUNTIFS(貸出記録!$B:$B,$A369,貸出記録!$E:$E,"")&gt;0,
"貸出中","在庫"))</f>
        <v/>
      </c>
      <c r="G369" t="s">
        <v>6</v>
      </c>
      <c r="H369" t="s">
        <v>6</v>
      </c>
      <c r="I369" t="s">
        <v>6</v>
      </c>
    </row>
    <row r="370" spans="1:9">
      <c r="A370" s="21" t="s">
        <v>6</v>
      </c>
      <c r="B370" t="str">
        <f t="array" ref="B370">IF(TRIM(A370)="","",
_xlfn.TEXTJOIN(" , ",TRUE,
IF((個体台帳!$A$2:$A$1000=TRIM(A370))*(個体台帳!$C$2:$C$1000="服"),
個体台帳!$B$2:$B$1000,
"")))</f>
        <v/>
      </c>
      <c r="C370" t="str">
        <f t="array" ref="C370">IF(TRIM(A370)="","",
_xlfn.TEXTJOIN(" , ",TRUE,
IF((個体台帳!$A$2:$A$1000=TRIM(A370))*(個体台帳!$C$2:$C$1000="小物1"),
個体台帳!$B$2:$B$1000,
"")))</f>
        <v/>
      </c>
      <c r="D370" t="str">
        <f t="array" ref="D370">IF(TRIM(A370)="","",
_xlfn.TEXTJOIN(" , ",TRUE,
IF((個体台帳!$A$2:$A$1000=TRIM(A370))*(個体台帳!$C$2:$C$1000="小物2"),
個体台帳!$B$2:$B$1000,
"")))</f>
        <v/>
      </c>
      <c r="E370" s="8" t="str">
        <f t="array" ref="E370">IF($A370="","",
INDEX(個体台帳!$D$2:$D$1000,
MATCH(1,
(個体台帳!$A$2:$A$1000=$A370)*
(個体台帳!$C$2:$C$1000="服"),
0)))</f>
        <v/>
      </c>
      <c r="F370" t="str">
        <f t="array" ref="F370">IF($A370="","",
IF(COUNTIFS(貸出記録!$B:$B,$A370,貸出記録!$E:$E,"")&gt;0,
"貸出中","在庫"))</f>
        <v/>
      </c>
      <c r="G370" t="s">
        <v>6</v>
      </c>
      <c r="H370" t="s">
        <v>6</v>
      </c>
      <c r="I370" t="s">
        <v>6</v>
      </c>
    </row>
    <row r="371" spans="1:9">
      <c r="A371" s="21" t="s">
        <v>6</v>
      </c>
      <c r="B371" t="str">
        <f t="array" ref="B371">IF(TRIM(A371)="","",
_xlfn.TEXTJOIN(" , ",TRUE,
IF((個体台帳!$A$2:$A$1000=TRIM(A371))*(個体台帳!$C$2:$C$1000="服"),
個体台帳!$B$2:$B$1000,
"")))</f>
        <v/>
      </c>
      <c r="C371" t="str">
        <f t="array" ref="C371">IF(TRIM(A371)="","",
_xlfn.TEXTJOIN(" , ",TRUE,
IF((個体台帳!$A$2:$A$1000=TRIM(A371))*(個体台帳!$C$2:$C$1000="小物1"),
個体台帳!$B$2:$B$1000,
"")))</f>
        <v/>
      </c>
      <c r="D371" t="str">
        <f t="array" ref="D371">IF(TRIM(A371)="","",
_xlfn.TEXTJOIN(" , ",TRUE,
IF((個体台帳!$A$2:$A$1000=TRIM(A371))*(個体台帳!$C$2:$C$1000="小物2"),
個体台帳!$B$2:$B$1000,
"")))</f>
        <v/>
      </c>
      <c r="E371" s="8" t="str">
        <f t="array" ref="E371">IF($A371="","",
INDEX(個体台帳!$D$2:$D$1000,
MATCH(1,
(個体台帳!$A$2:$A$1000=$A371)*
(個体台帳!$C$2:$C$1000="服"),
0)))</f>
        <v/>
      </c>
      <c r="F371" t="str">
        <f t="array" ref="F371">IF($A371="","",
IF(COUNTIFS(貸出記録!$B:$B,$A371,貸出記録!$E:$E,"")&gt;0,
"貸出中","在庫"))</f>
        <v/>
      </c>
      <c r="G371" t="s">
        <v>6</v>
      </c>
      <c r="H371" t="s">
        <v>6</v>
      </c>
      <c r="I371" t="s">
        <v>6</v>
      </c>
    </row>
    <row r="372" spans="1:9">
      <c r="A372" s="21" t="s">
        <v>6</v>
      </c>
      <c r="B372" t="str">
        <f t="array" ref="B372">IF(TRIM(A372)="","",
_xlfn.TEXTJOIN(" , ",TRUE,
IF((個体台帳!$A$2:$A$1000=TRIM(A372))*(個体台帳!$C$2:$C$1000="服"),
個体台帳!$B$2:$B$1000,
"")))</f>
        <v/>
      </c>
      <c r="C372" t="str">
        <f t="array" ref="C372">IF(TRIM(A372)="","",
_xlfn.TEXTJOIN(" , ",TRUE,
IF((個体台帳!$A$2:$A$1000=TRIM(A372))*(個体台帳!$C$2:$C$1000="小物1"),
個体台帳!$B$2:$B$1000,
"")))</f>
        <v/>
      </c>
      <c r="D372" t="str">
        <f t="array" ref="D372">IF(TRIM(A372)="","",
_xlfn.TEXTJOIN(" , ",TRUE,
IF((個体台帳!$A$2:$A$1000=TRIM(A372))*(個体台帳!$C$2:$C$1000="小物2"),
個体台帳!$B$2:$B$1000,
"")))</f>
        <v/>
      </c>
      <c r="E372" s="8" t="str">
        <f t="array" ref="E372">IF($A372="","",
INDEX(個体台帳!$D$2:$D$1000,
MATCH(1,
(個体台帳!$A$2:$A$1000=$A372)*
(個体台帳!$C$2:$C$1000="服"),
0)))</f>
        <v/>
      </c>
      <c r="F372" t="str">
        <f t="array" ref="F372">IF($A372="","",
IF(COUNTIFS(貸出記録!$B:$B,$A372,貸出記録!$E:$E,"")&gt;0,
"貸出中","在庫"))</f>
        <v/>
      </c>
      <c r="G372" t="s">
        <v>6</v>
      </c>
      <c r="H372" t="s">
        <v>6</v>
      </c>
      <c r="I372" t="s">
        <v>6</v>
      </c>
    </row>
    <row r="373" spans="1:9">
      <c r="A373" s="21" t="s">
        <v>6</v>
      </c>
      <c r="B373" t="str">
        <f t="array" ref="B373">IF(TRIM(A373)="","",
_xlfn.TEXTJOIN(" , ",TRUE,
IF((個体台帳!$A$2:$A$1000=TRIM(A373))*(個体台帳!$C$2:$C$1000="服"),
個体台帳!$B$2:$B$1000,
"")))</f>
        <v/>
      </c>
      <c r="C373" t="str">
        <f t="array" ref="C373">IF(TRIM(A373)="","",
_xlfn.TEXTJOIN(" , ",TRUE,
IF((個体台帳!$A$2:$A$1000=TRIM(A373))*(個体台帳!$C$2:$C$1000="小物1"),
個体台帳!$B$2:$B$1000,
"")))</f>
        <v/>
      </c>
      <c r="D373" t="str">
        <f t="array" ref="D373">IF(TRIM(A373)="","",
_xlfn.TEXTJOIN(" , ",TRUE,
IF((個体台帳!$A$2:$A$1000=TRIM(A373))*(個体台帳!$C$2:$C$1000="小物2"),
個体台帳!$B$2:$B$1000,
"")))</f>
        <v/>
      </c>
      <c r="E373" s="8" t="str">
        <f t="array" ref="E373">IF($A373="","",
INDEX(個体台帳!$D$2:$D$1000,
MATCH(1,
(個体台帳!$A$2:$A$1000=$A373)*
(個体台帳!$C$2:$C$1000="服"),
0)))</f>
        <v/>
      </c>
      <c r="F373" t="str">
        <f t="array" ref="F373">IF($A373="","",
IF(COUNTIFS(貸出記録!$B:$B,$A373,貸出記録!$E:$E,"")&gt;0,
"貸出中","在庫"))</f>
        <v/>
      </c>
      <c r="G373" t="s">
        <v>6</v>
      </c>
      <c r="H373" t="s">
        <v>6</v>
      </c>
      <c r="I373" t="s">
        <v>6</v>
      </c>
    </row>
    <row r="374" spans="1:9">
      <c r="A374" s="21" t="s">
        <v>6</v>
      </c>
      <c r="B374" t="str">
        <f t="array" ref="B374">IF(TRIM(A374)="","",
_xlfn.TEXTJOIN(" , ",TRUE,
IF((個体台帳!$A$2:$A$1000=TRIM(A374))*(個体台帳!$C$2:$C$1000="服"),
個体台帳!$B$2:$B$1000,
"")))</f>
        <v/>
      </c>
      <c r="C374" t="str">
        <f t="array" ref="C374">IF(TRIM(A374)="","",
_xlfn.TEXTJOIN(" , ",TRUE,
IF((個体台帳!$A$2:$A$1000=TRIM(A374))*(個体台帳!$C$2:$C$1000="小物1"),
個体台帳!$B$2:$B$1000,
"")))</f>
        <v/>
      </c>
      <c r="D374" t="str">
        <f t="array" ref="D374">IF(TRIM(A374)="","",
_xlfn.TEXTJOIN(" , ",TRUE,
IF((個体台帳!$A$2:$A$1000=TRIM(A374))*(個体台帳!$C$2:$C$1000="小物2"),
個体台帳!$B$2:$B$1000,
"")))</f>
        <v/>
      </c>
      <c r="E374" s="8" t="str">
        <f t="array" ref="E374">IF($A374="","",
INDEX(個体台帳!$D$2:$D$1000,
MATCH(1,
(個体台帳!$A$2:$A$1000=$A374)*
(個体台帳!$C$2:$C$1000="服"),
0)))</f>
        <v/>
      </c>
      <c r="F374" t="str">
        <f t="array" ref="F374">IF($A374="","",
IF(COUNTIFS(貸出記録!$B:$B,$A374,貸出記録!$E:$E,"")&gt;0,
"貸出中","在庫"))</f>
        <v/>
      </c>
      <c r="G374" t="s">
        <v>6</v>
      </c>
      <c r="H374" t="s">
        <v>6</v>
      </c>
      <c r="I374" t="s">
        <v>6</v>
      </c>
    </row>
    <row r="375" spans="1:9">
      <c r="A375" s="21" t="s">
        <v>6</v>
      </c>
      <c r="B375" t="str">
        <f t="array" ref="B375">IF(TRIM(A375)="","",
_xlfn.TEXTJOIN(" , ",TRUE,
IF((個体台帳!$A$2:$A$1000=TRIM(A375))*(個体台帳!$C$2:$C$1000="服"),
個体台帳!$B$2:$B$1000,
"")))</f>
        <v/>
      </c>
      <c r="C375" t="str">
        <f t="array" ref="C375">IF(TRIM(A375)="","",
_xlfn.TEXTJOIN(" , ",TRUE,
IF((個体台帳!$A$2:$A$1000=TRIM(A375))*(個体台帳!$C$2:$C$1000="小物1"),
個体台帳!$B$2:$B$1000,
"")))</f>
        <v/>
      </c>
      <c r="D375" t="str">
        <f t="array" ref="D375">IF(TRIM(A375)="","",
_xlfn.TEXTJOIN(" , ",TRUE,
IF((個体台帳!$A$2:$A$1000=TRIM(A375))*(個体台帳!$C$2:$C$1000="小物2"),
個体台帳!$B$2:$B$1000,
"")))</f>
        <v/>
      </c>
      <c r="E375" s="8" t="str">
        <f t="array" ref="E375">IF($A375="","",
INDEX(個体台帳!$D$2:$D$1000,
MATCH(1,
(個体台帳!$A$2:$A$1000=$A375)*
(個体台帳!$C$2:$C$1000="服"),
0)))</f>
        <v/>
      </c>
      <c r="F375" t="str">
        <f t="array" ref="F375">IF($A375="","",
IF(COUNTIFS(貸出記録!$B:$B,$A375,貸出記録!$E:$E,"")&gt;0,
"貸出中","在庫"))</f>
        <v/>
      </c>
      <c r="G375" t="s">
        <v>6</v>
      </c>
      <c r="H375" t="s">
        <v>6</v>
      </c>
      <c r="I375" t="s">
        <v>6</v>
      </c>
    </row>
    <row r="376" spans="1:9">
      <c r="A376" s="21" t="s">
        <v>6</v>
      </c>
      <c r="B376" t="str">
        <f t="array" ref="B376">IF(TRIM(A376)="","",
_xlfn.TEXTJOIN(" , ",TRUE,
IF((個体台帳!$A$2:$A$1000=TRIM(A376))*(個体台帳!$C$2:$C$1000="服"),
個体台帳!$B$2:$B$1000,
"")))</f>
        <v/>
      </c>
      <c r="C376" t="str">
        <f t="array" ref="C376">IF(TRIM(A376)="","",
_xlfn.TEXTJOIN(" , ",TRUE,
IF((個体台帳!$A$2:$A$1000=TRIM(A376))*(個体台帳!$C$2:$C$1000="小物1"),
個体台帳!$B$2:$B$1000,
"")))</f>
        <v/>
      </c>
      <c r="D376" t="str">
        <f t="array" ref="D376">IF(TRIM(A376)="","",
_xlfn.TEXTJOIN(" , ",TRUE,
IF((個体台帳!$A$2:$A$1000=TRIM(A376))*(個体台帳!$C$2:$C$1000="小物2"),
個体台帳!$B$2:$B$1000,
"")))</f>
        <v/>
      </c>
      <c r="E376" s="8" t="str">
        <f t="array" ref="E376">IF($A376="","",
INDEX(個体台帳!$D$2:$D$1000,
MATCH(1,
(個体台帳!$A$2:$A$1000=$A376)*
(個体台帳!$C$2:$C$1000="服"),
0)))</f>
        <v/>
      </c>
      <c r="F376" t="str">
        <f t="array" ref="F376">IF($A376="","",
IF(COUNTIFS(貸出記録!$B:$B,$A376,貸出記録!$E:$E,"")&gt;0,
"貸出中","在庫"))</f>
        <v/>
      </c>
      <c r="G376" t="s">
        <v>6</v>
      </c>
      <c r="H376" t="s">
        <v>6</v>
      </c>
      <c r="I376" t="s">
        <v>6</v>
      </c>
    </row>
    <row r="377" spans="1:9">
      <c r="A377" s="21" t="s">
        <v>6</v>
      </c>
      <c r="B377" t="str">
        <f t="array" ref="B377">IF(TRIM(A377)="","",
_xlfn.TEXTJOIN(" , ",TRUE,
IF((個体台帳!$A$2:$A$1000=TRIM(A377))*(個体台帳!$C$2:$C$1000="服"),
個体台帳!$B$2:$B$1000,
"")))</f>
        <v/>
      </c>
      <c r="C377" t="str">
        <f t="array" ref="C377">IF(TRIM(A377)="","",
_xlfn.TEXTJOIN(" , ",TRUE,
IF((個体台帳!$A$2:$A$1000=TRIM(A377))*(個体台帳!$C$2:$C$1000="小物1"),
個体台帳!$B$2:$B$1000,
"")))</f>
        <v/>
      </c>
      <c r="D377" t="str">
        <f t="array" ref="D377">IF(TRIM(A377)="","",
_xlfn.TEXTJOIN(" , ",TRUE,
IF((個体台帳!$A$2:$A$1000=TRIM(A377))*(個体台帳!$C$2:$C$1000="小物2"),
個体台帳!$B$2:$B$1000,
"")))</f>
        <v/>
      </c>
      <c r="E377" s="8" t="str">
        <f t="array" ref="E377">IF($A377="","",
INDEX(個体台帳!$D$2:$D$1000,
MATCH(1,
(個体台帳!$A$2:$A$1000=$A377)*
(個体台帳!$C$2:$C$1000="服"),
0)))</f>
        <v/>
      </c>
      <c r="F377" t="str">
        <f t="array" ref="F377">IF($A377="","",
IF(COUNTIFS(貸出記録!$B:$B,$A377,貸出記録!$E:$E,"")&gt;0,
"貸出中","在庫"))</f>
        <v/>
      </c>
      <c r="G377" t="s">
        <v>6</v>
      </c>
      <c r="H377" t="s">
        <v>6</v>
      </c>
      <c r="I377" t="s">
        <v>6</v>
      </c>
    </row>
    <row r="378" spans="1:9">
      <c r="A378" s="21" t="s">
        <v>6</v>
      </c>
      <c r="B378" t="str">
        <f t="array" ref="B378">IF(TRIM(A378)="","",
_xlfn.TEXTJOIN(" , ",TRUE,
IF((個体台帳!$A$2:$A$1000=TRIM(A378))*(個体台帳!$C$2:$C$1000="服"),
個体台帳!$B$2:$B$1000,
"")))</f>
        <v/>
      </c>
      <c r="C378" t="str">
        <f t="array" ref="C378">IF(TRIM(A378)="","",
_xlfn.TEXTJOIN(" , ",TRUE,
IF((個体台帳!$A$2:$A$1000=TRIM(A378))*(個体台帳!$C$2:$C$1000="小物1"),
個体台帳!$B$2:$B$1000,
"")))</f>
        <v/>
      </c>
      <c r="D378" t="str">
        <f t="array" ref="D378">IF(TRIM(A378)="","",
_xlfn.TEXTJOIN(" , ",TRUE,
IF((個体台帳!$A$2:$A$1000=TRIM(A378))*(個体台帳!$C$2:$C$1000="小物2"),
個体台帳!$B$2:$B$1000,
"")))</f>
        <v/>
      </c>
      <c r="E378" s="8" t="str">
        <f t="array" ref="E378">IF($A378="","",
INDEX(個体台帳!$D$2:$D$1000,
MATCH(1,
(個体台帳!$A$2:$A$1000=$A378)*
(個体台帳!$C$2:$C$1000="服"),
0)))</f>
        <v/>
      </c>
      <c r="F378" t="str">
        <f t="array" ref="F378">IF($A378="","",
IF(COUNTIFS(貸出記録!$B:$B,$A378,貸出記録!$E:$E,"")&gt;0,
"貸出中","在庫"))</f>
        <v/>
      </c>
      <c r="G378" t="s">
        <v>6</v>
      </c>
      <c r="H378" t="s">
        <v>6</v>
      </c>
      <c r="I378" t="s">
        <v>6</v>
      </c>
    </row>
    <row r="379" spans="1:9">
      <c r="A379" s="21" t="s">
        <v>6</v>
      </c>
      <c r="B379" t="str">
        <f t="array" ref="B379">IF(TRIM(A379)="","",
_xlfn.TEXTJOIN(" , ",TRUE,
IF((個体台帳!$A$2:$A$1000=TRIM(A379))*(個体台帳!$C$2:$C$1000="服"),
個体台帳!$B$2:$B$1000,
"")))</f>
        <v/>
      </c>
      <c r="C379" t="str">
        <f t="array" ref="C379">IF(TRIM(A379)="","",
_xlfn.TEXTJOIN(" , ",TRUE,
IF((個体台帳!$A$2:$A$1000=TRIM(A379))*(個体台帳!$C$2:$C$1000="小物1"),
個体台帳!$B$2:$B$1000,
"")))</f>
        <v/>
      </c>
      <c r="D379" t="str">
        <f t="array" ref="D379">IF(TRIM(A379)="","",
_xlfn.TEXTJOIN(" , ",TRUE,
IF((個体台帳!$A$2:$A$1000=TRIM(A379))*(個体台帳!$C$2:$C$1000="小物2"),
個体台帳!$B$2:$B$1000,
"")))</f>
        <v/>
      </c>
      <c r="E379" s="8" t="str">
        <f t="array" ref="E379">IF($A379="","",
INDEX(個体台帳!$D$2:$D$1000,
MATCH(1,
(個体台帳!$A$2:$A$1000=$A379)*
(個体台帳!$C$2:$C$1000="服"),
0)))</f>
        <v/>
      </c>
      <c r="F379" t="str">
        <f t="array" ref="F379">IF($A379="","",
IF(COUNTIFS(貸出記録!$B:$B,$A379,貸出記録!$E:$E,"")&gt;0,
"貸出中","在庫"))</f>
        <v/>
      </c>
      <c r="G379" t="s">
        <v>6</v>
      </c>
      <c r="H379" t="s">
        <v>6</v>
      </c>
      <c r="I379" t="s">
        <v>6</v>
      </c>
    </row>
    <row r="380" spans="1:9">
      <c r="A380" s="21" t="s">
        <v>6</v>
      </c>
      <c r="B380" t="str">
        <f t="array" ref="B380">IF(TRIM(A380)="","",
_xlfn.TEXTJOIN(" , ",TRUE,
IF((個体台帳!$A$2:$A$1000=TRIM(A380))*(個体台帳!$C$2:$C$1000="服"),
個体台帳!$B$2:$B$1000,
"")))</f>
        <v/>
      </c>
      <c r="C380" t="str">
        <f t="array" ref="C380">IF(TRIM(A380)="","",
_xlfn.TEXTJOIN(" , ",TRUE,
IF((個体台帳!$A$2:$A$1000=TRIM(A380))*(個体台帳!$C$2:$C$1000="小物1"),
個体台帳!$B$2:$B$1000,
"")))</f>
        <v/>
      </c>
      <c r="D380" t="str">
        <f t="array" ref="D380">IF(TRIM(A380)="","",
_xlfn.TEXTJOIN(" , ",TRUE,
IF((個体台帳!$A$2:$A$1000=TRIM(A380))*(個体台帳!$C$2:$C$1000="小物2"),
個体台帳!$B$2:$B$1000,
"")))</f>
        <v/>
      </c>
      <c r="E380" s="8" t="str">
        <f t="array" ref="E380">IF($A380="","",
INDEX(個体台帳!$D$2:$D$1000,
MATCH(1,
(個体台帳!$A$2:$A$1000=$A380)*
(個体台帳!$C$2:$C$1000="服"),
0)))</f>
        <v/>
      </c>
      <c r="F380" t="str">
        <f t="array" ref="F380">IF($A380="","",
IF(COUNTIFS(貸出記録!$B:$B,$A380,貸出記録!$E:$E,"")&gt;0,
"貸出中","在庫"))</f>
        <v/>
      </c>
      <c r="G380" t="s">
        <v>6</v>
      </c>
      <c r="H380" t="s">
        <v>6</v>
      </c>
      <c r="I380" t="s">
        <v>6</v>
      </c>
    </row>
    <row r="381" spans="1:9">
      <c r="A381" s="21" t="s">
        <v>6</v>
      </c>
      <c r="B381" t="str">
        <f t="array" ref="B381">IF(TRIM(A381)="","",
_xlfn.TEXTJOIN(" , ",TRUE,
IF((個体台帳!$A$2:$A$1000=TRIM(A381))*(個体台帳!$C$2:$C$1000="服"),
個体台帳!$B$2:$B$1000,
"")))</f>
        <v/>
      </c>
      <c r="C381" t="str">
        <f t="array" ref="C381">IF(TRIM(A381)="","",
_xlfn.TEXTJOIN(" , ",TRUE,
IF((個体台帳!$A$2:$A$1000=TRIM(A381))*(個体台帳!$C$2:$C$1000="小物1"),
個体台帳!$B$2:$B$1000,
"")))</f>
        <v/>
      </c>
      <c r="D381" t="str">
        <f t="array" ref="D381">IF(TRIM(A381)="","",
_xlfn.TEXTJOIN(" , ",TRUE,
IF((個体台帳!$A$2:$A$1000=TRIM(A381))*(個体台帳!$C$2:$C$1000="小物2"),
個体台帳!$B$2:$B$1000,
"")))</f>
        <v/>
      </c>
      <c r="E381" s="8" t="str">
        <f t="array" ref="E381">IF($A381="","",
INDEX(個体台帳!$D$2:$D$1000,
MATCH(1,
(個体台帳!$A$2:$A$1000=$A381)*
(個体台帳!$C$2:$C$1000="服"),
0)))</f>
        <v/>
      </c>
      <c r="F381" t="str">
        <f t="array" ref="F381">IF($A381="","",
IF(COUNTIFS(貸出記録!$B:$B,$A381,貸出記録!$E:$E,"")&gt;0,
"貸出中","在庫"))</f>
        <v/>
      </c>
      <c r="G381" t="s">
        <v>6</v>
      </c>
      <c r="H381" t="s">
        <v>6</v>
      </c>
      <c r="I381" t="s">
        <v>6</v>
      </c>
    </row>
    <row r="382" spans="1:9">
      <c r="A382" s="21" t="s">
        <v>6</v>
      </c>
      <c r="B382" t="str">
        <f t="array" ref="B382">IF(TRIM(A382)="","",
_xlfn.TEXTJOIN(" , ",TRUE,
IF((個体台帳!$A$2:$A$1000=TRIM(A382))*(個体台帳!$C$2:$C$1000="服"),
個体台帳!$B$2:$B$1000,
"")))</f>
        <v/>
      </c>
      <c r="C382" t="str">
        <f t="array" ref="C382">IF(TRIM(A382)="","",
_xlfn.TEXTJOIN(" , ",TRUE,
IF((個体台帳!$A$2:$A$1000=TRIM(A382))*(個体台帳!$C$2:$C$1000="小物1"),
個体台帳!$B$2:$B$1000,
"")))</f>
        <v/>
      </c>
      <c r="D382" t="str">
        <f t="array" ref="D382">IF(TRIM(A382)="","",
_xlfn.TEXTJOIN(" , ",TRUE,
IF((個体台帳!$A$2:$A$1000=TRIM(A382))*(個体台帳!$C$2:$C$1000="小物2"),
個体台帳!$B$2:$B$1000,
"")))</f>
        <v/>
      </c>
      <c r="E382" s="8" t="str">
        <f t="array" ref="E382">IF($A382="","",
INDEX(個体台帳!$D$2:$D$1000,
MATCH(1,
(個体台帳!$A$2:$A$1000=$A382)*
(個体台帳!$C$2:$C$1000="服"),
0)))</f>
        <v/>
      </c>
      <c r="F382" t="str">
        <f t="array" ref="F382">IF($A382="","",
IF(COUNTIFS(貸出記録!$B:$B,$A382,貸出記録!$E:$E,"")&gt;0,
"貸出中","在庫"))</f>
        <v/>
      </c>
      <c r="G382" t="s">
        <v>6</v>
      </c>
      <c r="H382" t="s">
        <v>6</v>
      </c>
      <c r="I382" t="s">
        <v>6</v>
      </c>
    </row>
    <row r="383" spans="1:9">
      <c r="A383" s="21" t="s">
        <v>6</v>
      </c>
      <c r="B383" t="str">
        <f t="array" ref="B383">IF(TRIM(A383)="","",
_xlfn.TEXTJOIN(" , ",TRUE,
IF((個体台帳!$A$2:$A$1000=TRIM(A383))*(個体台帳!$C$2:$C$1000="服"),
個体台帳!$B$2:$B$1000,
"")))</f>
        <v/>
      </c>
      <c r="C383" t="str">
        <f t="array" ref="C383">IF(TRIM(A383)="","",
_xlfn.TEXTJOIN(" , ",TRUE,
IF((個体台帳!$A$2:$A$1000=TRIM(A383))*(個体台帳!$C$2:$C$1000="小物1"),
個体台帳!$B$2:$B$1000,
"")))</f>
        <v/>
      </c>
      <c r="D383" t="str">
        <f t="array" ref="D383">IF(TRIM(A383)="","",
_xlfn.TEXTJOIN(" , ",TRUE,
IF((個体台帳!$A$2:$A$1000=TRIM(A383))*(個体台帳!$C$2:$C$1000="小物2"),
個体台帳!$B$2:$B$1000,
"")))</f>
        <v/>
      </c>
      <c r="E383" s="8" t="str">
        <f t="array" ref="E383">IF($A383="","",
INDEX(個体台帳!$D$2:$D$1000,
MATCH(1,
(個体台帳!$A$2:$A$1000=$A383)*
(個体台帳!$C$2:$C$1000="服"),
0)))</f>
        <v/>
      </c>
      <c r="F383" t="str">
        <f t="array" ref="F383">IF($A383="","",
IF(COUNTIFS(貸出記録!$B:$B,$A383,貸出記録!$E:$E,"")&gt;0,
"貸出中","在庫"))</f>
        <v/>
      </c>
      <c r="G383" t="s">
        <v>6</v>
      </c>
      <c r="H383" t="s">
        <v>6</v>
      </c>
      <c r="I383" t="s">
        <v>6</v>
      </c>
    </row>
    <row r="384" spans="1:9">
      <c r="A384" s="21" t="s">
        <v>6</v>
      </c>
      <c r="B384" t="str">
        <f t="array" ref="B384">IF(TRIM(A384)="","",
_xlfn.TEXTJOIN(" , ",TRUE,
IF((個体台帳!$A$2:$A$1000=TRIM(A384))*(個体台帳!$C$2:$C$1000="服"),
個体台帳!$B$2:$B$1000,
"")))</f>
        <v/>
      </c>
      <c r="C384" t="str">
        <f t="array" ref="C384">IF(TRIM(A384)="","",
_xlfn.TEXTJOIN(" , ",TRUE,
IF((個体台帳!$A$2:$A$1000=TRIM(A384))*(個体台帳!$C$2:$C$1000="小物1"),
個体台帳!$B$2:$B$1000,
"")))</f>
        <v/>
      </c>
      <c r="D384" t="str">
        <f t="array" ref="D384">IF(TRIM(A384)="","",
_xlfn.TEXTJOIN(" , ",TRUE,
IF((個体台帳!$A$2:$A$1000=TRIM(A384))*(個体台帳!$C$2:$C$1000="小物2"),
個体台帳!$B$2:$B$1000,
"")))</f>
        <v/>
      </c>
      <c r="E384" s="8" t="str">
        <f t="array" ref="E384">IF($A384="","",
INDEX(個体台帳!$D$2:$D$1000,
MATCH(1,
(個体台帳!$A$2:$A$1000=$A384)*
(個体台帳!$C$2:$C$1000="服"),
0)))</f>
        <v/>
      </c>
      <c r="F384" t="str">
        <f t="array" ref="F384">IF($A384="","",
IF(COUNTIFS(貸出記録!$B:$B,$A384,貸出記録!$E:$E,"")&gt;0,
"貸出中","在庫"))</f>
        <v/>
      </c>
      <c r="G384" t="s">
        <v>6</v>
      </c>
      <c r="H384" t="s">
        <v>6</v>
      </c>
      <c r="I384" t="s">
        <v>6</v>
      </c>
    </row>
    <row r="385" spans="1:9">
      <c r="A385" s="21" t="s">
        <v>6</v>
      </c>
      <c r="B385" t="str">
        <f t="array" ref="B385">IF(TRIM(A385)="","",
_xlfn.TEXTJOIN(" , ",TRUE,
IF((個体台帳!$A$2:$A$1000=TRIM(A385))*(個体台帳!$C$2:$C$1000="服"),
個体台帳!$B$2:$B$1000,
"")))</f>
        <v/>
      </c>
      <c r="C385" t="str">
        <f t="array" ref="C385">IF(TRIM(A385)="","",
_xlfn.TEXTJOIN(" , ",TRUE,
IF((個体台帳!$A$2:$A$1000=TRIM(A385))*(個体台帳!$C$2:$C$1000="小物1"),
個体台帳!$B$2:$B$1000,
"")))</f>
        <v/>
      </c>
      <c r="D385" t="str">
        <f t="array" ref="D385">IF(TRIM(A385)="","",
_xlfn.TEXTJOIN(" , ",TRUE,
IF((個体台帳!$A$2:$A$1000=TRIM(A385))*(個体台帳!$C$2:$C$1000="小物2"),
個体台帳!$B$2:$B$1000,
"")))</f>
        <v/>
      </c>
      <c r="E385" s="8" t="str">
        <f t="array" ref="E385">IF($A385="","",
INDEX(個体台帳!$D$2:$D$1000,
MATCH(1,
(個体台帳!$A$2:$A$1000=$A385)*
(個体台帳!$C$2:$C$1000="服"),
0)))</f>
        <v/>
      </c>
      <c r="F385" t="str">
        <f t="array" ref="F385">IF($A385="","",
IF(COUNTIFS(貸出記録!$B:$B,$A385,貸出記録!$E:$E,"")&gt;0,
"貸出中","在庫"))</f>
        <v/>
      </c>
      <c r="G385" t="s">
        <v>6</v>
      </c>
      <c r="H385" t="s">
        <v>6</v>
      </c>
      <c r="I385" t="s">
        <v>6</v>
      </c>
    </row>
    <row r="386" spans="1:9">
      <c r="A386" s="21" t="s">
        <v>6</v>
      </c>
      <c r="B386" t="str">
        <f t="array" ref="B386">IF(TRIM(A386)="","",
_xlfn.TEXTJOIN(" , ",TRUE,
IF((個体台帳!$A$2:$A$1000=TRIM(A386))*(個体台帳!$C$2:$C$1000="服"),
個体台帳!$B$2:$B$1000,
"")))</f>
        <v/>
      </c>
      <c r="C386" t="str">
        <f t="array" ref="C386">IF(TRIM(A386)="","",
_xlfn.TEXTJOIN(" , ",TRUE,
IF((個体台帳!$A$2:$A$1000=TRIM(A386))*(個体台帳!$C$2:$C$1000="小物1"),
個体台帳!$B$2:$B$1000,
"")))</f>
        <v/>
      </c>
      <c r="D386" t="str">
        <f t="array" ref="D386">IF(TRIM(A386)="","",
_xlfn.TEXTJOIN(" , ",TRUE,
IF((個体台帳!$A$2:$A$1000=TRIM(A386))*(個体台帳!$C$2:$C$1000="小物2"),
個体台帳!$B$2:$B$1000,
"")))</f>
        <v/>
      </c>
      <c r="E386" s="8" t="str">
        <f t="array" ref="E386">IF($A386="","",
INDEX(個体台帳!$D$2:$D$1000,
MATCH(1,
(個体台帳!$A$2:$A$1000=$A386)*
(個体台帳!$C$2:$C$1000="服"),
0)))</f>
        <v/>
      </c>
      <c r="F386" t="str">
        <f t="array" ref="F386">IF($A386="","",
IF(COUNTIFS(貸出記録!$B:$B,$A386,貸出記録!$E:$E,"")&gt;0,
"貸出中","在庫"))</f>
        <v/>
      </c>
      <c r="G386" t="s">
        <v>6</v>
      </c>
      <c r="H386" t="s">
        <v>6</v>
      </c>
      <c r="I386" t="s">
        <v>6</v>
      </c>
    </row>
    <row r="387" spans="1:9">
      <c r="A387" s="21" t="s">
        <v>6</v>
      </c>
      <c r="B387" t="str">
        <f t="array" ref="B387">IF(TRIM(A387)="","",
_xlfn.TEXTJOIN(" , ",TRUE,
IF((個体台帳!$A$2:$A$1000=TRIM(A387))*(個体台帳!$C$2:$C$1000="服"),
個体台帳!$B$2:$B$1000,
"")))</f>
        <v/>
      </c>
      <c r="C387" t="str">
        <f t="array" ref="C387">IF(TRIM(A387)="","",
_xlfn.TEXTJOIN(" , ",TRUE,
IF((個体台帳!$A$2:$A$1000=TRIM(A387))*(個体台帳!$C$2:$C$1000="小物1"),
個体台帳!$B$2:$B$1000,
"")))</f>
        <v/>
      </c>
      <c r="D387" t="str">
        <f t="array" ref="D387">IF(TRIM(A387)="","",
_xlfn.TEXTJOIN(" , ",TRUE,
IF((個体台帳!$A$2:$A$1000=TRIM(A387))*(個体台帳!$C$2:$C$1000="小物2"),
個体台帳!$B$2:$B$1000,
"")))</f>
        <v/>
      </c>
      <c r="E387" s="8" t="str">
        <f t="array" ref="E387">IF($A387="","",
INDEX(個体台帳!$D$2:$D$1000,
MATCH(1,
(個体台帳!$A$2:$A$1000=$A387)*
(個体台帳!$C$2:$C$1000="服"),
0)))</f>
        <v/>
      </c>
      <c r="F387" t="str">
        <f t="array" ref="F387">IF($A387="","",
IF(COUNTIFS(貸出記録!$B:$B,$A387,貸出記録!$E:$E,"")&gt;0,
"貸出中","在庫"))</f>
        <v/>
      </c>
      <c r="G387" t="s">
        <v>6</v>
      </c>
      <c r="H387" t="s">
        <v>6</v>
      </c>
      <c r="I387" t="s">
        <v>6</v>
      </c>
    </row>
    <row r="388" spans="1:9">
      <c r="A388" s="21" t="s">
        <v>6</v>
      </c>
      <c r="B388" t="str">
        <f t="array" ref="B388">IF(TRIM(A388)="","",
_xlfn.TEXTJOIN(" , ",TRUE,
IF((個体台帳!$A$2:$A$1000=TRIM(A388))*(個体台帳!$C$2:$C$1000="服"),
個体台帳!$B$2:$B$1000,
"")))</f>
        <v/>
      </c>
      <c r="C388" t="str">
        <f t="array" ref="C388">IF(TRIM(A388)="","",
_xlfn.TEXTJOIN(" , ",TRUE,
IF((個体台帳!$A$2:$A$1000=TRIM(A388))*(個体台帳!$C$2:$C$1000="小物1"),
個体台帳!$B$2:$B$1000,
"")))</f>
        <v/>
      </c>
      <c r="D388" t="str">
        <f t="array" ref="D388">IF(TRIM(A388)="","",
_xlfn.TEXTJOIN(" , ",TRUE,
IF((個体台帳!$A$2:$A$1000=TRIM(A388))*(個体台帳!$C$2:$C$1000="小物2"),
個体台帳!$B$2:$B$1000,
"")))</f>
        <v/>
      </c>
      <c r="E388" s="8" t="str">
        <f t="array" ref="E388">IF($A388="","",
INDEX(個体台帳!$D$2:$D$1000,
MATCH(1,
(個体台帳!$A$2:$A$1000=$A388)*
(個体台帳!$C$2:$C$1000="服"),
0)))</f>
        <v/>
      </c>
      <c r="F388" t="str">
        <f t="array" ref="F388">IF($A388="","",
IF(COUNTIFS(貸出記録!$B:$B,$A388,貸出記録!$E:$E,"")&gt;0,
"貸出中","在庫"))</f>
        <v/>
      </c>
      <c r="G388" t="s">
        <v>6</v>
      </c>
      <c r="H388" t="s">
        <v>6</v>
      </c>
      <c r="I388" t="s">
        <v>6</v>
      </c>
    </row>
    <row r="389" spans="1:9">
      <c r="A389" s="21" t="s">
        <v>6</v>
      </c>
      <c r="B389" t="str">
        <f t="array" ref="B389">IF(TRIM(A389)="","",
_xlfn.TEXTJOIN(" , ",TRUE,
IF((個体台帳!$A$2:$A$1000=TRIM(A389))*(個体台帳!$C$2:$C$1000="服"),
個体台帳!$B$2:$B$1000,
"")))</f>
        <v/>
      </c>
      <c r="C389" t="str">
        <f t="array" ref="C389">IF(TRIM(A389)="","",
_xlfn.TEXTJOIN(" , ",TRUE,
IF((個体台帳!$A$2:$A$1000=TRIM(A389))*(個体台帳!$C$2:$C$1000="小物1"),
個体台帳!$B$2:$B$1000,
"")))</f>
        <v/>
      </c>
      <c r="D389" t="str">
        <f t="array" ref="D389">IF(TRIM(A389)="","",
_xlfn.TEXTJOIN(" , ",TRUE,
IF((個体台帳!$A$2:$A$1000=TRIM(A389))*(個体台帳!$C$2:$C$1000="小物2"),
個体台帳!$B$2:$B$1000,
"")))</f>
        <v/>
      </c>
      <c r="E389" s="8" t="str">
        <f t="array" ref="E389">IF($A389="","",
INDEX(個体台帳!$D$2:$D$1000,
MATCH(1,
(個体台帳!$A$2:$A$1000=$A389)*
(個体台帳!$C$2:$C$1000="服"),
0)))</f>
        <v/>
      </c>
      <c r="F389" t="str">
        <f t="array" ref="F389">IF($A389="","",
IF(COUNTIFS(貸出記録!$B:$B,$A389,貸出記録!$E:$E,"")&gt;0,
"貸出中","在庫"))</f>
        <v/>
      </c>
      <c r="G389" t="s">
        <v>6</v>
      </c>
      <c r="H389" t="s">
        <v>6</v>
      </c>
      <c r="I389" t="s">
        <v>6</v>
      </c>
    </row>
    <row r="390" spans="1:9">
      <c r="A390" s="21" t="s">
        <v>6</v>
      </c>
      <c r="B390" t="str">
        <f t="array" ref="B390">IF(TRIM(A390)="","",
_xlfn.TEXTJOIN(" , ",TRUE,
IF((個体台帳!$A$2:$A$1000=TRIM(A390))*(個体台帳!$C$2:$C$1000="服"),
個体台帳!$B$2:$B$1000,
"")))</f>
        <v/>
      </c>
      <c r="C390" t="str">
        <f t="array" ref="C390">IF(TRIM(A390)="","",
_xlfn.TEXTJOIN(" , ",TRUE,
IF((個体台帳!$A$2:$A$1000=TRIM(A390))*(個体台帳!$C$2:$C$1000="小物1"),
個体台帳!$B$2:$B$1000,
"")))</f>
        <v/>
      </c>
      <c r="D390" t="str">
        <f t="array" ref="D390">IF(TRIM(A390)="","",
_xlfn.TEXTJOIN(" , ",TRUE,
IF((個体台帳!$A$2:$A$1000=TRIM(A390))*(個体台帳!$C$2:$C$1000="小物2"),
個体台帳!$B$2:$B$1000,
"")))</f>
        <v/>
      </c>
      <c r="E390" s="8" t="str">
        <f t="array" ref="E390">IF($A390="","",
INDEX(個体台帳!$D$2:$D$1000,
MATCH(1,
(個体台帳!$A$2:$A$1000=$A390)*
(個体台帳!$C$2:$C$1000="服"),
0)))</f>
        <v/>
      </c>
      <c r="F390" t="str">
        <f t="array" ref="F390">IF($A390="","",
IF(COUNTIFS(貸出記録!$B:$B,$A390,貸出記録!$E:$E,"")&gt;0,
"貸出中","在庫"))</f>
        <v/>
      </c>
      <c r="G390" t="s">
        <v>6</v>
      </c>
      <c r="H390" t="s">
        <v>6</v>
      </c>
      <c r="I390" t="s">
        <v>6</v>
      </c>
    </row>
    <row r="391" spans="1:9">
      <c r="A391" s="21" t="s">
        <v>6</v>
      </c>
      <c r="B391" t="str">
        <f t="array" ref="B391">IF(TRIM(A391)="","",
_xlfn.TEXTJOIN(" , ",TRUE,
IF((個体台帳!$A$2:$A$1000=TRIM(A391))*(個体台帳!$C$2:$C$1000="服"),
個体台帳!$B$2:$B$1000,
"")))</f>
        <v/>
      </c>
      <c r="C391" t="str">
        <f t="array" ref="C391">IF(TRIM(A391)="","",
_xlfn.TEXTJOIN(" , ",TRUE,
IF((個体台帳!$A$2:$A$1000=TRIM(A391))*(個体台帳!$C$2:$C$1000="小物1"),
個体台帳!$B$2:$B$1000,
"")))</f>
        <v/>
      </c>
      <c r="D391" t="str">
        <f t="array" ref="D391">IF(TRIM(A391)="","",
_xlfn.TEXTJOIN(" , ",TRUE,
IF((個体台帳!$A$2:$A$1000=TRIM(A391))*(個体台帳!$C$2:$C$1000="小物2"),
個体台帳!$B$2:$B$1000,
"")))</f>
        <v/>
      </c>
      <c r="E391" s="8" t="str">
        <f t="array" ref="E391">IF($A391="","",
INDEX(個体台帳!$D$2:$D$1000,
MATCH(1,
(個体台帳!$A$2:$A$1000=$A391)*
(個体台帳!$C$2:$C$1000="服"),
0)))</f>
        <v/>
      </c>
      <c r="F391" t="str">
        <f t="array" ref="F391">IF($A391="","",
IF(COUNTIFS(貸出記録!$B:$B,$A391,貸出記録!$E:$E,"")&gt;0,
"貸出中","在庫"))</f>
        <v/>
      </c>
      <c r="G391" t="s">
        <v>6</v>
      </c>
      <c r="H391" t="s">
        <v>6</v>
      </c>
      <c r="I391" t="s">
        <v>6</v>
      </c>
    </row>
    <row r="392" spans="1:9">
      <c r="A392" s="21" t="s">
        <v>6</v>
      </c>
      <c r="B392" t="str">
        <f t="array" ref="B392">IF(TRIM(A392)="","",
_xlfn.TEXTJOIN(" , ",TRUE,
IF((個体台帳!$A$2:$A$1000=TRIM(A392))*(個体台帳!$C$2:$C$1000="服"),
個体台帳!$B$2:$B$1000,
"")))</f>
        <v/>
      </c>
      <c r="C392" t="str">
        <f t="array" ref="C392">IF(TRIM(A392)="","",
_xlfn.TEXTJOIN(" , ",TRUE,
IF((個体台帳!$A$2:$A$1000=TRIM(A392))*(個体台帳!$C$2:$C$1000="小物1"),
個体台帳!$B$2:$B$1000,
"")))</f>
        <v/>
      </c>
      <c r="D392" t="str">
        <f t="array" ref="D392">IF(TRIM(A392)="","",
_xlfn.TEXTJOIN(" , ",TRUE,
IF((個体台帳!$A$2:$A$1000=TRIM(A392))*(個体台帳!$C$2:$C$1000="小物2"),
個体台帳!$B$2:$B$1000,
"")))</f>
        <v/>
      </c>
      <c r="E392" s="8" t="str">
        <f t="array" ref="E392">IF($A392="","",
INDEX(個体台帳!$D$2:$D$1000,
MATCH(1,
(個体台帳!$A$2:$A$1000=$A392)*
(個体台帳!$C$2:$C$1000="服"),
0)))</f>
        <v/>
      </c>
      <c r="F392" t="str">
        <f t="array" ref="F392">IF($A392="","",
IF(COUNTIFS(貸出記録!$B:$B,$A392,貸出記録!$E:$E,"")&gt;0,
"貸出中","在庫"))</f>
        <v/>
      </c>
      <c r="G392" t="s">
        <v>6</v>
      </c>
      <c r="H392" t="s">
        <v>6</v>
      </c>
      <c r="I392" t="s">
        <v>6</v>
      </c>
    </row>
    <row r="393" spans="1:9">
      <c r="A393" s="21" t="s">
        <v>6</v>
      </c>
      <c r="B393" t="str">
        <f t="array" ref="B393">IF(TRIM(A393)="","",
_xlfn.TEXTJOIN(" , ",TRUE,
IF((個体台帳!$A$2:$A$1000=TRIM(A393))*(個体台帳!$C$2:$C$1000="服"),
個体台帳!$B$2:$B$1000,
"")))</f>
        <v/>
      </c>
      <c r="C393" t="str">
        <f t="array" ref="C393">IF(TRIM(A393)="","",
_xlfn.TEXTJOIN(" , ",TRUE,
IF((個体台帳!$A$2:$A$1000=TRIM(A393))*(個体台帳!$C$2:$C$1000="小物1"),
個体台帳!$B$2:$B$1000,
"")))</f>
        <v/>
      </c>
      <c r="D393" t="str">
        <f t="array" ref="D393">IF(TRIM(A393)="","",
_xlfn.TEXTJOIN(" , ",TRUE,
IF((個体台帳!$A$2:$A$1000=TRIM(A393))*(個体台帳!$C$2:$C$1000="小物2"),
個体台帳!$B$2:$B$1000,
"")))</f>
        <v/>
      </c>
      <c r="E393" s="8" t="str">
        <f t="array" ref="E393">IF($A393="","",
INDEX(個体台帳!$D$2:$D$1000,
MATCH(1,
(個体台帳!$A$2:$A$1000=$A393)*
(個体台帳!$C$2:$C$1000="服"),
0)))</f>
        <v/>
      </c>
      <c r="F393" t="str">
        <f t="array" ref="F393">IF($A393="","",
IF(COUNTIFS(貸出記録!$B:$B,$A393,貸出記録!$E:$E,"")&gt;0,
"貸出中","在庫"))</f>
        <v/>
      </c>
      <c r="G393" t="s">
        <v>6</v>
      </c>
      <c r="H393" t="s">
        <v>6</v>
      </c>
      <c r="I393" t="s">
        <v>6</v>
      </c>
    </row>
    <row r="394" spans="1:9">
      <c r="A394" s="21" t="s">
        <v>6</v>
      </c>
      <c r="B394" t="str">
        <f t="array" ref="B394">IF(TRIM(A394)="","",
_xlfn.TEXTJOIN(" , ",TRUE,
IF((個体台帳!$A$2:$A$1000=TRIM(A394))*(個体台帳!$C$2:$C$1000="服"),
個体台帳!$B$2:$B$1000,
"")))</f>
        <v/>
      </c>
      <c r="C394" t="str">
        <f t="array" ref="C394">IF(TRIM(A394)="","",
_xlfn.TEXTJOIN(" , ",TRUE,
IF((個体台帳!$A$2:$A$1000=TRIM(A394))*(個体台帳!$C$2:$C$1000="小物1"),
個体台帳!$B$2:$B$1000,
"")))</f>
        <v/>
      </c>
      <c r="D394" t="str">
        <f t="array" ref="D394">IF(TRIM(A394)="","",
_xlfn.TEXTJOIN(" , ",TRUE,
IF((個体台帳!$A$2:$A$1000=TRIM(A394))*(個体台帳!$C$2:$C$1000="小物2"),
個体台帳!$B$2:$B$1000,
"")))</f>
        <v/>
      </c>
      <c r="E394" s="8" t="str">
        <f t="array" ref="E394">IF($A394="","",
INDEX(個体台帳!$D$2:$D$1000,
MATCH(1,
(個体台帳!$A$2:$A$1000=$A394)*
(個体台帳!$C$2:$C$1000="服"),
0)))</f>
        <v/>
      </c>
      <c r="F394" t="str">
        <f t="array" ref="F394">IF($A394="","",
IF(COUNTIFS(貸出記録!$B:$B,$A394,貸出記録!$E:$E,"")&gt;0,
"貸出中","在庫"))</f>
        <v/>
      </c>
      <c r="G394" t="s">
        <v>6</v>
      </c>
      <c r="H394" t="s">
        <v>6</v>
      </c>
      <c r="I394" t="s">
        <v>6</v>
      </c>
    </row>
    <row r="395" spans="1:9">
      <c r="A395" s="21" t="s">
        <v>6</v>
      </c>
      <c r="B395" t="str">
        <f t="array" ref="B395">IF(TRIM(A395)="","",
_xlfn.TEXTJOIN(" , ",TRUE,
IF((個体台帳!$A$2:$A$1000=TRIM(A395))*(個体台帳!$C$2:$C$1000="服"),
個体台帳!$B$2:$B$1000,
"")))</f>
        <v/>
      </c>
      <c r="C395" t="str">
        <f t="array" ref="C395">IF(TRIM(A395)="","",
_xlfn.TEXTJOIN(" , ",TRUE,
IF((個体台帳!$A$2:$A$1000=TRIM(A395))*(個体台帳!$C$2:$C$1000="小物1"),
個体台帳!$B$2:$B$1000,
"")))</f>
        <v/>
      </c>
      <c r="D395" t="str">
        <f t="array" ref="D395">IF(TRIM(A395)="","",
_xlfn.TEXTJOIN(" , ",TRUE,
IF((個体台帳!$A$2:$A$1000=TRIM(A395))*(個体台帳!$C$2:$C$1000="小物2"),
個体台帳!$B$2:$B$1000,
"")))</f>
        <v/>
      </c>
      <c r="E395" s="8" t="str">
        <f t="array" ref="E395">IF($A395="","",
INDEX(個体台帳!$D$2:$D$1000,
MATCH(1,
(個体台帳!$A$2:$A$1000=$A395)*
(個体台帳!$C$2:$C$1000="服"),
0)))</f>
        <v/>
      </c>
      <c r="F395" t="str">
        <f t="array" ref="F395">IF($A395="","",
IF(COUNTIFS(貸出記録!$B:$B,$A395,貸出記録!$E:$E,"")&gt;0,
"貸出中","在庫"))</f>
        <v/>
      </c>
      <c r="G395" t="s">
        <v>6</v>
      </c>
      <c r="H395" t="s">
        <v>6</v>
      </c>
      <c r="I395" t="s">
        <v>6</v>
      </c>
    </row>
    <row r="396" spans="1:9">
      <c r="A396" s="21" t="s">
        <v>6</v>
      </c>
      <c r="B396" t="str">
        <f t="array" ref="B396">IF(TRIM(A396)="","",
_xlfn.TEXTJOIN(" , ",TRUE,
IF((個体台帳!$A$2:$A$1000=TRIM(A396))*(個体台帳!$C$2:$C$1000="服"),
個体台帳!$B$2:$B$1000,
"")))</f>
        <v/>
      </c>
      <c r="C396" t="str">
        <f t="array" ref="C396">IF(TRIM(A396)="","",
_xlfn.TEXTJOIN(" , ",TRUE,
IF((個体台帳!$A$2:$A$1000=TRIM(A396))*(個体台帳!$C$2:$C$1000="小物1"),
個体台帳!$B$2:$B$1000,
"")))</f>
        <v/>
      </c>
      <c r="D396" t="str">
        <f t="array" ref="D396">IF(TRIM(A396)="","",
_xlfn.TEXTJOIN(" , ",TRUE,
IF((個体台帳!$A$2:$A$1000=TRIM(A396))*(個体台帳!$C$2:$C$1000="小物2"),
個体台帳!$B$2:$B$1000,
"")))</f>
        <v/>
      </c>
      <c r="E396" s="8" t="str">
        <f t="array" ref="E396">IF($A396="","",
INDEX(個体台帳!$D$2:$D$1000,
MATCH(1,
(個体台帳!$A$2:$A$1000=$A396)*
(個体台帳!$C$2:$C$1000="服"),
0)))</f>
        <v/>
      </c>
      <c r="F396" t="str">
        <f t="array" ref="F396">IF($A396="","",
IF(COUNTIFS(貸出記録!$B:$B,$A396,貸出記録!$E:$E,"")&gt;0,
"貸出中","在庫"))</f>
        <v/>
      </c>
      <c r="G396" t="s">
        <v>6</v>
      </c>
      <c r="H396" t="s">
        <v>6</v>
      </c>
      <c r="I396" t="s">
        <v>6</v>
      </c>
    </row>
    <row r="397" spans="1:9">
      <c r="A397" s="21" t="s">
        <v>6</v>
      </c>
      <c r="B397" t="str">
        <f t="array" ref="B397">IF(TRIM(A397)="","",
_xlfn.TEXTJOIN(" , ",TRUE,
IF((個体台帳!$A$2:$A$1000=TRIM(A397))*(個体台帳!$C$2:$C$1000="服"),
個体台帳!$B$2:$B$1000,
"")))</f>
        <v/>
      </c>
      <c r="C397" t="str">
        <f t="array" ref="C397">IF(TRIM(A397)="","",
_xlfn.TEXTJOIN(" , ",TRUE,
IF((個体台帳!$A$2:$A$1000=TRIM(A397))*(個体台帳!$C$2:$C$1000="小物1"),
個体台帳!$B$2:$B$1000,
"")))</f>
        <v/>
      </c>
      <c r="D397" t="str">
        <f t="array" ref="D397">IF(TRIM(A397)="","",
_xlfn.TEXTJOIN(" , ",TRUE,
IF((個体台帳!$A$2:$A$1000=TRIM(A397))*(個体台帳!$C$2:$C$1000="小物2"),
個体台帳!$B$2:$B$1000,
"")))</f>
        <v/>
      </c>
      <c r="E397" s="8" t="str">
        <f t="array" ref="E397">IF($A397="","",
INDEX(個体台帳!$D$2:$D$1000,
MATCH(1,
(個体台帳!$A$2:$A$1000=$A397)*
(個体台帳!$C$2:$C$1000="服"),
0)))</f>
        <v/>
      </c>
      <c r="F397" t="str">
        <f t="array" ref="F397">IF($A397="","",
IF(COUNTIFS(貸出記録!$B:$B,$A397,貸出記録!$E:$E,"")&gt;0,
"貸出中","在庫"))</f>
        <v/>
      </c>
      <c r="G397" t="s">
        <v>6</v>
      </c>
      <c r="H397" t="s">
        <v>6</v>
      </c>
      <c r="I397" t="s">
        <v>6</v>
      </c>
    </row>
    <row r="398" spans="1:9">
      <c r="A398" s="21" t="s">
        <v>6</v>
      </c>
      <c r="B398" t="str">
        <f t="array" ref="B398">IF(TRIM(A398)="","",
_xlfn.TEXTJOIN(" , ",TRUE,
IF((個体台帳!$A$2:$A$1000=TRIM(A398))*(個体台帳!$C$2:$C$1000="服"),
個体台帳!$B$2:$B$1000,
"")))</f>
        <v/>
      </c>
      <c r="C398" t="str">
        <f t="array" ref="C398">IF(TRIM(A398)="","",
_xlfn.TEXTJOIN(" , ",TRUE,
IF((個体台帳!$A$2:$A$1000=TRIM(A398))*(個体台帳!$C$2:$C$1000="小物1"),
個体台帳!$B$2:$B$1000,
"")))</f>
        <v/>
      </c>
      <c r="D398" t="str">
        <f t="array" ref="D398">IF(TRIM(A398)="","",
_xlfn.TEXTJOIN(" , ",TRUE,
IF((個体台帳!$A$2:$A$1000=TRIM(A398))*(個体台帳!$C$2:$C$1000="小物2"),
個体台帳!$B$2:$B$1000,
"")))</f>
        <v/>
      </c>
      <c r="E398" s="8" t="str">
        <f t="array" ref="E398">IF($A398="","",
INDEX(個体台帳!$D$2:$D$1000,
MATCH(1,
(個体台帳!$A$2:$A$1000=$A398)*
(個体台帳!$C$2:$C$1000="服"),
0)))</f>
        <v/>
      </c>
      <c r="F398" t="str">
        <f t="array" ref="F398">IF($A398="","",
IF(COUNTIFS(貸出記録!$B:$B,$A398,貸出記録!$E:$E,"")&gt;0,
"貸出中","在庫"))</f>
        <v/>
      </c>
      <c r="G398" t="s">
        <v>6</v>
      </c>
      <c r="H398" t="s">
        <v>6</v>
      </c>
      <c r="I398" t="s">
        <v>6</v>
      </c>
    </row>
    <row r="399" spans="1:9">
      <c r="A399" s="21" t="s">
        <v>6</v>
      </c>
      <c r="B399" t="str">
        <f t="array" ref="B399">IF(TRIM(A399)="","",
_xlfn.TEXTJOIN(" , ",TRUE,
IF((個体台帳!$A$2:$A$1000=TRIM(A399))*(個体台帳!$C$2:$C$1000="服"),
個体台帳!$B$2:$B$1000,
"")))</f>
        <v/>
      </c>
      <c r="C399" t="str">
        <f t="array" ref="C399">IF(TRIM(A399)="","",
_xlfn.TEXTJOIN(" , ",TRUE,
IF((個体台帳!$A$2:$A$1000=TRIM(A399))*(個体台帳!$C$2:$C$1000="小物1"),
個体台帳!$B$2:$B$1000,
"")))</f>
        <v/>
      </c>
      <c r="D399" t="str">
        <f t="array" ref="D399">IF(TRIM(A399)="","",
_xlfn.TEXTJOIN(" , ",TRUE,
IF((個体台帳!$A$2:$A$1000=TRIM(A399))*(個体台帳!$C$2:$C$1000="小物2"),
個体台帳!$B$2:$B$1000,
"")))</f>
        <v/>
      </c>
      <c r="E399" s="8" t="str">
        <f t="array" ref="E399">IF($A399="","",
INDEX(個体台帳!$D$2:$D$1000,
MATCH(1,
(個体台帳!$A$2:$A$1000=$A399)*
(個体台帳!$C$2:$C$1000="服"),
0)))</f>
        <v/>
      </c>
      <c r="F399" t="str">
        <f t="array" ref="F399">IF($A399="","",
IF(COUNTIFS(貸出記録!$B:$B,$A399,貸出記録!$E:$E,"")&gt;0,
"貸出中","在庫"))</f>
        <v/>
      </c>
      <c r="G399" t="s">
        <v>6</v>
      </c>
      <c r="H399" t="s">
        <v>6</v>
      </c>
      <c r="I399" t="s">
        <v>6</v>
      </c>
    </row>
    <row r="400" spans="1:9">
      <c r="A400" s="21" t="s">
        <v>6</v>
      </c>
      <c r="B400" t="str">
        <f t="array" ref="B400">IF(TRIM(A400)="","",
_xlfn.TEXTJOIN(" , ",TRUE,
IF((個体台帳!$A$2:$A$1000=TRIM(A400))*(個体台帳!$C$2:$C$1000="服"),
個体台帳!$B$2:$B$1000,
"")))</f>
        <v/>
      </c>
      <c r="C400" t="str">
        <f t="array" ref="C400">IF(TRIM(A400)="","",
_xlfn.TEXTJOIN(" , ",TRUE,
IF((個体台帳!$A$2:$A$1000=TRIM(A400))*(個体台帳!$C$2:$C$1000="小物1"),
個体台帳!$B$2:$B$1000,
"")))</f>
        <v/>
      </c>
      <c r="D400" t="str">
        <f t="array" ref="D400">IF(TRIM(A400)="","",
_xlfn.TEXTJOIN(" , ",TRUE,
IF((個体台帳!$A$2:$A$1000=TRIM(A400))*(個体台帳!$C$2:$C$1000="小物2"),
個体台帳!$B$2:$B$1000,
"")))</f>
        <v/>
      </c>
      <c r="E400" s="8" t="str">
        <f t="array" ref="E400">IF($A400="","",
INDEX(個体台帳!$D$2:$D$1000,
MATCH(1,
(個体台帳!$A$2:$A$1000=$A400)*
(個体台帳!$C$2:$C$1000="服"),
0)))</f>
        <v/>
      </c>
      <c r="F400" t="str">
        <f t="array" ref="F400">IF($A400="","",
IF(COUNTIFS(貸出記録!$B:$B,$A400,貸出記録!$E:$E,"")&gt;0,
"貸出中","在庫"))</f>
        <v/>
      </c>
      <c r="G400" t="s">
        <v>6</v>
      </c>
      <c r="H400" t="s">
        <v>6</v>
      </c>
      <c r="I400" t="s">
        <v>6</v>
      </c>
    </row>
    <row r="401" spans="1:9">
      <c r="A401" s="21" t="s">
        <v>6</v>
      </c>
      <c r="B401" t="str">
        <f t="array" ref="B401">IF(TRIM(A401)="","",
_xlfn.TEXTJOIN(" , ",TRUE,
IF((個体台帳!$A$2:$A$1000=TRIM(A401))*(個体台帳!$C$2:$C$1000="服"),
個体台帳!$B$2:$B$1000,
"")))</f>
        <v/>
      </c>
      <c r="C401" t="str">
        <f t="array" ref="C401">IF(TRIM(A401)="","",
_xlfn.TEXTJOIN(" , ",TRUE,
IF((個体台帳!$A$2:$A$1000=TRIM(A401))*(個体台帳!$C$2:$C$1000="小物1"),
個体台帳!$B$2:$B$1000,
"")))</f>
        <v/>
      </c>
      <c r="D401" t="str">
        <f t="array" ref="D401">IF(TRIM(A401)="","",
_xlfn.TEXTJOIN(" , ",TRUE,
IF((個体台帳!$A$2:$A$1000=TRIM(A401))*(個体台帳!$C$2:$C$1000="小物2"),
個体台帳!$B$2:$B$1000,
"")))</f>
        <v/>
      </c>
      <c r="E401" s="8" t="str">
        <f t="array" ref="E401">IF($A401="","",
INDEX(個体台帳!$D$2:$D$1000,
MATCH(1,
(個体台帳!$A$2:$A$1000=$A401)*
(個体台帳!$C$2:$C$1000="服"),
0)))</f>
        <v/>
      </c>
      <c r="F401" t="str">
        <f t="array" ref="F401">IF($A401="","",
IF(COUNTIFS(貸出記録!$B:$B,$A401,貸出記録!$E:$E,"")&gt;0,
"貸出中","在庫"))</f>
        <v/>
      </c>
      <c r="G401" t="s">
        <v>6</v>
      </c>
      <c r="H401" t="s">
        <v>6</v>
      </c>
      <c r="I401" t="s">
        <v>6</v>
      </c>
    </row>
    <row r="402" spans="1:9">
      <c r="A402" s="21" t="s">
        <v>6</v>
      </c>
      <c r="B402" t="str">
        <f t="array" ref="B402">IF(TRIM(A402)="","",
_xlfn.TEXTJOIN(" , ",TRUE,
IF((個体台帳!$A$2:$A$1000=TRIM(A402))*(個体台帳!$C$2:$C$1000="服"),
個体台帳!$B$2:$B$1000,
"")))</f>
        <v/>
      </c>
      <c r="C402" t="str">
        <f t="array" ref="C402">IF(TRIM(A402)="","",
_xlfn.TEXTJOIN(" , ",TRUE,
IF((個体台帳!$A$2:$A$1000=TRIM(A402))*(個体台帳!$C$2:$C$1000="小物1"),
個体台帳!$B$2:$B$1000,
"")))</f>
        <v/>
      </c>
      <c r="D402" t="str">
        <f t="array" ref="D402">IF(TRIM(A402)="","",
_xlfn.TEXTJOIN(" , ",TRUE,
IF((個体台帳!$A$2:$A$1000=TRIM(A402))*(個体台帳!$C$2:$C$1000="小物2"),
個体台帳!$B$2:$B$1000,
"")))</f>
        <v/>
      </c>
      <c r="E402" s="8" t="str">
        <f t="array" ref="E402">IF($A402="","",
INDEX(個体台帳!$D$2:$D$1000,
MATCH(1,
(個体台帳!$A$2:$A$1000=$A402)*
(個体台帳!$C$2:$C$1000="服"),
0)))</f>
        <v/>
      </c>
      <c r="F402" t="str">
        <f t="array" ref="F402">IF($A402="","",
IF(COUNTIFS(貸出記録!$B:$B,$A402,貸出記録!$E:$E,"")&gt;0,
"貸出中","在庫"))</f>
        <v/>
      </c>
      <c r="G402" t="s">
        <v>6</v>
      </c>
      <c r="H402" t="s">
        <v>6</v>
      </c>
      <c r="I402" t="s">
        <v>6</v>
      </c>
    </row>
    <row r="403" spans="1:9">
      <c r="A403" s="21" t="s">
        <v>6</v>
      </c>
      <c r="B403" t="str">
        <f t="array" ref="B403">IF(TRIM(A403)="","",
_xlfn.TEXTJOIN(" , ",TRUE,
IF((個体台帳!$A$2:$A$1000=TRIM(A403))*(個体台帳!$C$2:$C$1000="服"),
個体台帳!$B$2:$B$1000,
"")))</f>
        <v/>
      </c>
      <c r="C403" t="str">
        <f t="array" ref="C403">IF(TRIM(A403)="","",
_xlfn.TEXTJOIN(" , ",TRUE,
IF((個体台帳!$A$2:$A$1000=TRIM(A403))*(個体台帳!$C$2:$C$1000="小物1"),
個体台帳!$B$2:$B$1000,
"")))</f>
        <v/>
      </c>
      <c r="D403" t="str">
        <f t="array" ref="D403">IF(TRIM(A403)="","",
_xlfn.TEXTJOIN(" , ",TRUE,
IF((個体台帳!$A$2:$A$1000=TRIM(A403))*(個体台帳!$C$2:$C$1000="小物2"),
個体台帳!$B$2:$B$1000,
"")))</f>
        <v/>
      </c>
      <c r="E403" s="8" t="str">
        <f t="array" ref="E403">IF($A403="","",
INDEX(個体台帳!$D$2:$D$1000,
MATCH(1,
(個体台帳!$A$2:$A$1000=$A403)*
(個体台帳!$C$2:$C$1000="服"),
0)))</f>
        <v/>
      </c>
      <c r="F403" t="str">
        <f t="array" ref="F403">IF($A403="","",
IF(COUNTIFS(貸出記録!$B:$B,$A403,貸出記録!$E:$E,"")&gt;0,
"貸出中","在庫"))</f>
        <v/>
      </c>
      <c r="G403" t="s">
        <v>6</v>
      </c>
      <c r="H403" t="s">
        <v>6</v>
      </c>
      <c r="I403" t="s">
        <v>6</v>
      </c>
    </row>
    <row r="404" spans="1:9">
      <c r="A404" s="21" t="s">
        <v>6</v>
      </c>
      <c r="B404" t="str">
        <f t="array" ref="B404">IF(TRIM(A404)="","",
_xlfn.TEXTJOIN(" , ",TRUE,
IF((個体台帳!$A$2:$A$1000=TRIM(A404))*(個体台帳!$C$2:$C$1000="服"),
個体台帳!$B$2:$B$1000,
"")))</f>
        <v/>
      </c>
      <c r="C404" t="str">
        <f t="array" ref="C404">IF(TRIM(A404)="","",
_xlfn.TEXTJOIN(" , ",TRUE,
IF((個体台帳!$A$2:$A$1000=TRIM(A404))*(個体台帳!$C$2:$C$1000="小物1"),
個体台帳!$B$2:$B$1000,
"")))</f>
        <v/>
      </c>
      <c r="D404" t="str">
        <f t="array" ref="D404">IF(TRIM(A404)="","",
_xlfn.TEXTJOIN(" , ",TRUE,
IF((個体台帳!$A$2:$A$1000=TRIM(A404))*(個体台帳!$C$2:$C$1000="小物2"),
個体台帳!$B$2:$B$1000,
"")))</f>
        <v/>
      </c>
      <c r="E404" s="8" t="str">
        <f t="array" ref="E404">IF($A404="","",
INDEX(個体台帳!$D$2:$D$1000,
MATCH(1,
(個体台帳!$A$2:$A$1000=$A404)*
(個体台帳!$C$2:$C$1000="服"),
0)))</f>
        <v/>
      </c>
      <c r="F404" t="str">
        <f t="array" ref="F404">IF($A404="","",
IF(COUNTIFS(貸出記録!$B:$B,$A404,貸出記録!$E:$E,"")&gt;0,
"貸出中","在庫"))</f>
        <v/>
      </c>
      <c r="G404" t="s">
        <v>6</v>
      </c>
      <c r="H404" t="s">
        <v>6</v>
      </c>
      <c r="I404" t="s">
        <v>6</v>
      </c>
    </row>
    <row r="405" spans="1:9">
      <c r="A405" s="21" t="s">
        <v>6</v>
      </c>
      <c r="B405" t="str">
        <f t="array" ref="B405">IF(TRIM(A405)="","",
_xlfn.TEXTJOIN(" , ",TRUE,
IF((個体台帳!$A$2:$A$1000=TRIM(A405))*(個体台帳!$C$2:$C$1000="服"),
個体台帳!$B$2:$B$1000,
"")))</f>
        <v/>
      </c>
      <c r="C405" t="str">
        <f t="array" ref="C405">IF(TRIM(A405)="","",
_xlfn.TEXTJOIN(" , ",TRUE,
IF((個体台帳!$A$2:$A$1000=TRIM(A405))*(個体台帳!$C$2:$C$1000="小物1"),
個体台帳!$B$2:$B$1000,
"")))</f>
        <v/>
      </c>
      <c r="D405" t="str">
        <f t="array" ref="D405">IF(TRIM(A405)="","",
_xlfn.TEXTJOIN(" , ",TRUE,
IF((個体台帳!$A$2:$A$1000=TRIM(A405))*(個体台帳!$C$2:$C$1000="小物2"),
個体台帳!$B$2:$B$1000,
"")))</f>
        <v/>
      </c>
      <c r="E405" s="8" t="str">
        <f t="array" ref="E405">IF($A405="","",
INDEX(個体台帳!$D$2:$D$1000,
MATCH(1,
(個体台帳!$A$2:$A$1000=$A405)*
(個体台帳!$C$2:$C$1000="服"),
0)))</f>
        <v/>
      </c>
      <c r="F405" t="str">
        <f t="array" ref="F405">IF($A405="","",
IF(COUNTIFS(貸出記録!$B:$B,$A405,貸出記録!$E:$E,"")&gt;0,
"貸出中","在庫"))</f>
        <v/>
      </c>
      <c r="G405" t="s">
        <v>6</v>
      </c>
      <c r="H405" t="s">
        <v>6</v>
      </c>
      <c r="I405" t="s">
        <v>6</v>
      </c>
    </row>
    <row r="406" spans="1:9">
      <c r="A406" s="21" t="s">
        <v>6</v>
      </c>
      <c r="B406" t="str">
        <f t="array" ref="B406">IF(TRIM(A406)="","",
_xlfn.TEXTJOIN(" , ",TRUE,
IF((個体台帳!$A$2:$A$1000=TRIM(A406))*(個体台帳!$C$2:$C$1000="服"),
個体台帳!$B$2:$B$1000,
"")))</f>
        <v/>
      </c>
      <c r="C406" t="str">
        <f t="array" ref="C406">IF(TRIM(A406)="","",
_xlfn.TEXTJOIN(" , ",TRUE,
IF((個体台帳!$A$2:$A$1000=TRIM(A406))*(個体台帳!$C$2:$C$1000="小物1"),
個体台帳!$B$2:$B$1000,
"")))</f>
        <v/>
      </c>
      <c r="D406" t="str">
        <f t="array" ref="D406">IF(TRIM(A406)="","",
_xlfn.TEXTJOIN(" , ",TRUE,
IF((個体台帳!$A$2:$A$1000=TRIM(A406))*(個体台帳!$C$2:$C$1000="小物2"),
個体台帳!$B$2:$B$1000,
"")))</f>
        <v/>
      </c>
      <c r="E406" s="8" t="str">
        <f t="array" ref="E406">IF($A406="","",
INDEX(個体台帳!$D$2:$D$1000,
MATCH(1,
(個体台帳!$A$2:$A$1000=$A406)*
(個体台帳!$C$2:$C$1000="服"),
0)))</f>
        <v/>
      </c>
      <c r="F406" t="str">
        <f t="array" ref="F406">IF($A406="","",
IF(COUNTIFS(貸出記録!$B:$B,$A406,貸出記録!$E:$E,"")&gt;0,
"貸出中","在庫"))</f>
        <v/>
      </c>
      <c r="G406" t="s">
        <v>6</v>
      </c>
      <c r="H406" t="s">
        <v>6</v>
      </c>
      <c r="I406" t="s">
        <v>6</v>
      </c>
    </row>
    <row r="407" spans="1:9">
      <c r="A407" s="21" t="s">
        <v>6</v>
      </c>
      <c r="B407" t="str">
        <f t="array" ref="B407">IF(TRIM(A407)="","",
_xlfn.TEXTJOIN(" , ",TRUE,
IF((個体台帳!$A$2:$A$1000=TRIM(A407))*(個体台帳!$C$2:$C$1000="服"),
個体台帳!$B$2:$B$1000,
"")))</f>
        <v/>
      </c>
      <c r="C407" t="str">
        <f t="array" ref="C407">IF(TRIM(A407)="","",
_xlfn.TEXTJOIN(" , ",TRUE,
IF((個体台帳!$A$2:$A$1000=TRIM(A407))*(個体台帳!$C$2:$C$1000="小物1"),
個体台帳!$B$2:$B$1000,
"")))</f>
        <v/>
      </c>
      <c r="D407" t="str">
        <f t="array" ref="D407">IF(TRIM(A407)="","",
_xlfn.TEXTJOIN(" , ",TRUE,
IF((個体台帳!$A$2:$A$1000=TRIM(A407))*(個体台帳!$C$2:$C$1000="小物2"),
個体台帳!$B$2:$B$1000,
"")))</f>
        <v/>
      </c>
      <c r="E407" s="8" t="str">
        <f t="array" ref="E407">IF($A407="","",
INDEX(個体台帳!$D$2:$D$1000,
MATCH(1,
(個体台帳!$A$2:$A$1000=$A407)*
(個体台帳!$C$2:$C$1000="服"),
0)))</f>
        <v/>
      </c>
      <c r="F407" t="str">
        <f t="array" ref="F407">IF($A407="","",
IF(COUNTIFS(貸出記録!$B:$B,$A407,貸出記録!$E:$E,"")&gt;0,
"貸出中","在庫"))</f>
        <v/>
      </c>
      <c r="G407" t="s">
        <v>6</v>
      </c>
      <c r="H407" t="s">
        <v>6</v>
      </c>
      <c r="I407" t="s">
        <v>6</v>
      </c>
    </row>
    <row r="408" spans="1:9">
      <c r="A408" s="21" t="s">
        <v>6</v>
      </c>
      <c r="B408" t="str">
        <f t="array" ref="B408">IF(TRIM(A408)="","",
_xlfn.TEXTJOIN(" , ",TRUE,
IF((個体台帳!$A$2:$A$1000=TRIM(A408))*(個体台帳!$C$2:$C$1000="服"),
個体台帳!$B$2:$B$1000,
"")))</f>
        <v/>
      </c>
      <c r="C408" t="str">
        <f t="array" ref="C408">IF(TRIM(A408)="","",
_xlfn.TEXTJOIN(" , ",TRUE,
IF((個体台帳!$A$2:$A$1000=TRIM(A408))*(個体台帳!$C$2:$C$1000="小物1"),
個体台帳!$B$2:$B$1000,
"")))</f>
        <v/>
      </c>
      <c r="D408" t="str">
        <f t="array" ref="D408">IF(TRIM(A408)="","",
_xlfn.TEXTJOIN(" , ",TRUE,
IF((個体台帳!$A$2:$A$1000=TRIM(A408))*(個体台帳!$C$2:$C$1000="小物2"),
個体台帳!$B$2:$B$1000,
"")))</f>
        <v/>
      </c>
      <c r="E408" s="8" t="str">
        <f t="array" ref="E408">IF($A408="","",
INDEX(個体台帳!$D$2:$D$1000,
MATCH(1,
(個体台帳!$A$2:$A$1000=$A408)*
(個体台帳!$C$2:$C$1000="服"),
0)))</f>
        <v/>
      </c>
      <c r="F408" t="str">
        <f t="array" ref="F408">IF($A408="","",
IF(COUNTIFS(貸出記録!$B:$B,$A408,貸出記録!$E:$E,"")&gt;0,
"貸出中","在庫"))</f>
        <v/>
      </c>
      <c r="G408" t="s">
        <v>6</v>
      </c>
      <c r="H408" t="s">
        <v>6</v>
      </c>
      <c r="I408" t="s">
        <v>6</v>
      </c>
    </row>
    <row r="409" spans="1:9">
      <c r="A409" s="21" t="s">
        <v>6</v>
      </c>
      <c r="B409" t="str">
        <f t="array" ref="B409">IF(TRIM(A409)="","",
_xlfn.TEXTJOIN(" , ",TRUE,
IF((個体台帳!$A$2:$A$1000=TRIM(A409))*(個体台帳!$C$2:$C$1000="服"),
個体台帳!$B$2:$B$1000,
"")))</f>
        <v/>
      </c>
      <c r="C409" t="str">
        <f t="array" ref="C409">IF(TRIM(A409)="","",
_xlfn.TEXTJOIN(" , ",TRUE,
IF((個体台帳!$A$2:$A$1000=TRIM(A409))*(個体台帳!$C$2:$C$1000="小物1"),
個体台帳!$B$2:$B$1000,
"")))</f>
        <v/>
      </c>
      <c r="D409" t="str">
        <f t="array" ref="D409">IF(TRIM(A409)="","",
_xlfn.TEXTJOIN(" , ",TRUE,
IF((個体台帳!$A$2:$A$1000=TRIM(A409))*(個体台帳!$C$2:$C$1000="小物2"),
個体台帳!$B$2:$B$1000,
"")))</f>
        <v/>
      </c>
      <c r="E409" s="8" t="str">
        <f t="array" ref="E409">IF($A409="","",
INDEX(個体台帳!$D$2:$D$1000,
MATCH(1,
(個体台帳!$A$2:$A$1000=$A409)*
(個体台帳!$C$2:$C$1000="服"),
0)))</f>
        <v/>
      </c>
      <c r="F409" t="str">
        <f t="array" ref="F409">IF($A409="","",
IF(COUNTIFS(貸出記録!$B:$B,$A409,貸出記録!$E:$E,"")&gt;0,
"貸出中","在庫"))</f>
        <v/>
      </c>
      <c r="G409" t="s">
        <v>6</v>
      </c>
      <c r="H409" t="s">
        <v>6</v>
      </c>
      <c r="I409" t="s">
        <v>6</v>
      </c>
    </row>
    <row r="410" spans="1:9">
      <c r="A410" s="21" t="s">
        <v>6</v>
      </c>
      <c r="B410" t="str">
        <f t="array" ref="B410">IF(TRIM(A410)="","",
_xlfn.TEXTJOIN(" , ",TRUE,
IF((個体台帳!$A$2:$A$1000=TRIM(A410))*(個体台帳!$C$2:$C$1000="服"),
個体台帳!$B$2:$B$1000,
"")))</f>
        <v/>
      </c>
      <c r="C410" t="str">
        <f t="array" ref="C410">IF(TRIM(A410)="","",
_xlfn.TEXTJOIN(" , ",TRUE,
IF((個体台帳!$A$2:$A$1000=TRIM(A410))*(個体台帳!$C$2:$C$1000="小物1"),
個体台帳!$B$2:$B$1000,
"")))</f>
        <v/>
      </c>
      <c r="D410" t="str">
        <f t="array" ref="D410">IF(TRIM(A410)="","",
_xlfn.TEXTJOIN(" , ",TRUE,
IF((個体台帳!$A$2:$A$1000=TRIM(A410))*(個体台帳!$C$2:$C$1000="小物2"),
個体台帳!$B$2:$B$1000,
"")))</f>
        <v/>
      </c>
      <c r="E410" s="8" t="str">
        <f t="array" ref="E410">IF($A410="","",
INDEX(個体台帳!$D$2:$D$1000,
MATCH(1,
(個体台帳!$A$2:$A$1000=$A410)*
(個体台帳!$C$2:$C$1000="服"),
0)))</f>
        <v/>
      </c>
      <c r="F410" t="str">
        <f t="array" ref="F410">IF($A410="","",
IF(COUNTIFS(貸出記録!$B:$B,$A410,貸出記録!$E:$E,"")&gt;0,
"貸出中","在庫"))</f>
        <v/>
      </c>
      <c r="G410" t="s">
        <v>6</v>
      </c>
      <c r="H410" t="s">
        <v>6</v>
      </c>
      <c r="I410" t="s">
        <v>6</v>
      </c>
    </row>
    <row r="411" spans="1:9">
      <c r="A411" s="21" t="s">
        <v>6</v>
      </c>
      <c r="B411" t="str">
        <f t="array" ref="B411">IF(TRIM(A411)="","",
_xlfn.TEXTJOIN(" , ",TRUE,
IF((個体台帳!$A$2:$A$1000=TRIM(A411))*(個体台帳!$C$2:$C$1000="服"),
個体台帳!$B$2:$B$1000,
"")))</f>
        <v/>
      </c>
      <c r="C411" t="str">
        <f t="array" ref="C411">IF(TRIM(A411)="","",
_xlfn.TEXTJOIN(" , ",TRUE,
IF((個体台帳!$A$2:$A$1000=TRIM(A411))*(個体台帳!$C$2:$C$1000="小物1"),
個体台帳!$B$2:$B$1000,
"")))</f>
        <v/>
      </c>
      <c r="D411" t="str">
        <f t="array" ref="D411">IF(TRIM(A411)="","",
_xlfn.TEXTJOIN(" , ",TRUE,
IF((個体台帳!$A$2:$A$1000=TRIM(A411))*(個体台帳!$C$2:$C$1000="小物2"),
個体台帳!$B$2:$B$1000,
"")))</f>
        <v/>
      </c>
      <c r="E411" s="8" t="str">
        <f t="array" ref="E411">IF($A411="","",
INDEX(個体台帳!$D$2:$D$1000,
MATCH(1,
(個体台帳!$A$2:$A$1000=$A411)*
(個体台帳!$C$2:$C$1000="服"),
0)))</f>
        <v/>
      </c>
      <c r="F411" t="str">
        <f t="array" ref="F411">IF($A411="","",
IF(COUNTIFS(貸出記録!$B:$B,$A411,貸出記録!$E:$E,"")&gt;0,
"貸出中","在庫"))</f>
        <v/>
      </c>
      <c r="G411" t="s">
        <v>6</v>
      </c>
      <c r="H411" t="s">
        <v>6</v>
      </c>
      <c r="I411" t="s">
        <v>6</v>
      </c>
    </row>
    <row r="412" spans="1:9">
      <c r="A412" s="21" t="s">
        <v>6</v>
      </c>
      <c r="B412" t="str">
        <f t="array" ref="B412">IF(TRIM(A412)="","",
_xlfn.TEXTJOIN(" , ",TRUE,
IF((個体台帳!$A$2:$A$1000=TRIM(A412))*(個体台帳!$C$2:$C$1000="服"),
個体台帳!$B$2:$B$1000,
"")))</f>
        <v/>
      </c>
      <c r="C412" t="str">
        <f t="array" ref="C412">IF(TRIM(A412)="","",
_xlfn.TEXTJOIN(" , ",TRUE,
IF((個体台帳!$A$2:$A$1000=TRIM(A412))*(個体台帳!$C$2:$C$1000="小物1"),
個体台帳!$B$2:$B$1000,
"")))</f>
        <v/>
      </c>
      <c r="D412" t="str">
        <f t="array" ref="D412">IF(TRIM(A412)="","",
_xlfn.TEXTJOIN(" , ",TRUE,
IF((個体台帳!$A$2:$A$1000=TRIM(A412))*(個体台帳!$C$2:$C$1000="小物2"),
個体台帳!$B$2:$B$1000,
"")))</f>
        <v/>
      </c>
      <c r="E412" s="8" t="str">
        <f t="array" ref="E412">IF($A412="","",
INDEX(個体台帳!$D$2:$D$1000,
MATCH(1,
(個体台帳!$A$2:$A$1000=$A412)*
(個体台帳!$C$2:$C$1000="服"),
0)))</f>
        <v/>
      </c>
      <c r="F412" t="str">
        <f t="array" ref="F412">IF($A412="","",
IF(COUNTIFS(貸出記録!$B:$B,$A412,貸出記録!$E:$E,"")&gt;0,
"貸出中","在庫"))</f>
        <v/>
      </c>
      <c r="G412" t="s">
        <v>6</v>
      </c>
      <c r="H412" t="s">
        <v>6</v>
      </c>
      <c r="I412" t="s">
        <v>6</v>
      </c>
    </row>
    <row r="413" spans="1:9">
      <c r="A413" s="21" t="s">
        <v>6</v>
      </c>
      <c r="B413" t="str">
        <f t="array" ref="B413">IF(TRIM(A413)="","",
_xlfn.TEXTJOIN(" , ",TRUE,
IF((個体台帳!$A$2:$A$1000=TRIM(A413))*(個体台帳!$C$2:$C$1000="服"),
個体台帳!$B$2:$B$1000,
"")))</f>
        <v/>
      </c>
      <c r="C413" t="str">
        <f t="array" ref="C413">IF(TRIM(A413)="","",
_xlfn.TEXTJOIN(" , ",TRUE,
IF((個体台帳!$A$2:$A$1000=TRIM(A413))*(個体台帳!$C$2:$C$1000="小物1"),
個体台帳!$B$2:$B$1000,
"")))</f>
        <v/>
      </c>
      <c r="D413" t="str">
        <f t="array" ref="D413">IF(TRIM(A413)="","",
_xlfn.TEXTJOIN(" , ",TRUE,
IF((個体台帳!$A$2:$A$1000=TRIM(A413))*(個体台帳!$C$2:$C$1000="小物2"),
個体台帳!$B$2:$B$1000,
"")))</f>
        <v/>
      </c>
      <c r="E413" s="8" t="str">
        <f t="array" ref="E413">IF($A413="","",
INDEX(個体台帳!$D$2:$D$1000,
MATCH(1,
(個体台帳!$A$2:$A$1000=$A413)*
(個体台帳!$C$2:$C$1000="服"),
0)))</f>
        <v/>
      </c>
      <c r="F413" t="str">
        <f t="array" ref="F413">IF($A413="","",
IF(COUNTIFS(貸出記録!$B:$B,$A413,貸出記録!$E:$E,"")&gt;0,
"貸出中","在庫"))</f>
        <v/>
      </c>
      <c r="G413" t="s">
        <v>6</v>
      </c>
      <c r="H413" t="s">
        <v>6</v>
      </c>
      <c r="I413" t="s">
        <v>6</v>
      </c>
    </row>
    <row r="414" spans="1:9">
      <c r="A414" s="21" t="s">
        <v>6</v>
      </c>
      <c r="B414" t="str">
        <f t="array" ref="B414">IF(TRIM(A414)="","",
_xlfn.TEXTJOIN(" , ",TRUE,
IF((個体台帳!$A$2:$A$1000=TRIM(A414))*(個体台帳!$C$2:$C$1000="服"),
個体台帳!$B$2:$B$1000,
"")))</f>
        <v/>
      </c>
      <c r="C414" t="str">
        <f t="array" ref="C414">IF(TRIM(A414)="","",
_xlfn.TEXTJOIN(" , ",TRUE,
IF((個体台帳!$A$2:$A$1000=TRIM(A414))*(個体台帳!$C$2:$C$1000="小物1"),
個体台帳!$B$2:$B$1000,
"")))</f>
        <v/>
      </c>
      <c r="D414" t="str">
        <f t="array" ref="D414">IF(TRIM(A414)="","",
_xlfn.TEXTJOIN(" , ",TRUE,
IF((個体台帳!$A$2:$A$1000=TRIM(A414))*(個体台帳!$C$2:$C$1000="小物2"),
個体台帳!$B$2:$B$1000,
"")))</f>
        <v/>
      </c>
      <c r="E414" s="8" t="str">
        <f t="array" ref="E414">IF($A414="","",
INDEX(個体台帳!$D$2:$D$1000,
MATCH(1,
(個体台帳!$A$2:$A$1000=$A414)*
(個体台帳!$C$2:$C$1000="服"),
0)))</f>
        <v/>
      </c>
      <c r="F414" t="str">
        <f t="array" ref="F414">IF($A414="","",
IF(COUNTIFS(貸出記録!$B:$B,$A414,貸出記録!$E:$E,"")&gt;0,
"貸出中","在庫"))</f>
        <v/>
      </c>
      <c r="G414" t="s">
        <v>6</v>
      </c>
      <c r="H414" t="s">
        <v>6</v>
      </c>
      <c r="I414" t="s">
        <v>6</v>
      </c>
    </row>
    <row r="415" spans="1:9">
      <c r="A415" s="21" t="s">
        <v>6</v>
      </c>
      <c r="B415" t="str">
        <f t="array" ref="B415">IF(TRIM(A415)="","",
_xlfn.TEXTJOIN(" , ",TRUE,
IF((個体台帳!$A$2:$A$1000=TRIM(A415))*(個体台帳!$C$2:$C$1000="服"),
個体台帳!$B$2:$B$1000,
"")))</f>
        <v/>
      </c>
      <c r="C415" t="str">
        <f t="array" ref="C415">IF(TRIM(A415)="","",
_xlfn.TEXTJOIN(" , ",TRUE,
IF((個体台帳!$A$2:$A$1000=TRIM(A415))*(個体台帳!$C$2:$C$1000="小物1"),
個体台帳!$B$2:$B$1000,
"")))</f>
        <v/>
      </c>
      <c r="D415" t="str">
        <f t="array" ref="D415">IF(TRIM(A415)="","",
_xlfn.TEXTJOIN(" , ",TRUE,
IF((個体台帳!$A$2:$A$1000=TRIM(A415))*(個体台帳!$C$2:$C$1000="小物2"),
個体台帳!$B$2:$B$1000,
"")))</f>
        <v/>
      </c>
      <c r="E415" s="8" t="str">
        <f t="array" ref="E415">IF($A415="","",
INDEX(個体台帳!$D$2:$D$1000,
MATCH(1,
(個体台帳!$A$2:$A$1000=$A415)*
(個体台帳!$C$2:$C$1000="服"),
0)))</f>
        <v/>
      </c>
      <c r="F415" t="str">
        <f t="array" ref="F415">IF($A415="","",
IF(COUNTIFS(貸出記録!$B:$B,$A415,貸出記録!$E:$E,"")&gt;0,
"貸出中","在庫"))</f>
        <v/>
      </c>
      <c r="G415" t="s">
        <v>6</v>
      </c>
      <c r="H415" t="s">
        <v>6</v>
      </c>
      <c r="I415" t="s">
        <v>6</v>
      </c>
    </row>
    <row r="416" spans="1:9">
      <c r="A416" s="21" t="s">
        <v>6</v>
      </c>
      <c r="B416" t="str">
        <f t="array" ref="B416">IF(TRIM(A416)="","",
_xlfn.TEXTJOIN(" , ",TRUE,
IF((個体台帳!$A$2:$A$1000=TRIM(A416))*(個体台帳!$C$2:$C$1000="服"),
個体台帳!$B$2:$B$1000,
"")))</f>
        <v/>
      </c>
      <c r="C416" t="str">
        <f t="array" ref="C416">IF(TRIM(A416)="","",
_xlfn.TEXTJOIN(" , ",TRUE,
IF((個体台帳!$A$2:$A$1000=TRIM(A416))*(個体台帳!$C$2:$C$1000="小物1"),
個体台帳!$B$2:$B$1000,
"")))</f>
        <v/>
      </c>
      <c r="D416" t="str">
        <f t="array" ref="D416">IF(TRIM(A416)="","",
_xlfn.TEXTJOIN(" , ",TRUE,
IF((個体台帳!$A$2:$A$1000=TRIM(A416))*(個体台帳!$C$2:$C$1000="小物2"),
個体台帳!$B$2:$B$1000,
"")))</f>
        <v/>
      </c>
      <c r="E416" s="8" t="str">
        <f t="array" ref="E416">IF($A416="","",
INDEX(個体台帳!$D$2:$D$1000,
MATCH(1,
(個体台帳!$A$2:$A$1000=$A416)*
(個体台帳!$C$2:$C$1000="服"),
0)))</f>
        <v/>
      </c>
      <c r="F416" t="str">
        <f t="array" ref="F416">IF($A416="","",
IF(COUNTIFS(貸出記録!$B:$B,$A416,貸出記録!$E:$E,"")&gt;0,
"貸出中","在庫"))</f>
        <v/>
      </c>
      <c r="G416" t="s">
        <v>6</v>
      </c>
      <c r="H416" t="s">
        <v>6</v>
      </c>
      <c r="I416" t="s">
        <v>6</v>
      </c>
    </row>
    <row r="417" spans="1:9">
      <c r="A417" s="21" t="s">
        <v>6</v>
      </c>
      <c r="B417" t="str">
        <f t="array" ref="B417">IF(TRIM(A417)="","",
_xlfn.TEXTJOIN(" , ",TRUE,
IF((個体台帳!$A$2:$A$1000=TRIM(A417))*(個体台帳!$C$2:$C$1000="服"),
個体台帳!$B$2:$B$1000,
"")))</f>
        <v/>
      </c>
      <c r="C417" t="str">
        <f t="array" ref="C417">IF(TRIM(A417)="","",
_xlfn.TEXTJOIN(" , ",TRUE,
IF((個体台帳!$A$2:$A$1000=TRIM(A417))*(個体台帳!$C$2:$C$1000="小物1"),
個体台帳!$B$2:$B$1000,
"")))</f>
        <v/>
      </c>
      <c r="D417" t="str">
        <f t="array" ref="D417">IF(TRIM(A417)="","",
_xlfn.TEXTJOIN(" , ",TRUE,
IF((個体台帳!$A$2:$A$1000=TRIM(A417))*(個体台帳!$C$2:$C$1000="小物2"),
個体台帳!$B$2:$B$1000,
"")))</f>
        <v/>
      </c>
      <c r="E417" s="8" t="str">
        <f t="array" ref="E417">IF($A417="","",
INDEX(個体台帳!$D$2:$D$1000,
MATCH(1,
(個体台帳!$A$2:$A$1000=$A417)*
(個体台帳!$C$2:$C$1000="服"),
0)))</f>
        <v/>
      </c>
      <c r="F417" t="str">
        <f t="array" ref="F417">IF($A417="","",
IF(COUNTIFS(貸出記録!$B:$B,$A417,貸出記録!$E:$E,"")&gt;0,
"貸出中","在庫"))</f>
        <v/>
      </c>
      <c r="G417" t="s">
        <v>6</v>
      </c>
      <c r="H417" t="s">
        <v>6</v>
      </c>
      <c r="I417" t="s">
        <v>6</v>
      </c>
    </row>
    <row r="418" spans="1:9">
      <c r="A418" s="21" t="s">
        <v>6</v>
      </c>
      <c r="B418" t="str">
        <f t="array" ref="B418">IF(TRIM(A418)="","",
_xlfn.TEXTJOIN(" , ",TRUE,
IF((個体台帳!$A$2:$A$1000=TRIM(A418))*(個体台帳!$C$2:$C$1000="服"),
個体台帳!$B$2:$B$1000,
"")))</f>
        <v/>
      </c>
      <c r="C418" t="str">
        <f t="array" ref="C418">IF(TRIM(A418)="","",
_xlfn.TEXTJOIN(" , ",TRUE,
IF((個体台帳!$A$2:$A$1000=TRIM(A418))*(個体台帳!$C$2:$C$1000="小物1"),
個体台帳!$B$2:$B$1000,
"")))</f>
        <v/>
      </c>
      <c r="D418" t="str">
        <f t="array" ref="D418">IF(TRIM(A418)="","",
_xlfn.TEXTJOIN(" , ",TRUE,
IF((個体台帳!$A$2:$A$1000=TRIM(A418))*(個体台帳!$C$2:$C$1000="小物2"),
個体台帳!$B$2:$B$1000,
"")))</f>
        <v/>
      </c>
      <c r="E418" s="8" t="str">
        <f t="array" ref="E418">IF($A418="","",
INDEX(個体台帳!$D$2:$D$1000,
MATCH(1,
(個体台帳!$A$2:$A$1000=$A418)*
(個体台帳!$C$2:$C$1000="服"),
0)))</f>
        <v/>
      </c>
      <c r="F418" t="str">
        <f t="array" ref="F418">IF($A418="","",
IF(COUNTIFS(貸出記録!$B:$B,$A418,貸出記録!$E:$E,"")&gt;0,
"貸出中","在庫"))</f>
        <v/>
      </c>
      <c r="G418" t="s">
        <v>6</v>
      </c>
      <c r="H418" t="s">
        <v>6</v>
      </c>
      <c r="I418" t="s">
        <v>6</v>
      </c>
    </row>
    <row r="419" spans="1:9">
      <c r="A419" s="21" t="s">
        <v>6</v>
      </c>
      <c r="B419" t="str">
        <f t="array" ref="B419">IF(TRIM(A419)="","",
_xlfn.TEXTJOIN(" , ",TRUE,
IF((個体台帳!$A$2:$A$1000=TRIM(A419))*(個体台帳!$C$2:$C$1000="服"),
個体台帳!$B$2:$B$1000,
"")))</f>
        <v/>
      </c>
      <c r="C419" t="str">
        <f t="array" ref="C419">IF(TRIM(A419)="","",
_xlfn.TEXTJOIN(" , ",TRUE,
IF((個体台帳!$A$2:$A$1000=TRIM(A419))*(個体台帳!$C$2:$C$1000="小物1"),
個体台帳!$B$2:$B$1000,
"")))</f>
        <v/>
      </c>
      <c r="D419" t="str">
        <f t="array" ref="D419">IF(TRIM(A419)="","",
_xlfn.TEXTJOIN(" , ",TRUE,
IF((個体台帳!$A$2:$A$1000=TRIM(A419))*(個体台帳!$C$2:$C$1000="小物2"),
個体台帳!$B$2:$B$1000,
"")))</f>
        <v/>
      </c>
      <c r="E419" s="8" t="str">
        <f t="array" ref="E419">IF($A419="","",
INDEX(個体台帳!$D$2:$D$1000,
MATCH(1,
(個体台帳!$A$2:$A$1000=$A419)*
(個体台帳!$C$2:$C$1000="服"),
0)))</f>
        <v/>
      </c>
      <c r="F419" t="str">
        <f t="array" ref="F419">IF($A419="","",
IF(COUNTIFS(貸出記録!$B:$B,$A419,貸出記録!$E:$E,"")&gt;0,
"貸出中","在庫"))</f>
        <v/>
      </c>
      <c r="G419" t="s">
        <v>6</v>
      </c>
      <c r="H419" t="s">
        <v>6</v>
      </c>
      <c r="I419" t="s">
        <v>6</v>
      </c>
    </row>
    <row r="420" spans="1:9">
      <c r="A420" s="21" t="s">
        <v>6</v>
      </c>
      <c r="B420" t="str">
        <f t="array" ref="B420">IF(TRIM(A420)="","",
_xlfn.TEXTJOIN(" , ",TRUE,
IF((個体台帳!$A$2:$A$1000=TRIM(A420))*(個体台帳!$C$2:$C$1000="服"),
個体台帳!$B$2:$B$1000,
"")))</f>
        <v/>
      </c>
      <c r="C420" t="str">
        <f t="array" ref="C420">IF(TRIM(A420)="","",
_xlfn.TEXTJOIN(" , ",TRUE,
IF((個体台帳!$A$2:$A$1000=TRIM(A420))*(個体台帳!$C$2:$C$1000="小物1"),
個体台帳!$B$2:$B$1000,
"")))</f>
        <v/>
      </c>
      <c r="D420" t="str">
        <f t="array" ref="D420">IF(TRIM(A420)="","",
_xlfn.TEXTJOIN(" , ",TRUE,
IF((個体台帳!$A$2:$A$1000=TRIM(A420))*(個体台帳!$C$2:$C$1000="小物2"),
個体台帳!$B$2:$B$1000,
"")))</f>
        <v/>
      </c>
      <c r="E420" s="8" t="str">
        <f t="array" ref="E420">IF($A420="","",
INDEX(個体台帳!$D$2:$D$1000,
MATCH(1,
(個体台帳!$A$2:$A$1000=$A420)*
(個体台帳!$C$2:$C$1000="服"),
0)))</f>
        <v/>
      </c>
      <c r="F420" t="str">
        <f t="array" ref="F420">IF($A420="","",
IF(COUNTIFS(貸出記録!$B:$B,$A420,貸出記録!$E:$E,"")&gt;0,
"貸出中","在庫"))</f>
        <v/>
      </c>
      <c r="G420" t="s">
        <v>6</v>
      </c>
      <c r="H420" t="s">
        <v>6</v>
      </c>
      <c r="I420" t="s">
        <v>6</v>
      </c>
    </row>
    <row r="421" spans="1:9">
      <c r="A421" s="21" t="s">
        <v>6</v>
      </c>
      <c r="B421" t="str">
        <f t="array" ref="B421">IF(TRIM(A421)="","",
_xlfn.TEXTJOIN(" , ",TRUE,
IF((個体台帳!$A$2:$A$1000=TRIM(A421))*(個体台帳!$C$2:$C$1000="服"),
個体台帳!$B$2:$B$1000,
"")))</f>
        <v/>
      </c>
      <c r="C421" t="str">
        <f t="array" ref="C421">IF(TRIM(A421)="","",
_xlfn.TEXTJOIN(" , ",TRUE,
IF((個体台帳!$A$2:$A$1000=TRIM(A421))*(個体台帳!$C$2:$C$1000="小物1"),
個体台帳!$B$2:$B$1000,
"")))</f>
        <v/>
      </c>
      <c r="D421" t="str">
        <f t="array" ref="D421">IF(TRIM(A421)="","",
_xlfn.TEXTJOIN(" , ",TRUE,
IF((個体台帳!$A$2:$A$1000=TRIM(A421))*(個体台帳!$C$2:$C$1000="小物2"),
個体台帳!$B$2:$B$1000,
"")))</f>
        <v/>
      </c>
      <c r="E421" s="8" t="str">
        <f t="array" ref="E421">IF($A421="","",
INDEX(個体台帳!$D$2:$D$1000,
MATCH(1,
(個体台帳!$A$2:$A$1000=$A421)*
(個体台帳!$C$2:$C$1000="服"),
0)))</f>
        <v/>
      </c>
      <c r="F421" t="str">
        <f t="array" ref="F421">IF($A421="","",
IF(COUNTIFS(貸出記録!$B:$B,$A421,貸出記録!$E:$E,"")&gt;0,
"貸出中","在庫"))</f>
        <v/>
      </c>
      <c r="G421" t="s">
        <v>6</v>
      </c>
      <c r="H421" t="s">
        <v>6</v>
      </c>
      <c r="I421" t="s">
        <v>6</v>
      </c>
    </row>
    <row r="422" spans="1:9">
      <c r="A422" s="21" t="s">
        <v>6</v>
      </c>
      <c r="B422" t="str">
        <f t="array" ref="B422">IF(TRIM(A422)="","",
_xlfn.TEXTJOIN(" , ",TRUE,
IF((個体台帳!$A$2:$A$1000=TRIM(A422))*(個体台帳!$C$2:$C$1000="服"),
個体台帳!$B$2:$B$1000,
"")))</f>
        <v/>
      </c>
      <c r="C422" t="str">
        <f t="array" ref="C422">IF(TRIM(A422)="","",
_xlfn.TEXTJOIN(" , ",TRUE,
IF((個体台帳!$A$2:$A$1000=TRIM(A422))*(個体台帳!$C$2:$C$1000="小物1"),
個体台帳!$B$2:$B$1000,
"")))</f>
        <v/>
      </c>
      <c r="D422" t="str">
        <f t="array" ref="D422">IF(TRIM(A422)="","",
_xlfn.TEXTJOIN(" , ",TRUE,
IF((個体台帳!$A$2:$A$1000=TRIM(A422))*(個体台帳!$C$2:$C$1000="小物2"),
個体台帳!$B$2:$B$1000,
"")))</f>
        <v/>
      </c>
      <c r="E422" s="8" t="str">
        <f t="array" ref="E422">IF($A422="","",
INDEX(個体台帳!$D$2:$D$1000,
MATCH(1,
(個体台帳!$A$2:$A$1000=$A422)*
(個体台帳!$C$2:$C$1000="服"),
0)))</f>
        <v/>
      </c>
      <c r="F422" t="str">
        <f t="array" ref="F422">IF($A422="","",
IF(COUNTIFS(貸出記録!$B:$B,$A422,貸出記録!$E:$E,"")&gt;0,
"貸出中","在庫"))</f>
        <v/>
      </c>
      <c r="G422" t="s">
        <v>6</v>
      </c>
      <c r="H422" t="s">
        <v>6</v>
      </c>
      <c r="I422" t="s">
        <v>6</v>
      </c>
    </row>
    <row r="423" spans="1:9">
      <c r="A423" s="21" t="s">
        <v>6</v>
      </c>
      <c r="B423" t="str">
        <f t="array" ref="B423">IF(TRIM(A423)="","",
_xlfn.TEXTJOIN(" , ",TRUE,
IF((個体台帳!$A$2:$A$1000=TRIM(A423))*(個体台帳!$C$2:$C$1000="服"),
個体台帳!$B$2:$B$1000,
"")))</f>
        <v/>
      </c>
      <c r="C423" t="str">
        <f t="array" ref="C423">IF(TRIM(A423)="","",
_xlfn.TEXTJOIN(" , ",TRUE,
IF((個体台帳!$A$2:$A$1000=TRIM(A423))*(個体台帳!$C$2:$C$1000="小物1"),
個体台帳!$B$2:$B$1000,
"")))</f>
        <v/>
      </c>
      <c r="D423" t="str">
        <f t="array" ref="D423">IF(TRIM(A423)="","",
_xlfn.TEXTJOIN(" , ",TRUE,
IF((個体台帳!$A$2:$A$1000=TRIM(A423))*(個体台帳!$C$2:$C$1000="小物2"),
個体台帳!$B$2:$B$1000,
"")))</f>
        <v/>
      </c>
      <c r="E423" s="8" t="str">
        <f t="array" ref="E423">IF($A423="","",
INDEX(個体台帳!$D$2:$D$1000,
MATCH(1,
(個体台帳!$A$2:$A$1000=$A423)*
(個体台帳!$C$2:$C$1000="服"),
0)))</f>
        <v/>
      </c>
      <c r="F423" t="str">
        <f t="array" ref="F423">IF($A423="","",
IF(COUNTIFS(貸出記録!$B:$B,$A423,貸出記録!$E:$E,"")&gt;0,
"貸出中","在庫"))</f>
        <v/>
      </c>
      <c r="G423" t="s">
        <v>6</v>
      </c>
      <c r="H423" t="s">
        <v>6</v>
      </c>
      <c r="I423" t="s">
        <v>6</v>
      </c>
    </row>
    <row r="424" spans="1:9">
      <c r="A424" s="21" t="s">
        <v>6</v>
      </c>
      <c r="B424" t="str">
        <f t="array" ref="B424">IF(TRIM(A424)="","",
_xlfn.TEXTJOIN(" , ",TRUE,
IF((個体台帳!$A$2:$A$1000=TRIM(A424))*(個体台帳!$C$2:$C$1000="服"),
個体台帳!$B$2:$B$1000,
"")))</f>
        <v/>
      </c>
      <c r="C424" t="str">
        <f t="array" ref="C424">IF(TRIM(A424)="","",
_xlfn.TEXTJOIN(" , ",TRUE,
IF((個体台帳!$A$2:$A$1000=TRIM(A424))*(個体台帳!$C$2:$C$1000="小物1"),
個体台帳!$B$2:$B$1000,
"")))</f>
        <v/>
      </c>
      <c r="D424" t="str">
        <f t="array" ref="D424">IF(TRIM(A424)="","",
_xlfn.TEXTJOIN(" , ",TRUE,
IF((個体台帳!$A$2:$A$1000=TRIM(A424))*(個体台帳!$C$2:$C$1000="小物2"),
個体台帳!$B$2:$B$1000,
"")))</f>
        <v/>
      </c>
      <c r="E424" s="8" t="str">
        <f t="array" ref="E424">IF($A424="","",
INDEX(個体台帳!$D$2:$D$1000,
MATCH(1,
(個体台帳!$A$2:$A$1000=$A424)*
(個体台帳!$C$2:$C$1000="服"),
0)))</f>
        <v/>
      </c>
      <c r="F424" t="str">
        <f t="array" ref="F424">IF($A424="","",
IF(COUNTIFS(貸出記録!$B:$B,$A424,貸出記録!$E:$E,"")&gt;0,
"貸出中","在庫"))</f>
        <v/>
      </c>
      <c r="G424" t="s">
        <v>6</v>
      </c>
      <c r="H424" t="s">
        <v>6</v>
      </c>
      <c r="I424" t="s">
        <v>6</v>
      </c>
    </row>
    <row r="425" spans="1:9">
      <c r="A425" s="21" t="s">
        <v>6</v>
      </c>
      <c r="B425" t="str">
        <f t="array" ref="B425">IF(TRIM(A425)="","",
_xlfn.TEXTJOIN(" , ",TRUE,
IF((個体台帳!$A$2:$A$1000=TRIM(A425))*(個体台帳!$C$2:$C$1000="服"),
個体台帳!$B$2:$B$1000,
"")))</f>
        <v/>
      </c>
      <c r="C425" t="str">
        <f t="array" ref="C425">IF(TRIM(A425)="","",
_xlfn.TEXTJOIN(" , ",TRUE,
IF((個体台帳!$A$2:$A$1000=TRIM(A425))*(個体台帳!$C$2:$C$1000="小物1"),
個体台帳!$B$2:$B$1000,
"")))</f>
        <v/>
      </c>
      <c r="D425" t="str">
        <f t="array" ref="D425">IF(TRIM(A425)="","",
_xlfn.TEXTJOIN(" , ",TRUE,
IF((個体台帳!$A$2:$A$1000=TRIM(A425))*(個体台帳!$C$2:$C$1000="小物2"),
個体台帳!$B$2:$B$1000,
"")))</f>
        <v/>
      </c>
      <c r="E425" s="8" t="str">
        <f t="array" ref="E425">IF($A425="","",
INDEX(個体台帳!$D$2:$D$1000,
MATCH(1,
(個体台帳!$A$2:$A$1000=$A425)*
(個体台帳!$C$2:$C$1000="服"),
0)))</f>
        <v/>
      </c>
      <c r="F425" t="str">
        <f t="array" ref="F425">IF($A425="","",
IF(COUNTIFS(貸出記録!$B:$B,$A425,貸出記録!$E:$E,"")&gt;0,
"貸出中","在庫"))</f>
        <v/>
      </c>
      <c r="G425" t="s">
        <v>6</v>
      </c>
      <c r="H425" t="s">
        <v>6</v>
      </c>
      <c r="I425" t="s">
        <v>6</v>
      </c>
    </row>
    <row r="426" spans="1:9">
      <c r="A426" s="21" t="s">
        <v>6</v>
      </c>
      <c r="B426" t="str">
        <f t="array" ref="B426">IF(TRIM(A426)="","",
_xlfn.TEXTJOIN(" , ",TRUE,
IF((個体台帳!$A$2:$A$1000=TRIM(A426))*(個体台帳!$C$2:$C$1000="服"),
個体台帳!$B$2:$B$1000,
"")))</f>
        <v/>
      </c>
      <c r="C426" t="str">
        <f t="array" ref="C426">IF(TRIM(A426)="","",
_xlfn.TEXTJOIN(" , ",TRUE,
IF((個体台帳!$A$2:$A$1000=TRIM(A426))*(個体台帳!$C$2:$C$1000="小物1"),
個体台帳!$B$2:$B$1000,
"")))</f>
        <v/>
      </c>
      <c r="D426" t="str">
        <f t="array" ref="D426">IF(TRIM(A426)="","",
_xlfn.TEXTJOIN(" , ",TRUE,
IF((個体台帳!$A$2:$A$1000=TRIM(A426))*(個体台帳!$C$2:$C$1000="小物2"),
個体台帳!$B$2:$B$1000,
"")))</f>
        <v/>
      </c>
      <c r="E426" s="8" t="str">
        <f t="array" ref="E426">IF($A426="","",
INDEX(個体台帳!$D$2:$D$1000,
MATCH(1,
(個体台帳!$A$2:$A$1000=$A426)*
(個体台帳!$C$2:$C$1000="服"),
0)))</f>
        <v/>
      </c>
      <c r="F426" t="str">
        <f t="array" ref="F426">IF($A426="","",
IF(COUNTIFS(貸出記録!$B:$B,$A426,貸出記録!$E:$E,"")&gt;0,
"貸出中","在庫"))</f>
        <v/>
      </c>
      <c r="G426" t="s">
        <v>6</v>
      </c>
      <c r="H426" t="s">
        <v>6</v>
      </c>
      <c r="I426" t="s">
        <v>6</v>
      </c>
    </row>
    <row r="427" spans="1:9">
      <c r="A427" s="21" t="s">
        <v>6</v>
      </c>
      <c r="B427" t="str">
        <f t="array" ref="B427">IF(TRIM(A427)="","",
_xlfn.TEXTJOIN(" , ",TRUE,
IF((個体台帳!$A$2:$A$1000=TRIM(A427))*(個体台帳!$C$2:$C$1000="服"),
個体台帳!$B$2:$B$1000,
"")))</f>
        <v/>
      </c>
      <c r="C427" t="str">
        <f t="array" ref="C427">IF(TRIM(A427)="","",
_xlfn.TEXTJOIN(" , ",TRUE,
IF((個体台帳!$A$2:$A$1000=TRIM(A427))*(個体台帳!$C$2:$C$1000="小物1"),
個体台帳!$B$2:$B$1000,
"")))</f>
        <v/>
      </c>
      <c r="D427" t="str">
        <f t="array" ref="D427">IF(TRIM(A427)="","",
_xlfn.TEXTJOIN(" , ",TRUE,
IF((個体台帳!$A$2:$A$1000=TRIM(A427))*(個体台帳!$C$2:$C$1000="小物2"),
個体台帳!$B$2:$B$1000,
"")))</f>
        <v/>
      </c>
      <c r="E427" s="8" t="str">
        <f t="array" ref="E427">IF($A427="","",
INDEX(個体台帳!$D$2:$D$1000,
MATCH(1,
(個体台帳!$A$2:$A$1000=$A427)*
(個体台帳!$C$2:$C$1000="服"),
0)))</f>
        <v/>
      </c>
      <c r="F427" t="str">
        <f t="array" ref="F427">IF($A427="","",
IF(COUNTIFS(貸出記録!$B:$B,$A427,貸出記録!$E:$E,"")&gt;0,
"貸出中","在庫"))</f>
        <v/>
      </c>
      <c r="G427" t="s">
        <v>6</v>
      </c>
      <c r="H427" t="s">
        <v>6</v>
      </c>
      <c r="I427" t="s">
        <v>6</v>
      </c>
    </row>
    <row r="428" spans="1:9">
      <c r="A428" s="21" t="s">
        <v>6</v>
      </c>
      <c r="B428" t="str">
        <f t="array" ref="B428">IF(TRIM(A428)="","",
_xlfn.TEXTJOIN(" , ",TRUE,
IF((個体台帳!$A$2:$A$1000=TRIM(A428))*(個体台帳!$C$2:$C$1000="服"),
個体台帳!$B$2:$B$1000,
"")))</f>
        <v/>
      </c>
      <c r="C428" t="str">
        <f t="array" ref="C428">IF(TRIM(A428)="","",
_xlfn.TEXTJOIN(" , ",TRUE,
IF((個体台帳!$A$2:$A$1000=TRIM(A428))*(個体台帳!$C$2:$C$1000="小物1"),
個体台帳!$B$2:$B$1000,
"")))</f>
        <v/>
      </c>
      <c r="D428" t="str">
        <f t="array" ref="D428">IF(TRIM(A428)="","",
_xlfn.TEXTJOIN(" , ",TRUE,
IF((個体台帳!$A$2:$A$1000=TRIM(A428))*(個体台帳!$C$2:$C$1000="小物2"),
個体台帳!$B$2:$B$1000,
"")))</f>
        <v/>
      </c>
      <c r="E428" s="8" t="str">
        <f t="array" ref="E428">IF($A428="","",
INDEX(個体台帳!$D$2:$D$1000,
MATCH(1,
(個体台帳!$A$2:$A$1000=$A428)*
(個体台帳!$C$2:$C$1000="服"),
0)))</f>
        <v/>
      </c>
      <c r="F428" t="str">
        <f t="array" ref="F428">IF($A428="","",
IF(COUNTIFS(貸出記録!$B:$B,$A428,貸出記録!$E:$E,"")&gt;0,
"貸出中","在庫"))</f>
        <v/>
      </c>
      <c r="G428" t="s">
        <v>6</v>
      </c>
      <c r="H428" t="s">
        <v>6</v>
      </c>
      <c r="I428" t="s">
        <v>6</v>
      </c>
    </row>
    <row r="429" spans="1:9">
      <c r="A429" s="21" t="s">
        <v>6</v>
      </c>
      <c r="B429" t="str">
        <f t="array" ref="B429">IF(TRIM(A429)="","",
_xlfn.TEXTJOIN(" , ",TRUE,
IF((個体台帳!$A$2:$A$1000=TRIM(A429))*(個体台帳!$C$2:$C$1000="服"),
個体台帳!$B$2:$B$1000,
"")))</f>
        <v/>
      </c>
      <c r="C429" t="str">
        <f t="array" ref="C429">IF(TRIM(A429)="","",
_xlfn.TEXTJOIN(" , ",TRUE,
IF((個体台帳!$A$2:$A$1000=TRIM(A429))*(個体台帳!$C$2:$C$1000="小物1"),
個体台帳!$B$2:$B$1000,
"")))</f>
        <v/>
      </c>
      <c r="D429" t="str">
        <f t="array" ref="D429">IF(TRIM(A429)="","",
_xlfn.TEXTJOIN(" , ",TRUE,
IF((個体台帳!$A$2:$A$1000=TRIM(A429))*(個体台帳!$C$2:$C$1000="小物2"),
個体台帳!$B$2:$B$1000,
"")))</f>
        <v/>
      </c>
      <c r="E429" s="8" t="str">
        <f t="array" ref="E429">IF($A429="","",
INDEX(個体台帳!$D$2:$D$1000,
MATCH(1,
(個体台帳!$A$2:$A$1000=$A429)*
(個体台帳!$C$2:$C$1000="服"),
0)))</f>
        <v/>
      </c>
      <c r="F429" t="str">
        <f t="array" ref="F429">IF($A429="","",
IF(COUNTIFS(貸出記録!$B:$B,$A429,貸出記録!$E:$E,"")&gt;0,
"貸出中","在庫"))</f>
        <v/>
      </c>
      <c r="G429" t="s">
        <v>6</v>
      </c>
      <c r="H429" t="s">
        <v>6</v>
      </c>
      <c r="I429" t="s">
        <v>6</v>
      </c>
    </row>
    <row r="430" spans="1:9">
      <c r="A430" s="21" t="s">
        <v>6</v>
      </c>
      <c r="B430" t="str">
        <f t="array" ref="B430">IF(TRIM(A430)="","",
_xlfn.TEXTJOIN(" , ",TRUE,
IF((個体台帳!$A$2:$A$1000=TRIM(A430))*(個体台帳!$C$2:$C$1000="服"),
個体台帳!$B$2:$B$1000,
"")))</f>
        <v/>
      </c>
      <c r="C430" t="str">
        <f t="array" ref="C430">IF(TRIM(A430)="","",
_xlfn.TEXTJOIN(" , ",TRUE,
IF((個体台帳!$A$2:$A$1000=TRIM(A430))*(個体台帳!$C$2:$C$1000="小物1"),
個体台帳!$B$2:$B$1000,
"")))</f>
        <v/>
      </c>
      <c r="D430" t="str">
        <f t="array" ref="D430">IF(TRIM(A430)="","",
_xlfn.TEXTJOIN(" , ",TRUE,
IF((個体台帳!$A$2:$A$1000=TRIM(A430))*(個体台帳!$C$2:$C$1000="小物2"),
個体台帳!$B$2:$B$1000,
"")))</f>
        <v/>
      </c>
      <c r="E430" s="8" t="str">
        <f t="array" ref="E430">IF($A430="","",
INDEX(個体台帳!$D$2:$D$1000,
MATCH(1,
(個体台帳!$A$2:$A$1000=$A430)*
(個体台帳!$C$2:$C$1000="服"),
0)))</f>
        <v/>
      </c>
      <c r="F430" t="str">
        <f t="array" ref="F430">IF($A430="","",
IF(COUNTIFS(貸出記録!$B:$B,$A430,貸出記録!$E:$E,"")&gt;0,
"貸出中","在庫"))</f>
        <v/>
      </c>
      <c r="G430" t="s">
        <v>6</v>
      </c>
      <c r="H430" t="s">
        <v>6</v>
      </c>
      <c r="I430" t="s">
        <v>6</v>
      </c>
    </row>
    <row r="431" spans="1:9">
      <c r="A431" s="21" t="s">
        <v>6</v>
      </c>
      <c r="B431" t="str">
        <f t="array" ref="B431">IF(TRIM(A431)="","",
_xlfn.TEXTJOIN(" , ",TRUE,
IF((個体台帳!$A$2:$A$1000=TRIM(A431))*(個体台帳!$C$2:$C$1000="服"),
個体台帳!$B$2:$B$1000,
"")))</f>
        <v/>
      </c>
      <c r="C431" t="str">
        <f t="array" ref="C431">IF(TRIM(A431)="","",
_xlfn.TEXTJOIN(" , ",TRUE,
IF((個体台帳!$A$2:$A$1000=TRIM(A431))*(個体台帳!$C$2:$C$1000="小物1"),
個体台帳!$B$2:$B$1000,
"")))</f>
        <v/>
      </c>
      <c r="D431" t="str">
        <f t="array" ref="D431">IF(TRIM(A431)="","",
_xlfn.TEXTJOIN(" , ",TRUE,
IF((個体台帳!$A$2:$A$1000=TRIM(A431))*(個体台帳!$C$2:$C$1000="小物2"),
個体台帳!$B$2:$B$1000,
"")))</f>
        <v/>
      </c>
      <c r="E431" s="8" t="str">
        <f t="array" ref="E431">IF($A431="","",
INDEX(個体台帳!$D$2:$D$1000,
MATCH(1,
(個体台帳!$A$2:$A$1000=$A431)*
(個体台帳!$C$2:$C$1000="服"),
0)))</f>
        <v/>
      </c>
      <c r="F431" t="str">
        <f t="array" ref="F431">IF($A431="","",
IF(COUNTIFS(貸出記録!$B:$B,$A431,貸出記録!$E:$E,"")&gt;0,
"貸出中","在庫"))</f>
        <v/>
      </c>
      <c r="G431" t="s">
        <v>6</v>
      </c>
      <c r="H431" t="s">
        <v>6</v>
      </c>
      <c r="I431" t="s">
        <v>6</v>
      </c>
    </row>
    <row r="432" spans="1:9">
      <c r="A432" s="21" t="s">
        <v>6</v>
      </c>
      <c r="B432" t="str">
        <f t="array" ref="B432">IF(TRIM(A432)="","",
_xlfn.TEXTJOIN(" , ",TRUE,
IF((個体台帳!$A$2:$A$1000=TRIM(A432))*(個体台帳!$C$2:$C$1000="服"),
個体台帳!$B$2:$B$1000,
"")))</f>
        <v/>
      </c>
      <c r="C432" t="str">
        <f t="array" ref="C432">IF(TRIM(A432)="","",
_xlfn.TEXTJOIN(" , ",TRUE,
IF((個体台帳!$A$2:$A$1000=TRIM(A432))*(個体台帳!$C$2:$C$1000="小物1"),
個体台帳!$B$2:$B$1000,
"")))</f>
        <v/>
      </c>
      <c r="D432" t="str">
        <f t="array" ref="D432">IF(TRIM(A432)="","",
_xlfn.TEXTJOIN(" , ",TRUE,
IF((個体台帳!$A$2:$A$1000=TRIM(A432))*(個体台帳!$C$2:$C$1000="小物2"),
個体台帳!$B$2:$B$1000,
"")))</f>
        <v/>
      </c>
      <c r="E432" s="8" t="str">
        <f t="array" ref="E432">IF($A432="","",
INDEX(個体台帳!$D$2:$D$1000,
MATCH(1,
(個体台帳!$A$2:$A$1000=$A432)*
(個体台帳!$C$2:$C$1000="服"),
0)))</f>
        <v/>
      </c>
      <c r="F432" t="str">
        <f t="array" ref="F432">IF($A432="","",
IF(COUNTIFS(貸出記録!$B:$B,$A432,貸出記録!$E:$E,"")&gt;0,
"貸出中","在庫"))</f>
        <v/>
      </c>
      <c r="G432" t="s">
        <v>6</v>
      </c>
      <c r="H432" t="s">
        <v>6</v>
      </c>
      <c r="I432" t="s">
        <v>6</v>
      </c>
    </row>
    <row r="433" spans="1:9">
      <c r="A433" s="21" t="s">
        <v>6</v>
      </c>
      <c r="B433" t="str">
        <f t="array" ref="B433">IF(TRIM(A433)="","",
_xlfn.TEXTJOIN(" , ",TRUE,
IF((個体台帳!$A$2:$A$1000=TRIM(A433))*(個体台帳!$C$2:$C$1000="服"),
個体台帳!$B$2:$B$1000,
"")))</f>
        <v/>
      </c>
      <c r="C433" t="str">
        <f t="array" ref="C433">IF(TRIM(A433)="","",
_xlfn.TEXTJOIN(" , ",TRUE,
IF((個体台帳!$A$2:$A$1000=TRIM(A433))*(個体台帳!$C$2:$C$1000="小物1"),
個体台帳!$B$2:$B$1000,
"")))</f>
        <v/>
      </c>
      <c r="D433" t="str">
        <f t="array" ref="D433">IF(TRIM(A433)="","",
_xlfn.TEXTJOIN(" , ",TRUE,
IF((個体台帳!$A$2:$A$1000=TRIM(A433))*(個体台帳!$C$2:$C$1000="小物2"),
個体台帳!$B$2:$B$1000,
"")))</f>
        <v/>
      </c>
      <c r="E433" s="8" t="str">
        <f t="array" ref="E433">IF($A433="","",
INDEX(個体台帳!$D$2:$D$1000,
MATCH(1,
(個体台帳!$A$2:$A$1000=$A433)*
(個体台帳!$C$2:$C$1000="服"),
0)))</f>
        <v/>
      </c>
      <c r="F433" t="str">
        <f t="array" ref="F433">IF($A433="","",
IF(COUNTIFS(貸出記録!$B:$B,$A433,貸出記録!$E:$E,"")&gt;0,
"貸出中","在庫"))</f>
        <v/>
      </c>
      <c r="G433" t="s">
        <v>6</v>
      </c>
      <c r="H433" t="s">
        <v>6</v>
      </c>
      <c r="I433" t="s">
        <v>6</v>
      </c>
    </row>
    <row r="434" spans="1:9">
      <c r="A434" s="21" t="s">
        <v>6</v>
      </c>
      <c r="B434" t="str">
        <f t="array" ref="B434">IF(TRIM(A434)="","",
_xlfn.TEXTJOIN(" , ",TRUE,
IF((個体台帳!$A$2:$A$1000=TRIM(A434))*(個体台帳!$C$2:$C$1000="服"),
個体台帳!$B$2:$B$1000,
"")))</f>
        <v/>
      </c>
      <c r="C434" t="str">
        <f t="array" ref="C434">IF(TRIM(A434)="","",
_xlfn.TEXTJOIN(" , ",TRUE,
IF((個体台帳!$A$2:$A$1000=TRIM(A434))*(個体台帳!$C$2:$C$1000="小物1"),
個体台帳!$B$2:$B$1000,
"")))</f>
        <v/>
      </c>
      <c r="D434" t="str">
        <f t="array" ref="D434">IF(TRIM(A434)="","",
_xlfn.TEXTJOIN(" , ",TRUE,
IF((個体台帳!$A$2:$A$1000=TRIM(A434))*(個体台帳!$C$2:$C$1000="小物2"),
個体台帳!$B$2:$B$1000,
"")))</f>
        <v/>
      </c>
      <c r="E434" s="8" t="str">
        <f t="array" ref="E434">IF($A434="","",
INDEX(個体台帳!$D$2:$D$1000,
MATCH(1,
(個体台帳!$A$2:$A$1000=$A434)*
(個体台帳!$C$2:$C$1000="服"),
0)))</f>
        <v/>
      </c>
      <c r="F434" t="str">
        <f t="array" ref="F434">IF($A434="","",
IF(COUNTIFS(貸出記録!$B:$B,$A434,貸出記録!$E:$E,"")&gt;0,
"貸出中","在庫"))</f>
        <v/>
      </c>
      <c r="G434" t="s">
        <v>6</v>
      </c>
      <c r="H434" t="s">
        <v>6</v>
      </c>
      <c r="I434" t="s">
        <v>6</v>
      </c>
    </row>
    <row r="435" spans="1:9">
      <c r="A435" s="21" t="s">
        <v>6</v>
      </c>
      <c r="B435" t="str">
        <f t="array" ref="B435">IF(TRIM(A435)="","",
_xlfn.TEXTJOIN(" , ",TRUE,
IF((個体台帳!$A$2:$A$1000=TRIM(A435))*(個体台帳!$C$2:$C$1000="服"),
個体台帳!$B$2:$B$1000,
"")))</f>
        <v/>
      </c>
      <c r="C435" t="str">
        <f t="array" ref="C435">IF(TRIM(A435)="","",
_xlfn.TEXTJOIN(" , ",TRUE,
IF((個体台帳!$A$2:$A$1000=TRIM(A435))*(個体台帳!$C$2:$C$1000="小物1"),
個体台帳!$B$2:$B$1000,
"")))</f>
        <v/>
      </c>
      <c r="D435" t="str">
        <f t="array" ref="D435">IF(TRIM(A435)="","",
_xlfn.TEXTJOIN(" , ",TRUE,
IF((個体台帳!$A$2:$A$1000=TRIM(A435))*(個体台帳!$C$2:$C$1000="小物2"),
個体台帳!$B$2:$B$1000,
"")))</f>
        <v/>
      </c>
      <c r="E435" s="8" t="str">
        <f t="array" ref="E435">IF($A435="","",
INDEX(個体台帳!$D$2:$D$1000,
MATCH(1,
(個体台帳!$A$2:$A$1000=$A435)*
(個体台帳!$C$2:$C$1000="服"),
0)))</f>
        <v/>
      </c>
      <c r="F435" t="str">
        <f t="array" ref="F435">IF($A435="","",
IF(COUNTIFS(貸出記録!$B:$B,$A435,貸出記録!$E:$E,"")&gt;0,
"貸出中","在庫"))</f>
        <v/>
      </c>
      <c r="G435" t="s">
        <v>6</v>
      </c>
      <c r="H435" t="s">
        <v>6</v>
      </c>
      <c r="I435" t="s">
        <v>6</v>
      </c>
    </row>
    <row r="436" spans="1:9">
      <c r="A436" s="21" t="s">
        <v>6</v>
      </c>
      <c r="B436" t="str">
        <f t="array" ref="B436">IF(TRIM(A436)="","",
_xlfn.TEXTJOIN(" , ",TRUE,
IF((個体台帳!$A$2:$A$1000=TRIM(A436))*(個体台帳!$C$2:$C$1000="服"),
個体台帳!$B$2:$B$1000,
"")))</f>
        <v/>
      </c>
      <c r="C436" t="str">
        <f t="array" ref="C436">IF(TRIM(A436)="","",
_xlfn.TEXTJOIN(" , ",TRUE,
IF((個体台帳!$A$2:$A$1000=TRIM(A436))*(個体台帳!$C$2:$C$1000="小物1"),
個体台帳!$B$2:$B$1000,
"")))</f>
        <v/>
      </c>
      <c r="D436" t="str">
        <f t="array" ref="D436">IF(TRIM(A436)="","",
_xlfn.TEXTJOIN(" , ",TRUE,
IF((個体台帳!$A$2:$A$1000=TRIM(A436))*(個体台帳!$C$2:$C$1000="小物2"),
個体台帳!$B$2:$B$1000,
"")))</f>
        <v/>
      </c>
      <c r="E436" s="8" t="str">
        <f t="array" ref="E436">IF($A436="","",
INDEX(個体台帳!$D$2:$D$1000,
MATCH(1,
(個体台帳!$A$2:$A$1000=$A436)*
(個体台帳!$C$2:$C$1000="服"),
0)))</f>
        <v/>
      </c>
      <c r="F436" t="str">
        <f t="array" ref="F436">IF($A436="","",
IF(COUNTIFS(貸出記録!$B:$B,$A436,貸出記録!$E:$E,"")&gt;0,
"貸出中","在庫"))</f>
        <v/>
      </c>
      <c r="G436" t="s">
        <v>6</v>
      </c>
      <c r="H436" t="s">
        <v>6</v>
      </c>
      <c r="I436" t="s">
        <v>6</v>
      </c>
    </row>
    <row r="437" spans="1:9">
      <c r="A437" s="21" t="s">
        <v>6</v>
      </c>
      <c r="B437" t="str">
        <f t="array" ref="B437">IF(TRIM(A437)="","",
_xlfn.TEXTJOIN(" , ",TRUE,
IF((個体台帳!$A$2:$A$1000=TRIM(A437))*(個体台帳!$C$2:$C$1000="服"),
個体台帳!$B$2:$B$1000,
"")))</f>
        <v/>
      </c>
      <c r="C437" t="str">
        <f t="array" ref="C437">IF(TRIM(A437)="","",
_xlfn.TEXTJOIN(" , ",TRUE,
IF((個体台帳!$A$2:$A$1000=TRIM(A437))*(個体台帳!$C$2:$C$1000="小物1"),
個体台帳!$B$2:$B$1000,
"")))</f>
        <v/>
      </c>
      <c r="D437" t="str">
        <f t="array" ref="D437">IF(TRIM(A437)="","",
_xlfn.TEXTJOIN(" , ",TRUE,
IF((個体台帳!$A$2:$A$1000=TRIM(A437))*(個体台帳!$C$2:$C$1000="小物2"),
個体台帳!$B$2:$B$1000,
"")))</f>
        <v/>
      </c>
      <c r="E437" s="8" t="str">
        <f t="array" ref="E437">IF($A437="","",
INDEX(個体台帳!$D$2:$D$1000,
MATCH(1,
(個体台帳!$A$2:$A$1000=$A437)*
(個体台帳!$C$2:$C$1000="服"),
0)))</f>
        <v/>
      </c>
      <c r="F437" t="str">
        <f t="array" ref="F437">IF($A437="","",
IF(COUNTIFS(貸出記録!$B:$B,$A437,貸出記録!$E:$E,"")&gt;0,
"貸出中","在庫"))</f>
        <v/>
      </c>
      <c r="G437" t="s">
        <v>6</v>
      </c>
      <c r="H437" t="s">
        <v>6</v>
      </c>
      <c r="I437" t="s">
        <v>6</v>
      </c>
    </row>
    <row r="438" spans="1:9">
      <c r="A438" s="21" t="s">
        <v>6</v>
      </c>
      <c r="B438" t="str">
        <f t="array" ref="B438">IF(TRIM(A438)="","",
_xlfn.TEXTJOIN(" , ",TRUE,
IF((個体台帳!$A$2:$A$1000=TRIM(A438))*(個体台帳!$C$2:$C$1000="服"),
個体台帳!$B$2:$B$1000,
"")))</f>
        <v/>
      </c>
      <c r="C438" t="str">
        <f t="array" ref="C438">IF(TRIM(A438)="","",
_xlfn.TEXTJOIN(" , ",TRUE,
IF((個体台帳!$A$2:$A$1000=TRIM(A438))*(個体台帳!$C$2:$C$1000="小物1"),
個体台帳!$B$2:$B$1000,
"")))</f>
        <v/>
      </c>
      <c r="D438" t="str">
        <f t="array" ref="D438">IF(TRIM(A438)="","",
_xlfn.TEXTJOIN(" , ",TRUE,
IF((個体台帳!$A$2:$A$1000=TRIM(A438))*(個体台帳!$C$2:$C$1000="小物2"),
個体台帳!$B$2:$B$1000,
"")))</f>
        <v/>
      </c>
      <c r="E438" s="8" t="str">
        <f t="array" ref="E438">IF($A438="","",
INDEX(個体台帳!$D$2:$D$1000,
MATCH(1,
(個体台帳!$A$2:$A$1000=$A438)*
(個体台帳!$C$2:$C$1000="服"),
0)))</f>
        <v/>
      </c>
      <c r="F438" t="str">
        <f t="array" ref="F438">IF($A438="","",
IF(COUNTIFS(貸出記録!$B:$B,$A438,貸出記録!$E:$E,"")&gt;0,
"貸出中","在庫"))</f>
        <v/>
      </c>
      <c r="G438" t="s">
        <v>6</v>
      </c>
      <c r="H438" t="s">
        <v>6</v>
      </c>
      <c r="I438" t="s">
        <v>6</v>
      </c>
    </row>
    <row r="439" spans="1:9">
      <c r="A439" s="21" t="s">
        <v>6</v>
      </c>
      <c r="B439" t="str">
        <f t="array" ref="B439">IF(TRIM(A439)="","",
_xlfn.TEXTJOIN(" , ",TRUE,
IF((個体台帳!$A$2:$A$1000=TRIM(A439))*(個体台帳!$C$2:$C$1000="服"),
個体台帳!$B$2:$B$1000,
"")))</f>
        <v/>
      </c>
      <c r="C439" t="str">
        <f t="array" ref="C439">IF(TRIM(A439)="","",
_xlfn.TEXTJOIN(" , ",TRUE,
IF((個体台帳!$A$2:$A$1000=TRIM(A439))*(個体台帳!$C$2:$C$1000="小物1"),
個体台帳!$B$2:$B$1000,
"")))</f>
        <v/>
      </c>
      <c r="D439" t="str">
        <f t="array" ref="D439">IF(TRIM(A439)="","",
_xlfn.TEXTJOIN(" , ",TRUE,
IF((個体台帳!$A$2:$A$1000=TRIM(A439))*(個体台帳!$C$2:$C$1000="小物2"),
個体台帳!$B$2:$B$1000,
"")))</f>
        <v/>
      </c>
      <c r="E439" s="8" t="str">
        <f t="array" ref="E439">IF($A439="","",
INDEX(個体台帳!$D$2:$D$1000,
MATCH(1,
(個体台帳!$A$2:$A$1000=$A439)*
(個体台帳!$C$2:$C$1000="服"),
0)))</f>
        <v/>
      </c>
      <c r="F439" t="str">
        <f t="array" ref="F439">IF($A439="","",
IF(COUNTIFS(貸出記録!$B:$B,$A439,貸出記録!$E:$E,"")&gt;0,
"貸出中","在庫"))</f>
        <v/>
      </c>
      <c r="G439" t="s">
        <v>6</v>
      </c>
      <c r="H439" t="s">
        <v>6</v>
      </c>
      <c r="I439" t="s">
        <v>6</v>
      </c>
    </row>
    <row r="440" spans="1:9">
      <c r="A440" s="21" t="s">
        <v>6</v>
      </c>
      <c r="B440" t="str">
        <f t="array" ref="B440">IF(TRIM(A440)="","",
_xlfn.TEXTJOIN(" , ",TRUE,
IF((個体台帳!$A$2:$A$1000=TRIM(A440))*(個体台帳!$C$2:$C$1000="服"),
個体台帳!$B$2:$B$1000,
"")))</f>
        <v/>
      </c>
      <c r="C440" t="str">
        <f t="array" ref="C440">IF(TRIM(A440)="","",
_xlfn.TEXTJOIN(" , ",TRUE,
IF((個体台帳!$A$2:$A$1000=TRIM(A440))*(個体台帳!$C$2:$C$1000="小物1"),
個体台帳!$B$2:$B$1000,
"")))</f>
        <v/>
      </c>
      <c r="D440" t="str">
        <f t="array" ref="D440">IF(TRIM(A440)="","",
_xlfn.TEXTJOIN(" , ",TRUE,
IF((個体台帳!$A$2:$A$1000=TRIM(A440))*(個体台帳!$C$2:$C$1000="小物2"),
個体台帳!$B$2:$B$1000,
"")))</f>
        <v/>
      </c>
      <c r="E440" s="8" t="str">
        <f t="array" ref="E440">IF($A440="","",
INDEX(個体台帳!$D$2:$D$1000,
MATCH(1,
(個体台帳!$A$2:$A$1000=$A440)*
(個体台帳!$C$2:$C$1000="服"),
0)))</f>
        <v/>
      </c>
      <c r="F440" t="str">
        <f t="array" ref="F440">IF($A440="","",
IF(COUNTIFS(貸出記録!$B:$B,$A440,貸出記録!$E:$E,"")&gt;0,
"貸出中","在庫"))</f>
        <v/>
      </c>
      <c r="G440" t="s">
        <v>6</v>
      </c>
      <c r="H440" t="s">
        <v>6</v>
      </c>
      <c r="I440" t="s">
        <v>6</v>
      </c>
    </row>
    <row r="441" spans="1:9">
      <c r="A441" s="21" t="s">
        <v>6</v>
      </c>
      <c r="B441" t="str">
        <f t="array" ref="B441">IF(TRIM(A441)="","",
_xlfn.TEXTJOIN(" , ",TRUE,
IF((個体台帳!$A$2:$A$1000=TRIM(A441))*(個体台帳!$C$2:$C$1000="服"),
個体台帳!$B$2:$B$1000,
"")))</f>
        <v/>
      </c>
      <c r="C441" t="str">
        <f t="array" ref="C441">IF(TRIM(A441)="","",
_xlfn.TEXTJOIN(" , ",TRUE,
IF((個体台帳!$A$2:$A$1000=TRIM(A441))*(個体台帳!$C$2:$C$1000="小物1"),
個体台帳!$B$2:$B$1000,
"")))</f>
        <v/>
      </c>
      <c r="D441" t="str">
        <f t="array" ref="D441">IF(TRIM(A441)="","",
_xlfn.TEXTJOIN(" , ",TRUE,
IF((個体台帳!$A$2:$A$1000=TRIM(A441))*(個体台帳!$C$2:$C$1000="小物2"),
個体台帳!$B$2:$B$1000,
"")))</f>
        <v/>
      </c>
      <c r="E441" s="8" t="str">
        <f t="array" ref="E441">IF($A441="","",
INDEX(個体台帳!$D$2:$D$1000,
MATCH(1,
(個体台帳!$A$2:$A$1000=$A441)*
(個体台帳!$C$2:$C$1000="服"),
0)))</f>
        <v/>
      </c>
      <c r="F441" t="str">
        <f t="array" ref="F441">IF($A441="","",
IF(COUNTIFS(貸出記録!$B:$B,$A441,貸出記録!$E:$E,"")&gt;0,
"貸出中","在庫"))</f>
        <v/>
      </c>
      <c r="G441" t="s">
        <v>6</v>
      </c>
      <c r="H441" t="s">
        <v>6</v>
      </c>
      <c r="I441" t="s">
        <v>6</v>
      </c>
    </row>
    <row r="442" spans="1:9">
      <c r="A442" s="21" t="s">
        <v>6</v>
      </c>
      <c r="B442" t="str">
        <f t="array" ref="B442">IF(TRIM(A442)="","",
_xlfn.TEXTJOIN(" , ",TRUE,
IF((個体台帳!$A$2:$A$1000=TRIM(A442))*(個体台帳!$C$2:$C$1000="服"),
個体台帳!$B$2:$B$1000,
"")))</f>
        <v/>
      </c>
      <c r="C442" t="str">
        <f t="array" ref="C442">IF(TRIM(A442)="","",
_xlfn.TEXTJOIN(" , ",TRUE,
IF((個体台帳!$A$2:$A$1000=TRIM(A442))*(個体台帳!$C$2:$C$1000="小物1"),
個体台帳!$B$2:$B$1000,
"")))</f>
        <v/>
      </c>
      <c r="D442" t="str">
        <f t="array" ref="D442">IF(TRIM(A442)="","",
_xlfn.TEXTJOIN(" , ",TRUE,
IF((個体台帳!$A$2:$A$1000=TRIM(A442))*(個体台帳!$C$2:$C$1000="小物2"),
個体台帳!$B$2:$B$1000,
"")))</f>
        <v/>
      </c>
      <c r="E442" s="8" t="str">
        <f t="array" ref="E442">IF($A442="","",
INDEX(個体台帳!$D$2:$D$1000,
MATCH(1,
(個体台帳!$A$2:$A$1000=$A442)*
(個体台帳!$C$2:$C$1000="服"),
0)))</f>
        <v/>
      </c>
      <c r="F442" t="str">
        <f t="array" ref="F442">IF($A442="","",
IF(COUNTIFS(貸出記録!$B:$B,$A442,貸出記録!$E:$E,"")&gt;0,
"貸出中","在庫"))</f>
        <v/>
      </c>
      <c r="G442" t="s">
        <v>6</v>
      </c>
      <c r="H442" t="s">
        <v>6</v>
      </c>
      <c r="I442" t="s">
        <v>6</v>
      </c>
    </row>
    <row r="443" spans="1:9">
      <c r="A443" s="21" t="s">
        <v>6</v>
      </c>
      <c r="B443" t="str">
        <f t="array" ref="B443">IF(TRIM(A443)="","",
_xlfn.TEXTJOIN(" , ",TRUE,
IF((個体台帳!$A$2:$A$1000=TRIM(A443))*(個体台帳!$C$2:$C$1000="服"),
個体台帳!$B$2:$B$1000,
"")))</f>
        <v/>
      </c>
      <c r="C443" t="str">
        <f t="array" ref="C443">IF(TRIM(A443)="","",
_xlfn.TEXTJOIN(" , ",TRUE,
IF((個体台帳!$A$2:$A$1000=TRIM(A443))*(個体台帳!$C$2:$C$1000="小物1"),
個体台帳!$B$2:$B$1000,
"")))</f>
        <v/>
      </c>
      <c r="D443" t="str">
        <f t="array" ref="D443">IF(TRIM(A443)="","",
_xlfn.TEXTJOIN(" , ",TRUE,
IF((個体台帳!$A$2:$A$1000=TRIM(A443))*(個体台帳!$C$2:$C$1000="小物2"),
個体台帳!$B$2:$B$1000,
"")))</f>
        <v/>
      </c>
      <c r="E443" s="8" t="str">
        <f t="array" ref="E443">IF($A443="","",
INDEX(個体台帳!$D$2:$D$1000,
MATCH(1,
(個体台帳!$A$2:$A$1000=$A443)*
(個体台帳!$C$2:$C$1000="服"),
0)))</f>
        <v/>
      </c>
      <c r="F443" t="str">
        <f t="array" ref="F443">IF($A443="","",
IF(COUNTIFS(貸出記録!$B:$B,$A443,貸出記録!$E:$E,"")&gt;0,
"貸出中","在庫"))</f>
        <v/>
      </c>
      <c r="G443" t="s">
        <v>6</v>
      </c>
      <c r="H443" t="s">
        <v>6</v>
      </c>
      <c r="I443" t="s">
        <v>6</v>
      </c>
    </row>
    <row r="444" spans="1:9">
      <c r="A444" s="21" t="s">
        <v>6</v>
      </c>
      <c r="B444" t="str">
        <f t="array" ref="B444">IF(TRIM(A444)="","",
_xlfn.TEXTJOIN(" , ",TRUE,
IF((個体台帳!$A$2:$A$1000=TRIM(A444))*(個体台帳!$C$2:$C$1000="服"),
個体台帳!$B$2:$B$1000,
"")))</f>
        <v/>
      </c>
      <c r="C444" t="str">
        <f t="array" ref="C444">IF(TRIM(A444)="","",
_xlfn.TEXTJOIN(" , ",TRUE,
IF((個体台帳!$A$2:$A$1000=TRIM(A444))*(個体台帳!$C$2:$C$1000="小物1"),
個体台帳!$B$2:$B$1000,
"")))</f>
        <v/>
      </c>
      <c r="D444" t="str">
        <f t="array" ref="D444">IF(TRIM(A444)="","",
_xlfn.TEXTJOIN(" , ",TRUE,
IF((個体台帳!$A$2:$A$1000=TRIM(A444))*(個体台帳!$C$2:$C$1000="小物2"),
個体台帳!$B$2:$B$1000,
"")))</f>
        <v/>
      </c>
      <c r="E444" s="8" t="str">
        <f t="array" ref="E444">IF($A444="","",
INDEX(個体台帳!$D$2:$D$1000,
MATCH(1,
(個体台帳!$A$2:$A$1000=$A444)*
(個体台帳!$C$2:$C$1000="服"),
0)))</f>
        <v/>
      </c>
      <c r="F444" t="str">
        <f t="array" ref="F444">IF($A444="","",
IF(COUNTIFS(貸出記録!$B:$B,$A444,貸出記録!$E:$E,"")&gt;0,
"貸出中","在庫"))</f>
        <v/>
      </c>
      <c r="G444" t="s">
        <v>6</v>
      </c>
      <c r="H444" t="s">
        <v>6</v>
      </c>
      <c r="I444" t="s">
        <v>6</v>
      </c>
    </row>
    <row r="445" spans="1:9">
      <c r="A445" s="21" t="s">
        <v>6</v>
      </c>
      <c r="B445" t="str">
        <f t="array" ref="B445">IF(TRIM(A445)="","",
_xlfn.TEXTJOIN(" , ",TRUE,
IF((個体台帳!$A$2:$A$1000=TRIM(A445))*(個体台帳!$C$2:$C$1000="服"),
個体台帳!$B$2:$B$1000,
"")))</f>
        <v/>
      </c>
      <c r="C445" t="str">
        <f t="array" ref="C445">IF(TRIM(A445)="","",
_xlfn.TEXTJOIN(" , ",TRUE,
IF((個体台帳!$A$2:$A$1000=TRIM(A445))*(個体台帳!$C$2:$C$1000="小物1"),
個体台帳!$B$2:$B$1000,
"")))</f>
        <v/>
      </c>
      <c r="D445" t="str">
        <f t="array" ref="D445">IF(TRIM(A445)="","",
_xlfn.TEXTJOIN(" , ",TRUE,
IF((個体台帳!$A$2:$A$1000=TRIM(A445))*(個体台帳!$C$2:$C$1000="小物2"),
個体台帳!$B$2:$B$1000,
"")))</f>
        <v/>
      </c>
      <c r="E445" s="8" t="str">
        <f t="array" ref="E445">IF($A445="","",
INDEX(個体台帳!$D$2:$D$1000,
MATCH(1,
(個体台帳!$A$2:$A$1000=$A445)*
(個体台帳!$C$2:$C$1000="服"),
0)))</f>
        <v/>
      </c>
      <c r="F445" t="str">
        <f t="array" ref="F445">IF($A445="","",
IF(COUNTIFS(貸出記録!$B:$B,$A445,貸出記録!$E:$E,"")&gt;0,
"貸出中","在庫"))</f>
        <v/>
      </c>
      <c r="G445" t="s">
        <v>6</v>
      </c>
      <c r="H445" t="s">
        <v>6</v>
      </c>
      <c r="I445" t="s">
        <v>6</v>
      </c>
    </row>
    <row r="446" spans="1:9">
      <c r="A446" s="21" t="s">
        <v>6</v>
      </c>
      <c r="B446" t="str">
        <f t="array" ref="B446">IF(TRIM(A446)="","",
_xlfn.TEXTJOIN(" , ",TRUE,
IF((個体台帳!$A$2:$A$1000=TRIM(A446))*(個体台帳!$C$2:$C$1000="服"),
個体台帳!$B$2:$B$1000,
"")))</f>
        <v/>
      </c>
      <c r="C446" t="str">
        <f t="array" ref="C446">IF(TRIM(A446)="","",
_xlfn.TEXTJOIN(" , ",TRUE,
IF((個体台帳!$A$2:$A$1000=TRIM(A446))*(個体台帳!$C$2:$C$1000="小物1"),
個体台帳!$B$2:$B$1000,
"")))</f>
        <v/>
      </c>
      <c r="D446" t="str">
        <f t="array" ref="D446">IF(TRIM(A446)="","",
_xlfn.TEXTJOIN(" , ",TRUE,
IF((個体台帳!$A$2:$A$1000=TRIM(A446))*(個体台帳!$C$2:$C$1000="小物2"),
個体台帳!$B$2:$B$1000,
"")))</f>
        <v/>
      </c>
      <c r="E446" s="8" t="str">
        <f t="array" ref="E446">IF($A446="","",
INDEX(個体台帳!$D$2:$D$1000,
MATCH(1,
(個体台帳!$A$2:$A$1000=$A446)*
(個体台帳!$C$2:$C$1000="服"),
0)))</f>
        <v/>
      </c>
      <c r="F446" t="str">
        <f t="array" ref="F446">IF($A446="","",
IF(COUNTIFS(貸出記録!$B:$B,$A446,貸出記録!$E:$E,"")&gt;0,
"貸出中","在庫"))</f>
        <v/>
      </c>
      <c r="G446" t="s">
        <v>6</v>
      </c>
      <c r="H446" t="s">
        <v>6</v>
      </c>
      <c r="I446" t="s">
        <v>6</v>
      </c>
    </row>
    <row r="447" spans="1:9">
      <c r="A447" s="21" t="s">
        <v>6</v>
      </c>
      <c r="B447" t="str">
        <f t="array" ref="B447">IF(TRIM(A447)="","",
_xlfn.TEXTJOIN(" , ",TRUE,
IF((個体台帳!$A$2:$A$1000=TRIM(A447))*(個体台帳!$C$2:$C$1000="服"),
個体台帳!$B$2:$B$1000,
"")))</f>
        <v/>
      </c>
      <c r="C447" t="str">
        <f t="array" ref="C447">IF(TRIM(A447)="","",
_xlfn.TEXTJOIN(" , ",TRUE,
IF((個体台帳!$A$2:$A$1000=TRIM(A447))*(個体台帳!$C$2:$C$1000="小物1"),
個体台帳!$B$2:$B$1000,
"")))</f>
        <v/>
      </c>
      <c r="D447" t="str">
        <f t="array" ref="D447">IF(TRIM(A447)="","",
_xlfn.TEXTJOIN(" , ",TRUE,
IF((個体台帳!$A$2:$A$1000=TRIM(A447))*(個体台帳!$C$2:$C$1000="小物2"),
個体台帳!$B$2:$B$1000,
"")))</f>
        <v/>
      </c>
      <c r="E447" s="8" t="str">
        <f t="array" ref="E447">IF($A447="","",
INDEX(個体台帳!$D$2:$D$1000,
MATCH(1,
(個体台帳!$A$2:$A$1000=$A447)*
(個体台帳!$C$2:$C$1000="服"),
0)))</f>
        <v/>
      </c>
      <c r="F447" t="str">
        <f t="array" ref="F447">IF($A447="","",
IF(COUNTIFS(貸出記録!$B:$B,$A447,貸出記録!$E:$E,"")&gt;0,
"貸出中","在庫"))</f>
        <v/>
      </c>
      <c r="G447" t="s">
        <v>6</v>
      </c>
      <c r="H447" t="s">
        <v>6</v>
      </c>
      <c r="I447" t="s">
        <v>6</v>
      </c>
    </row>
    <row r="448" spans="1:9">
      <c r="A448" s="21" t="s">
        <v>6</v>
      </c>
      <c r="B448" t="str">
        <f t="array" ref="B448">IF(TRIM(A448)="","",
_xlfn.TEXTJOIN(" , ",TRUE,
IF((個体台帳!$A$2:$A$1000=TRIM(A448))*(個体台帳!$C$2:$C$1000="服"),
個体台帳!$B$2:$B$1000,
"")))</f>
        <v/>
      </c>
      <c r="C448" t="str">
        <f t="array" ref="C448">IF(TRIM(A448)="","",
_xlfn.TEXTJOIN(" , ",TRUE,
IF((個体台帳!$A$2:$A$1000=TRIM(A448))*(個体台帳!$C$2:$C$1000="小物1"),
個体台帳!$B$2:$B$1000,
"")))</f>
        <v/>
      </c>
      <c r="D448" t="str">
        <f t="array" ref="D448">IF(TRIM(A448)="","",
_xlfn.TEXTJOIN(" , ",TRUE,
IF((個体台帳!$A$2:$A$1000=TRIM(A448))*(個体台帳!$C$2:$C$1000="小物2"),
個体台帳!$B$2:$B$1000,
"")))</f>
        <v/>
      </c>
      <c r="E448" s="8" t="str">
        <f t="array" ref="E448">IF($A448="","",
INDEX(個体台帳!$D$2:$D$1000,
MATCH(1,
(個体台帳!$A$2:$A$1000=$A448)*
(個体台帳!$C$2:$C$1000="服"),
0)))</f>
        <v/>
      </c>
      <c r="F448" t="str">
        <f t="array" ref="F448">IF($A448="","",
IF(COUNTIFS(貸出記録!$B:$B,$A448,貸出記録!$E:$E,"")&gt;0,
"貸出中","在庫"))</f>
        <v/>
      </c>
      <c r="G448" t="s">
        <v>6</v>
      </c>
      <c r="H448" t="s">
        <v>6</v>
      </c>
      <c r="I448" t="s">
        <v>6</v>
      </c>
    </row>
    <row r="449" spans="1:9">
      <c r="A449" s="21" t="s">
        <v>6</v>
      </c>
      <c r="B449" t="str">
        <f t="array" ref="B449">IF(TRIM(A449)="","",
_xlfn.TEXTJOIN(" , ",TRUE,
IF((個体台帳!$A$2:$A$1000=TRIM(A449))*(個体台帳!$C$2:$C$1000="服"),
個体台帳!$B$2:$B$1000,
"")))</f>
        <v/>
      </c>
      <c r="C449" t="str">
        <f t="array" ref="C449">IF(TRIM(A449)="","",
_xlfn.TEXTJOIN(" , ",TRUE,
IF((個体台帳!$A$2:$A$1000=TRIM(A449))*(個体台帳!$C$2:$C$1000="小物1"),
個体台帳!$B$2:$B$1000,
"")))</f>
        <v/>
      </c>
      <c r="D449" t="str">
        <f t="array" ref="D449">IF(TRIM(A449)="","",
_xlfn.TEXTJOIN(" , ",TRUE,
IF((個体台帳!$A$2:$A$1000=TRIM(A449))*(個体台帳!$C$2:$C$1000="小物2"),
個体台帳!$B$2:$B$1000,
"")))</f>
        <v/>
      </c>
      <c r="E449" s="8" t="str">
        <f t="array" ref="E449">IF($A449="","",
INDEX(個体台帳!$D$2:$D$1000,
MATCH(1,
(個体台帳!$A$2:$A$1000=$A449)*
(個体台帳!$C$2:$C$1000="服"),
0)))</f>
        <v/>
      </c>
      <c r="F449" t="str">
        <f t="array" ref="F449">IF($A449="","",
IF(COUNTIFS(貸出記録!$B:$B,$A449,貸出記録!$E:$E,"")&gt;0,
"貸出中","在庫"))</f>
        <v/>
      </c>
      <c r="G449" t="s">
        <v>6</v>
      </c>
      <c r="H449" t="s">
        <v>6</v>
      </c>
      <c r="I449" t="s">
        <v>6</v>
      </c>
    </row>
    <row r="450" spans="1:9">
      <c r="A450" s="21" t="s">
        <v>6</v>
      </c>
      <c r="B450" t="str">
        <f t="array" ref="B450">IF(TRIM(A450)="","",
_xlfn.TEXTJOIN(" , ",TRUE,
IF((個体台帳!$A$2:$A$1000=TRIM(A450))*(個体台帳!$C$2:$C$1000="服"),
個体台帳!$B$2:$B$1000,
"")))</f>
        <v/>
      </c>
      <c r="C450" t="str">
        <f t="array" ref="C450">IF(TRIM(A450)="","",
_xlfn.TEXTJOIN(" , ",TRUE,
IF((個体台帳!$A$2:$A$1000=TRIM(A450))*(個体台帳!$C$2:$C$1000="小物1"),
個体台帳!$B$2:$B$1000,
"")))</f>
        <v/>
      </c>
      <c r="D450" t="str">
        <f t="array" ref="D450">IF(TRIM(A450)="","",
_xlfn.TEXTJOIN(" , ",TRUE,
IF((個体台帳!$A$2:$A$1000=TRIM(A450))*(個体台帳!$C$2:$C$1000="小物2"),
個体台帳!$B$2:$B$1000,
"")))</f>
        <v/>
      </c>
      <c r="E450" s="8" t="str">
        <f t="array" ref="E450">IF($A450="","",
INDEX(個体台帳!$D$2:$D$1000,
MATCH(1,
(個体台帳!$A$2:$A$1000=$A450)*
(個体台帳!$C$2:$C$1000="服"),
0)))</f>
        <v/>
      </c>
      <c r="F450" t="str">
        <f t="array" ref="F450">IF($A450="","",
IF(COUNTIFS(貸出記録!$B:$B,$A450,貸出記録!$E:$E,"")&gt;0,
"貸出中","在庫"))</f>
        <v/>
      </c>
      <c r="G450" t="s">
        <v>6</v>
      </c>
      <c r="H450" t="s">
        <v>6</v>
      </c>
      <c r="I450" t="s">
        <v>6</v>
      </c>
    </row>
    <row r="451" spans="1:9">
      <c r="A451" s="21" t="s">
        <v>6</v>
      </c>
      <c r="B451" t="str">
        <f t="array" ref="B451">IF(TRIM(A451)="","",
_xlfn.TEXTJOIN(" , ",TRUE,
IF((個体台帳!$A$2:$A$1000=TRIM(A451))*(個体台帳!$C$2:$C$1000="服"),
個体台帳!$B$2:$B$1000,
"")))</f>
        <v/>
      </c>
      <c r="C451" t="str">
        <f t="array" ref="C451">IF(TRIM(A451)="","",
_xlfn.TEXTJOIN(" , ",TRUE,
IF((個体台帳!$A$2:$A$1000=TRIM(A451))*(個体台帳!$C$2:$C$1000="小物1"),
個体台帳!$B$2:$B$1000,
"")))</f>
        <v/>
      </c>
      <c r="D451" t="str">
        <f t="array" ref="D451">IF(TRIM(A451)="","",
_xlfn.TEXTJOIN(" , ",TRUE,
IF((個体台帳!$A$2:$A$1000=TRIM(A451))*(個体台帳!$C$2:$C$1000="小物2"),
個体台帳!$B$2:$B$1000,
"")))</f>
        <v/>
      </c>
      <c r="E451" s="8" t="str">
        <f t="array" ref="E451">IF($A451="","",
INDEX(個体台帳!$D$2:$D$1000,
MATCH(1,
(個体台帳!$A$2:$A$1000=$A451)*
(個体台帳!$C$2:$C$1000="服"),
0)))</f>
        <v/>
      </c>
      <c r="F451" t="str">
        <f t="array" ref="F451">IF($A451="","",
IF(COUNTIFS(貸出記録!$B:$B,$A451,貸出記録!$E:$E,"")&gt;0,
"貸出中","在庫"))</f>
        <v/>
      </c>
      <c r="G451" t="s">
        <v>6</v>
      </c>
      <c r="H451" t="s">
        <v>6</v>
      </c>
      <c r="I451" t="s">
        <v>6</v>
      </c>
    </row>
    <row r="452" spans="1:9">
      <c r="A452" s="21" t="s">
        <v>6</v>
      </c>
      <c r="B452" t="str">
        <f t="array" ref="B452">IF(TRIM(A452)="","",
_xlfn.TEXTJOIN(" , ",TRUE,
IF((個体台帳!$A$2:$A$1000=TRIM(A452))*(個体台帳!$C$2:$C$1000="服"),
個体台帳!$B$2:$B$1000,
"")))</f>
        <v/>
      </c>
      <c r="C452" t="str">
        <f t="array" ref="C452">IF(TRIM(A452)="","",
_xlfn.TEXTJOIN(" , ",TRUE,
IF((個体台帳!$A$2:$A$1000=TRIM(A452))*(個体台帳!$C$2:$C$1000="小物1"),
個体台帳!$B$2:$B$1000,
"")))</f>
        <v/>
      </c>
      <c r="D452" t="str">
        <f t="array" ref="D452">IF(TRIM(A452)="","",
_xlfn.TEXTJOIN(" , ",TRUE,
IF((個体台帳!$A$2:$A$1000=TRIM(A452))*(個体台帳!$C$2:$C$1000="小物2"),
個体台帳!$B$2:$B$1000,
"")))</f>
        <v/>
      </c>
      <c r="E452" s="8" t="str">
        <f t="array" ref="E452">IF($A452="","",
INDEX(個体台帳!$D$2:$D$1000,
MATCH(1,
(個体台帳!$A$2:$A$1000=$A452)*
(個体台帳!$C$2:$C$1000="服"),
0)))</f>
        <v/>
      </c>
      <c r="F452" t="str">
        <f t="array" ref="F452">IF($A452="","",
IF(COUNTIFS(貸出記録!$B:$B,$A452,貸出記録!$E:$E,"")&gt;0,
"貸出中","在庫"))</f>
        <v/>
      </c>
      <c r="G452" t="s">
        <v>6</v>
      </c>
      <c r="H452" t="s">
        <v>6</v>
      </c>
      <c r="I452" t="s">
        <v>6</v>
      </c>
    </row>
    <row r="453" spans="1:9">
      <c r="A453" s="21" t="s">
        <v>6</v>
      </c>
      <c r="B453" t="str">
        <f t="array" ref="B453">IF(TRIM(A453)="","",
_xlfn.TEXTJOIN(" , ",TRUE,
IF((個体台帳!$A$2:$A$1000=TRIM(A453))*(個体台帳!$C$2:$C$1000="服"),
個体台帳!$B$2:$B$1000,
"")))</f>
        <v/>
      </c>
      <c r="C453" t="str">
        <f t="array" ref="C453">IF(TRIM(A453)="","",
_xlfn.TEXTJOIN(" , ",TRUE,
IF((個体台帳!$A$2:$A$1000=TRIM(A453))*(個体台帳!$C$2:$C$1000="小物1"),
個体台帳!$B$2:$B$1000,
"")))</f>
        <v/>
      </c>
      <c r="D453" t="str">
        <f t="array" ref="D453">IF(TRIM(A453)="","",
_xlfn.TEXTJOIN(" , ",TRUE,
IF((個体台帳!$A$2:$A$1000=TRIM(A453))*(個体台帳!$C$2:$C$1000="小物2"),
個体台帳!$B$2:$B$1000,
"")))</f>
        <v/>
      </c>
      <c r="E453" s="8" t="str">
        <f t="array" ref="E453">IF($A453="","",
INDEX(個体台帳!$D$2:$D$1000,
MATCH(1,
(個体台帳!$A$2:$A$1000=$A453)*
(個体台帳!$C$2:$C$1000="服"),
0)))</f>
        <v/>
      </c>
      <c r="F453" t="str">
        <f t="array" ref="F453">IF($A453="","",
IF(COUNTIFS(貸出記録!$B:$B,$A453,貸出記録!$E:$E,"")&gt;0,
"貸出中","在庫"))</f>
        <v/>
      </c>
      <c r="G453" t="s">
        <v>6</v>
      </c>
      <c r="H453" t="s">
        <v>6</v>
      </c>
      <c r="I453" t="s">
        <v>6</v>
      </c>
    </row>
    <row r="454" spans="1:9">
      <c r="A454" s="21" t="s">
        <v>6</v>
      </c>
      <c r="B454" t="str">
        <f t="array" ref="B454">IF(TRIM(A454)="","",
_xlfn.TEXTJOIN(" , ",TRUE,
IF((個体台帳!$A$2:$A$1000=TRIM(A454))*(個体台帳!$C$2:$C$1000="服"),
個体台帳!$B$2:$B$1000,
"")))</f>
        <v/>
      </c>
      <c r="C454" t="str">
        <f t="array" ref="C454">IF(TRIM(A454)="","",
_xlfn.TEXTJOIN(" , ",TRUE,
IF((個体台帳!$A$2:$A$1000=TRIM(A454))*(個体台帳!$C$2:$C$1000="小物1"),
個体台帳!$B$2:$B$1000,
"")))</f>
        <v/>
      </c>
      <c r="D454" t="str">
        <f t="array" ref="D454">IF(TRIM(A454)="","",
_xlfn.TEXTJOIN(" , ",TRUE,
IF((個体台帳!$A$2:$A$1000=TRIM(A454))*(個体台帳!$C$2:$C$1000="小物2"),
個体台帳!$B$2:$B$1000,
"")))</f>
        <v/>
      </c>
      <c r="E454" s="8" t="str">
        <f t="array" ref="E454">IF($A454="","",
INDEX(個体台帳!$D$2:$D$1000,
MATCH(1,
(個体台帳!$A$2:$A$1000=$A454)*
(個体台帳!$C$2:$C$1000="服"),
0)))</f>
        <v/>
      </c>
      <c r="F454" t="str">
        <f t="array" ref="F454">IF($A454="","",
IF(COUNTIFS(貸出記録!$B:$B,$A454,貸出記録!$E:$E,"")&gt;0,
"貸出中","在庫"))</f>
        <v/>
      </c>
      <c r="G454" t="s">
        <v>6</v>
      </c>
      <c r="H454" t="s">
        <v>6</v>
      </c>
      <c r="I454" t="s">
        <v>6</v>
      </c>
    </row>
    <row r="455" spans="1:9">
      <c r="A455" s="21" t="s">
        <v>6</v>
      </c>
      <c r="B455" t="str">
        <f t="array" ref="B455">IF(TRIM(A455)="","",
_xlfn.TEXTJOIN(" , ",TRUE,
IF((個体台帳!$A$2:$A$1000=TRIM(A455))*(個体台帳!$C$2:$C$1000="服"),
個体台帳!$B$2:$B$1000,
"")))</f>
        <v/>
      </c>
      <c r="C455" t="str">
        <f t="array" ref="C455">IF(TRIM(A455)="","",
_xlfn.TEXTJOIN(" , ",TRUE,
IF((個体台帳!$A$2:$A$1000=TRIM(A455))*(個体台帳!$C$2:$C$1000="小物1"),
個体台帳!$B$2:$B$1000,
"")))</f>
        <v/>
      </c>
      <c r="D455" t="str">
        <f t="array" ref="D455">IF(TRIM(A455)="","",
_xlfn.TEXTJOIN(" , ",TRUE,
IF((個体台帳!$A$2:$A$1000=TRIM(A455))*(個体台帳!$C$2:$C$1000="小物2"),
個体台帳!$B$2:$B$1000,
"")))</f>
        <v/>
      </c>
      <c r="E455" s="8" t="str">
        <f t="array" ref="E455">IF($A455="","",
INDEX(個体台帳!$D$2:$D$1000,
MATCH(1,
(個体台帳!$A$2:$A$1000=$A455)*
(個体台帳!$C$2:$C$1000="服"),
0)))</f>
        <v/>
      </c>
      <c r="F455" t="str">
        <f t="array" ref="F455">IF($A455="","",
IF(COUNTIFS(貸出記録!$B:$B,$A455,貸出記録!$E:$E,"")&gt;0,
"貸出中","在庫"))</f>
        <v/>
      </c>
      <c r="G455" t="s">
        <v>6</v>
      </c>
      <c r="H455" t="s">
        <v>6</v>
      </c>
      <c r="I455" t="s">
        <v>6</v>
      </c>
    </row>
    <row r="456" spans="1:9">
      <c r="A456" s="21" t="s">
        <v>6</v>
      </c>
      <c r="B456" t="str">
        <f t="array" ref="B456">IF(TRIM(A456)="","",
_xlfn.TEXTJOIN(" , ",TRUE,
IF((個体台帳!$A$2:$A$1000=TRIM(A456))*(個体台帳!$C$2:$C$1000="服"),
個体台帳!$B$2:$B$1000,
"")))</f>
        <v/>
      </c>
      <c r="C456" t="str">
        <f t="array" ref="C456">IF(TRIM(A456)="","",
_xlfn.TEXTJOIN(" , ",TRUE,
IF((個体台帳!$A$2:$A$1000=TRIM(A456))*(個体台帳!$C$2:$C$1000="小物1"),
個体台帳!$B$2:$B$1000,
"")))</f>
        <v/>
      </c>
      <c r="D456" t="str">
        <f t="array" ref="D456">IF(TRIM(A456)="","",
_xlfn.TEXTJOIN(" , ",TRUE,
IF((個体台帳!$A$2:$A$1000=TRIM(A456))*(個体台帳!$C$2:$C$1000="小物2"),
個体台帳!$B$2:$B$1000,
"")))</f>
        <v/>
      </c>
      <c r="E456" s="8" t="str">
        <f t="array" ref="E456">IF($A456="","",
INDEX(個体台帳!$D$2:$D$1000,
MATCH(1,
(個体台帳!$A$2:$A$1000=$A456)*
(個体台帳!$C$2:$C$1000="服"),
0)))</f>
        <v/>
      </c>
      <c r="F456" t="str">
        <f t="array" ref="F456">IF($A456="","",
IF(COUNTIFS(貸出記録!$B:$B,$A456,貸出記録!$E:$E,"")&gt;0,
"貸出中","在庫"))</f>
        <v/>
      </c>
      <c r="G456" t="s">
        <v>6</v>
      </c>
      <c r="H456" t="s">
        <v>6</v>
      </c>
      <c r="I456" t="s">
        <v>6</v>
      </c>
    </row>
    <row r="457" spans="1:9">
      <c r="A457" s="21" t="s">
        <v>6</v>
      </c>
      <c r="B457" t="str">
        <f t="array" ref="B457">IF(TRIM(A457)="","",
_xlfn.TEXTJOIN(" , ",TRUE,
IF((個体台帳!$A$2:$A$1000=TRIM(A457))*(個体台帳!$C$2:$C$1000="服"),
個体台帳!$B$2:$B$1000,
"")))</f>
        <v/>
      </c>
      <c r="C457" t="str">
        <f t="array" ref="C457">IF(TRIM(A457)="","",
_xlfn.TEXTJOIN(" , ",TRUE,
IF((個体台帳!$A$2:$A$1000=TRIM(A457))*(個体台帳!$C$2:$C$1000="小物1"),
個体台帳!$B$2:$B$1000,
"")))</f>
        <v/>
      </c>
      <c r="D457" t="str">
        <f t="array" ref="D457">IF(TRIM(A457)="","",
_xlfn.TEXTJOIN(" , ",TRUE,
IF((個体台帳!$A$2:$A$1000=TRIM(A457))*(個体台帳!$C$2:$C$1000="小物2"),
個体台帳!$B$2:$B$1000,
"")))</f>
        <v/>
      </c>
      <c r="E457" s="8" t="str">
        <f t="array" ref="E457">IF($A457="","",
INDEX(個体台帳!$D$2:$D$1000,
MATCH(1,
(個体台帳!$A$2:$A$1000=$A457)*
(個体台帳!$C$2:$C$1000="服"),
0)))</f>
        <v/>
      </c>
      <c r="F457" t="str">
        <f t="array" ref="F457">IF($A457="","",
IF(COUNTIFS(貸出記録!$B:$B,$A457,貸出記録!$E:$E,"")&gt;0,
"貸出中","在庫"))</f>
        <v/>
      </c>
      <c r="G457" t="s">
        <v>6</v>
      </c>
      <c r="H457" t="s">
        <v>6</v>
      </c>
      <c r="I457" t="s">
        <v>6</v>
      </c>
    </row>
    <row r="458" spans="1:9">
      <c r="A458" s="21" t="s">
        <v>6</v>
      </c>
      <c r="B458" t="str">
        <f t="array" ref="B458">IF(TRIM(A458)="","",
_xlfn.TEXTJOIN(" , ",TRUE,
IF((個体台帳!$A$2:$A$1000=TRIM(A458))*(個体台帳!$C$2:$C$1000="服"),
個体台帳!$B$2:$B$1000,
"")))</f>
        <v/>
      </c>
      <c r="C458" t="str">
        <f t="array" ref="C458">IF(TRIM(A458)="","",
_xlfn.TEXTJOIN(" , ",TRUE,
IF((個体台帳!$A$2:$A$1000=TRIM(A458))*(個体台帳!$C$2:$C$1000="小物1"),
個体台帳!$B$2:$B$1000,
"")))</f>
        <v/>
      </c>
      <c r="D458" t="str">
        <f t="array" ref="D458">IF(TRIM(A458)="","",
_xlfn.TEXTJOIN(" , ",TRUE,
IF((個体台帳!$A$2:$A$1000=TRIM(A458))*(個体台帳!$C$2:$C$1000="小物2"),
個体台帳!$B$2:$B$1000,
"")))</f>
        <v/>
      </c>
      <c r="E458" s="8" t="str">
        <f t="array" ref="E458">IF($A458="","",
INDEX(個体台帳!$D$2:$D$1000,
MATCH(1,
(個体台帳!$A$2:$A$1000=$A458)*
(個体台帳!$C$2:$C$1000="服"),
0)))</f>
        <v/>
      </c>
      <c r="F458" t="str">
        <f t="array" ref="F458">IF($A458="","",
IF(COUNTIFS(貸出記録!$B:$B,$A458,貸出記録!$E:$E,"")&gt;0,
"貸出中","在庫"))</f>
        <v/>
      </c>
      <c r="G458" t="s">
        <v>6</v>
      </c>
      <c r="H458" t="s">
        <v>6</v>
      </c>
      <c r="I458" t="s">
        <v>6</v>
      </c>
    </row>
    <row r="459" spans="1:9">
      <c r="A459" s="21" t="s">
        <v>6</v>
      </c>
      <c r="B459" t="str">
        <f t="array" ref="B459">IF(TRIM(A459)="","",
_xlfn.TEXTJOIN(" , ",TRUE,
IF((個体台帳!$A$2:$A$1000=TRIM(A459))*(個体台帳!$C$2:$C$1000="服"),
個体台帳!$B$2:$B$1000,
"")))</f>
        <v/>
      </c>
      <c r="C459" t="str">
        <f t="array" ref="C459">IF(TRIM(A459)="","",
_xlfn.TEXTJOIN(" , ",TRUE,
IF((個体台帳!$A$2:$A$1000=TRIM(A459))*(個体台帳!$C$2:$C$1000="小物1"),
個体台帳!$B$2:$B$1000,
"")))</f>
        <v/>
      </c>
      <c r="D459" t="str">
        <f t="array" ref="D459">IF(TRIM(A459)="","",
_xlfn.TEXTJOIN(" , ",TRUE,
IF((個体台帳!$A$2:$A$1000=TRIM(A459))*(個体台帳!$C$2:$C$1000="小物2"),
個体台帳!$B$2:$B$1000,
"")))</f>
        <v/>
      </c>
      <c r="E459" s="8" t="str">
        <f t="array" ref="E459">IF($A459="","",
INDEX(個体台帳!$D$2:$D$1000,
MATCH(1,
(個体台帳!$A$2:$A$1000=$A459)*
(個体台帳!$C$2:$C$1000="服"),
0)))</f>
        <v/>
      </c>
      <c r="F459" t="str">
        <f t="array" ref="F459">IF($A459="","",
IF(COUNTIFS(貸出記録!$B:$B,$A459,貸出記録!$E:$E,"")&gt;0,
"貸出中","在庫"))</f>
        <v/>
      </c>
      <c r="G459" t="s">
        <v>6</v>
      </c>
      <c r="H459" t="s">
        <v>6</v>
      </c>
      <c r="I459" t="s">
        <v>6</v>
      </c>
    </row>
    <row r="460" spans="1:9">
      <c r="A460" s="21" t="s">
        <v>6</v>
      </c>
      <c r="B460" t="str">
        <f t="array" ref="B460">IF(TRIM(A460)="","",
_xlfn.TEXTJOIN(" , ",TRUE,
IF((個体台帳!$A$2:$A$1000=TRIM(A460))*(個体台帳!$C$2:$C$1000="服"),
個体台帳!$B$2:$B$1000,
"")))</f>
        <v/>
      </c>
      <c r="C460" t="str">
        <f t="array" ref="C460">IF(TRIM(A460)="","",
_xlfn.TEXTJOIN(" , ",TRUE,
IF((個体台帳!$A$2:$A$1000=TRIM(A460))*(個体台帳!$C$2:$C$1000="小物1"),
個体台帳!$B$2:$B$1000,
"")))</f>
        <v/>
      </c>
      <c r="D460" t="str">
        <f t="array" ref="D460">IF(TRIM(A460)="","",
_xlfn.TEXTJOIN(" , ",TRUE,
IF((個体台帳!$A$2:$A$1000=TRIM(A460))*(個体台帳!$C$2:$C$1000="小物2"),
個体台帳!$B$2:$B$1000,
"")))</f>
        <v/>
      </c>
      <c r="E460" s="8" t="str">
        <f t="array" ref="E460">IF($A460="","",
INDEX(個体台帳!$D$2:$D$1000,
MATCH(1,
(個体台帳!$A$2:$A$1000=$A460)*
(個体台帳!$C$2:$C$1000="服"),
0)))</f>
        <v/>
      </c>
      <c r="F460" t="str">
        <f t="array" ref="F460">IF($A460="","",
IF(COUNTIFS(貸出記録!$B:$B,$A460,貸出記録!$E:$E,"")&gt;0,
"貸出中","在庫"))</f>
        <v/>
      </c>
      <c r="G460" t="s">
        <v>6</v>
      </c>
      <c r="H460" t="s">
        <v>6</v>
      </c>
      <c r="I460" t="s">
        <v>6</v>
      </c>
    </row>
    <row r="461" spans="1:9">
      <c r="A461" s="21" t="s">
        <v>6</v>
      </c>
      <c r="B461" t="str">
        <f t="array" ref="B461">IF(TRIM(A461)="","",
_xlfn.TEXTJOIN(" , ",TRUE,
IF((個体台帳!$A$2:$A$1000=TRIM(A461))*(個体台帳!$C$2:$C$1000="服"),
個体台帳!$B$2:$B$1000,
"")))</f>
        <v/>
      </c>
      <c r="C461" t="str">
        <f t="array" ref="C461">IF(TRIM(A461)="","",
_xlfn.TEXTJOIN(" , ",TRUE,
IF((個体台帳!$A$2:$A$1000=TRIM(A461))*(個体台帳!$C$2:$C$1000="小物1"),
個体台帳!$B$2:$B$1000,
"")))</f>
        <v/>
      </c>
      <c r="D461" t="str">
        <f t="array" ref="D461">IF(TRIM(A461)="","",
_xlfn.TEXTJOIN(" , ",TRUE,
IF((個体台帳!$A$2:$A$1000=TRIM(A461))*(個体台帳!$C$2:$C$1000="小物2"),
個体台帳!$B$2:$B$1000,
"")))</f>
        <v/>
      </c>
      <c r="E461" s="8" t="str">
        <f t="array" ref="E461">IF($A461="","",
INDEX(個体台帳!$D$2:$D$1000,
MATCH(1,
(個体台帳!$A$2:$A$1000=$A461)*
(個体台帳!$C$2:$C$1000="服"),
0)))</f>
        <v/>
      </c>
      <c r="F461" t="str">
        <f t="array" ref="F461">IF($A461="","",
IF(COUNTIFS(貸出記録!$B:$B,$A461,貸出記録!$E:$E,"")&gt;0,
"貸出中","在庫"))</f>
        <v/>
      </c>
      <c r="G461" t="s">
        <v>6</v>
      </c>
      <c r="H461" t="s">
        <v>6</v>
      </c>
      <c r="I461" t="s">
        <v>6</v>
      </c>
    </row>
    <row r="462" spans="1:9">
      <c r="A462" s="21" t="s">
        <v>6</v>
      </c>
      <c r="B462" t="str">
        <f t="array" ref="B462">IF(TRIM(A462)="","",
_xlfn.TEXTJOIN(" , ",TRUE,
IF((個体台帳!$A$2:$A$1000=TRIM(A462))*(個体台帳!$C$2:$C$1000="服"),
個体台帳!$B$2:$B$1000,
"")))</f>
        <v/>
      </c>
      <c r="C462" t="str">
        <f t="array" ref="C462">IF(TRIM(A462)="","",
_xlfn.TEXTJOIN(" , ",TRUE,
IF((個体台帳!$A$2:$A$1000=TRIM(A462))*(個体台帳!$C$2:$C$1000="小物1"),
個体台帳!$B$2:$B$1000,
"")))</f>
        <v/>
      </c>
      <c r="D462" t="str">
        <f t="array" ref="D462">IF(TRIM(A462)="","",
_xlfn.TEXTJOIN(" , ",TRUE,
IF((個体台帳!$A$2:$A$1000=TRIM(A462))*(個体台帳!$C$2:$C$1000="小物2"),
個体台帳!$B$2:$B$1000,
"")))</f>
        <v/>
      </c>
      <c r="E462" s="8" t="str">
        <f t="array" ref="E462">IF($A462="","",
INDEX(個体台帳!$D$2:$D$1000,
MATCH(1,
(個体台帳!$A$2:$A$1000=$A462)*
(個体台帳!$C$2:$C$1000="服"),
0)))</f>
        <v/>
      </c>
      <c r="F462" t="str">
        <f t="array" ref="F462">IF($A462="","",
IF(COUNTIFS(貸出記録!$B:$B,$A462,貸出記録!$E:$E,"")&gt;0,
"貸出中","在庫"))</f>
        <v/>
      </c>
      <c r="G462" t="s">
        <v>6</v>
      </c>
      <c r="H462" t="s">
        <v>6</v>
      </c>
      <c r="I462" t="s">
        <v>6</v>
      </c>
    </row>
    <row r="463" spans="1:9">
      <c r="A463" s="21" t="s">
        <v>6</v>
      </c>
      <c r="B463" t="str">
        <f t="array" ref="B463">IF(TRIM(A463)="","",
_xlfn.TEXTJOIN(" , ",TRUE,
IF((個体台帳!$A$2:$A$1000=TRIM(A463))*(個体台帳!$C$2:$C$1000="服"),
個体台帳!$B$2:$B$1000,
"")))</f>
        <v/>
      </c>
      <c r="C463" t="str">
        <f t="array" ref="C463">IF(TRIM(A463)="","",
_xlfn.TEXTJOIN(" , ",TRUE,
IF((個体台帳!$A$2:$A$1000=TRIM(A463))*(個体台帳!$C$2:$C$1000="小物1"),
個体台帳!$B$2:$B$1000,
"")))</f>
        <v/>
      </c>
      <c r="D463" t="str">
        <f t="array" ref="D463">IF(TRIM(A463)="","",
_xlfn.TEXTJOIN(" , ",TRUE,
IF((個体台帳!$A$2:$A$1000=TRIM(A463))*(個体台帳!$C$2:$C$1000="小物2"),
個体台帳!$B$2:$B$1000,
"")))</f>
        <v/>
      </c>
      <c r="E463" s="8" t="str">
        <f t="array" ref="E463">IF($A463="","",
INDEX(個体台帳!$D$2:$D$1000,
MATCH(1,
(個体台帳!$A$2:$A$1000=$A463)*
(個体台帳!$C$2:$C$1000="服"),
0)))</f>
        <v/>
      </c>
      <c r="F463" t="str">
        <f t="array" ref="F463">IF($A463="","",
IF(COUNTIFS(貸出記録!$B:$B,$A463,貸出記録!$E:$E,"")&gt;0,
"貸出中","在庫"))</f>
        <v/>
      </c>
      <c r="G463" t="s">
        <v>6</v>
      </c>
      <c r="H463" t="s">
        <v>6</v>
      </c>
      <c r="I463" t="s">
        <v>6</v>
      </c>
    </row>
    <row r="464" spans="1:9">
      <c r="A464" s="21" t="s">
        <v>6</v>
      </c>
      <c r="B464" t="str">
        <f t="array" ref="B464">IF(TRIM(A464)="","",
_xlfn.TEXTJOIN(" , ",TRUE,
IF((個体台帳!$A$2:$A$1000=TRIM(A464))*(個体台帳!$C$2:$C$1000="服"),
個体台帳!$B$2:$B$1000,
"")))</f>
        <v/>
      </c>
      <c r="C464" t="str">
        <f t="array" ref="C464">IF(TRIM(A464)="","",
_xlfn.TEXTJOIN(" , ",TRUE,
IF((個体台帳!$A$2:$A$1000=TRIM(A464))*(個体台帳!$C$2:$C$1000="小物1"),
個体台帳!$B$2:$B$1000,
"")))</f>
        <v/>
      </c>
      <c r="D464" t="str">
        <f t="array" ref="D464">IF(TRIM(A464)="","",
_xlfn.TEXTJOIN(" , ",TRUE,
IF((個体台帳!$A$2:$A$1000=TRIM(A464))*(個体台帳!$C$2:$C$1000="小物2"),
個体台帳!$B$2:$B$1000,
"")))</f>
        <v/>
      </c>
      <c r="E464" s="8" t="str">
        <f t="array" ref="E464">IF($A464="","",
INDEX(個体台帳!$D$2:$D$1000,
MATCH(1,
(個体台帳!$A$2:$A$1000=$A464)*
(個体台帳!$C$2:$C$1000="服"),
0)))</f>
        <v/>
      </c>
      <c r="F464" t="str">
        <f t="array" ref="F464">IF($A464="","",
IF(COUNTIFS(貸出記録!$B:$B,$A464,貸出記録!$E:$E,"")&gt;0,
"貸出中","在庫"))</f>
        <v/>
      </c>
      <c r="G464" t="s">
        <v>6</v>
      </c>
      <c r="H464" t="s">
        <v>6</v>
      </c>
      <c r="I464" t="s">
        <v>6</v>
      </c>
    </row>
    <row r="465" spans="1:9">
      <c r="A465" s="21" t="s">
        <v>6</v>
      </c>
      <c r="B465" t="str">
        <f t="array" ref="B465">IF(TRIM(A465)="","",
_xlfn.TEXTJOIN(" , ",TRUE,
IF((個体台帳!$A$2:$A$1000=TRIM(A465))*(個体台帳!$C$2:$C$1000="服"),
個体台帳!$B$2:$B$1000,
"")))</f>
        <v/>
      </c>
      <c r="C465" t="str">
        <f t="array" ref="C465">IF(TRIM(A465)="","",
_xlfn.TEXTJOIN(" , ",TRUE,
IF((個体台帳!$A$2:$A$1000=TRIM(A465))*(個体台帳!$C$2:$C$1000="小物1"),
個体台帳!$B$2:$B$1000,
"")))</f>
        <v/>
      </c>
      <c r="D465" t="str">
        <f t="array" ref="D465">IF(TRIM(A465)="","",
_xlfn.TEXTJOIN(" , ",TRUE,
IF((個体台帳!$A$2:$A$1000=TRIM(A465))*(個体台帳!$C$2:$C$1000="小物2"),
個体台帳!$B$2:$B$1000,
"")))</f>
        <v/>
      </c>
      <c r="E465" s="8" t="str">
        <f t="array" ref="E465">IF($A465="","",
INDEX(個体台帳!$D$2:$D$1000,
MATCH(1,
(個体台帳!$A$2:$A$1000=$A465)*
(個体台帳!$C$2:$C$1000="服"),
0)))</f>
        <v/>
      </c>
      <c r="F465" t="str">
        <f t="array" ref="F465">IF($A465="","",
IF(COUNTIFS(貸出記録!$B:$B,$A465,貸出記録!$E:$E,"")&gt;0,
"貸出中","在庫"))</f>
        <v/>
      </c>
      <c r="G465" t="s">
        <v>6</v>
      </c>
      <c r="H465" t="s">
        <v>6</v>
      </c>
      <c r="I465" t="s">
        <v>6</v>
      </c>
    </row>
    <row r="466" spans="1:9">
      <c r="A466" s="21" t="s">
        <v>6</v>
      </c>
      <c r="B466" t="str">
        <f t="array" ref="B466">IF(TRIM(A466)="","",
_xlfn.TEXTJOIN(" , ",TRUE,
IF((個体台帳!$A$2:$A$1000=TRIM(A466))*(個体台帳!$C$2:$C$1000="服"),
個体台帳!$B$2:$B$1000,
"")))</f>
        <v/>
      </c>
      <c r="C466" t="str">
        <f t="array" ref="C466">IF(TRIM(A466)="","",
_xlfn.TEXTJOIN(" , ",TRUE,
IF((個体台帳!$A$2:$A$1000=TRIM(A466))*(個体台帳!$C$2:$C$1000="小物1"),
個体台帳!$B$2:$B$1000,
"")))</f>
        <v/>
      </c>
      <c r="D466" t="str">
        <f t="array" ref="D466">IF(TRIM(A466)="","",
_xlfn.TEXTJOIN(" , ",TRUE,
IF((個体台帳!$A$2:$A$1000=TRIM(A466))*(個体台帳!$C$2:$C$1000="小物2"),
個体台帳!$B$2:$B$1000,
"")))</f>
        <v/>
      </c>
      <c r="E466" s="8" t="str">
        <f t="array" ref="E466">IF($A466="","",
INDEX(個体台帳!$D$2:$D$1000,
MATCH(1,
(個体台帳!$A$2:$A$1000=$A466)*
(個体台帳!$C$2:$C$1000="服"),
0)))</f>
        <v/>
      </c>
      <c r="F466" t="str">
        <f t="array" ref="F466">IF($A466="","",
IF(COUNTIFS(貸出記録!$B:$B,$A466,貸出記録!$E:$E,"")&gt;0,
"貸出中","在庫"))</f>
        <v/>
      </c>
      <c r="G466" t="s">
        <v>6</v>
      </c>
      <c r="H466" t="s">
        <v>6</v>
      </c>
      <c r="I466" t="s">
        <v>6</v>
      </c>
    </row>
    <row r="467" spans="1:9">
      <c r="A467" s="21" t="s">
        <v>6</v>
      </c>
      <c r="B467" t="str">
        <f t="array" ref="B467">IF(TRIM(A467)="","",
_xlfn.TEXTJOIN(" , ",TRUE,
IF((個体台帳!$A$2:$A$1000=TRIM(A467))*(個体台帳!$C$2:$C$1000="服"),
個体台帳!$B$2:$B$1000,
"")))</f>
        <v/>
      </c>
      <c r="C467" t="str">
        <f t="array" ref="C467">IF(TRIM(A467)="","",
_xlfn.TEXTJOIN(" , ",TRUE,
IF((個体台帳!$A$2:$A$1000=TRIM(A467))*(個体台帳!$C$2:$C$1000="小物1"),
個体台帳!$B$2:$B$1000,
"")))</f>
        <v/>
      </c>
      <c r="D467" t="str">
        <f t="array" ref="D467">IF(TRIM(A467)="","",
_xlfn.TEXTJOIN(" , ",TRUE,
IF((個体台帳!$A$2:$A$1000=TRIM(A467))*(個体台帳!$C$2:$C$1000="小物2"),
個体台帳!$B$2:$B$1000,
"")))</f>
        <v/>
      </c>
      <c r="E467" s="8" t="str">
        <f t="array" ref="E467">IF($A467="","",
INDEX(個体台帳!$D$2:$D$1000,
MATCH(1,
(個体台帳!$A$2:$A$1000=$A467)*
(個体台帳!$C$2:$C$1000="服"),
0)))</f>
        <v/>
      </c>
      <c r="F467" t="str">
        <f t="array" ref="F467">IF($A467="","",
IF(COUNTIFS(貸出記録!$B:$B,$A467,貸出記録!$E:$E,"")&gt;0,
"貸出中","在庫"))</f>
        <v/>
      </c>
      <c r="G467" t="s">
        <v>6</v>
      </c>
      <c r="H467" t="s">
        <v>6</v>
      </c>
      <c r="I467" t="s">
        <v>6</v>
      </c>
    </row>
    <row r="468" spans="1:9">
      <c r="A468" s="21" t="s">
        <v>6</v>
      </c>
      <c r="B468" t="str">
        <f t="array" ref="B468">IF(TRIM(A468)="","",
_xlfn.TEXTJOIN(" , ",TRUE,
IF((個体台帳!$A$2:$A$1000=TRIM(A468))*(個体台帳!$C$2:$C$1000="服"),
個体台帳!$B$2:$B$1000,
"")))</f>
        <v/>
      </c>
      <c r="C468" t="str">
        <f t="array" ref="C468">IF(TRIM(A468)="","",
_xlfn.TEXTJOIN(" , ",TRUE,
IF((個体台帳!$A$2:$A$1000=TRIM(A468))*(個体台帳!$C$2:$C$1000="小物1"),
個体台帳!$B$2:$B$1000,
"")))</f>
        <v/>
      </c>
      <c r="D468" t="str">
        <f t="array" ref="D468">IF(TRIM(A468)="","",
_xlfn.TEXTJOIN(" , ",TRUE,
IF((個体台帳!$A$2:$A$1000=TRIM(A468))*(個体台帳!$C$2:$C$1000="小物2"),
個体台帳!$B$2:$B$1000,
"")))</f>
        <v/>
      </c>
      <c r="E468" s="8" t="str">
        <f t="array" ref="E468">IF($A468="","",
INDEX(個体台帳!$D$2:$D$1000,
MATCH(1,
(個体台帳!$A$2:$A$1000=$A468)*
(個体台帳!$C$2:$C$1000="服"),
0)))</f>
        <v/>
      </c>
      <c r="F468" t="str">
        <f t="array" ref="F468">IF($A468="","",
IF(COUNTIFS(貸出記録!$B:$B,$A468,貸出記録!$E:$E,"")&gt;0,
"貸出中","在庫"))</f>
        <v/>
      </c>
      <c r="G468" t="s">
        <v>6</v>
      </c>
      <c r="H468" t="s">
        <v>6</v>
      </c>
      <c r="I468" t="s">
        <v>6</v>
      </c>
    </row>
    <row r="469" spans="1:9">
      <c r="A469" s="21" t="s">
        <v>6</v>
      </c>
      <c r="B469" t="str">
        <f t="array" ref="B469">IF(TRIM(A469)="","",
_xlfn.TEXTJOIN(" , ",TRUE,
IF((個体台帳!$A$2:$A$1000=TRIM(A469))*(個体台帳!$C$2:$C$1000="服"),
個体台帳!$B$2:$B$1000,
"")))</f>
        <v/>
      </c>
      <c r="C469" t="str">
        <f t="array" ref="C469">IF(TRIM(A469)="","",
_xlfn.TEXTJOIN(" , ",TRUE,
IF((個体台帳!$A$2:$A$1000=TRIM(A469))*(個体台帳!$C$2:$C$1000="小物1"),
個体台帳!$B$2:$B$1000,
"")))</f>
        <v/>
      </c>
      <c r="D469" t="str">
        <f t="array" ref="D469">IF(TRIM(A469)="","",
_xlfn.TEXTJOIN(" , ",TRUE,
IF((個体台帳!$A$2:$A$1000=TRIM(A469))*(個体台帳!$C$2:$C$1000="小物2"),
個体台帳!$B$2:$B$1000,
"")))</f>
        <v/>
      </c>
      <c r="E469" s="8" t="str">
        <f t="array" ref="E469">IF($A469="","",
INDEX(個体台帳!$D$2:$D$1000,
MATCH(1,
(個体台帳!$A$2:$A$1000=$A469)*
(個体台帳!$C$2:$C$1000="服"),
0)))</f>
        <v/>
      </c>
      <c r="F469" t="str">
        <f t="array" ref="F469">IF($A469="","",
IF(COUNTIFS(貸出記録!$B:$B,$A469,貸出記録!$E:$E,"")&gt;0,
"貸出中","在庫"))</f>
        <v/>
      </c>
      <c r="G469" t="s">
        <v>6</v>
      </c>
      <c r="H469" t="s">
        <v>6</v>
      </c>
      <c r="I469" t="s">
        <v>6</v>
      </c>
    </row>
    <row r="470" spans="1:9">
      <c r="A470" s="21" t="s">
        <v>6</v>
      </c>
      <c r="B470" t="str">
        <f t="array" ref="B470">IF(TRIM(A470)="","",
_xlfn.TEXTJOIN(" , ",TRUE,
IF((個体台帳!$A$2:$A$1000=TRIM(A470))*(個体台帳!$C$2:$C$1000="服"),
個体台帳!$B$2:$B$1000,
"")))</f>
        <v/>
      </c>
      <c r="C470" t="str">
        <f t="array" ref="C470">IF(TRIM(A470)="","",
_xlfn.TEXTJOIN(" , ",TRUE,
IF((個体台帳!$A$2:$A$1000=TRIM(A470))*(個体台帳!$C$2:$C$1000="小物1"),
個体台帳!$B$2:$B$1000,
"")))</f>
        <v/>
      </c>
      <c r="D470" t="str">
        <f t="array" ref="D470">IF(TRIM(A470)="","",
_xlfn.TEXTJOIN(" , ",TRUE,
IF((個体台帳!$A$2:$A$1000=TRIM(A470))*(個体台帳!$C$2:$C$1000="小物2"),
個体台帳!$B$2:$B$1000,
"")))</f>
        <v/>
      </c>
      <c r="E470" s="8" t="str">
        <f t="array" ref="E470">IF($A470="","",
INDEX(個体台帳!$D$2:$D$1000,
MATCH(1,
(個体台帳!$A$2:$A$1000=$A470)*
(個体台帳!$C$2:$C$1000="服"),
0)))</f>
        <v/>
      </c>
      <c r="F470" t="str">
        <f t="array" ref="F470">IF($A470="","",
IF(COUNTIFS(貸出記録!$B:$B,$A470,貸出記録!$E:$E,"")&gt;0,
"貸出中","在庫"))</f>
        <v/>
      </c>
      <c r="G470" t="s">
        <v>6</v>
      </c>
      <c r="H470" t="s">
        <v>6</v>
      </c>
      <c r="I470" t="s">
        <v>6</v>
      </c>
    </row>
    <row r="471" spans="1:9">
      <c r="A471" s="21" t="s">
        <v>6</v>
      </c>
      <c r="B471" t="str">
        <f t="array" ref="B471">IF(TRIM(A471)="","",
_xlfn.TEXTJOIN(" , ",TRUE,
IF((個体台帳!$A$2:$A$1000=TRIM(A471))*(個体台帳!$C$2:$C$1000="服"),
個体台帳!$B$2:$B$1000,
"")))</f>
        <v/>
      </c>
      <c r="C471" t="str">
        <f t="array" ref="C471">IF(TRIM(A471)="","",
_xlfn.TEXTJOIN(" , ",TRUE,
IF((個体台帳!$A$2:$A$1000=TRIM(A471))*(個体台帳!$C$2:$C$1000="小物1"),
個体台帳!$B$2:$B$1000,
"")))</f>
        <v/>
      </c>
      <c r="D471" t="str">
        <f t="array" ref="D471">IF(TRIM(A471)="","",
_xlfn.TEXTJOIN(" , ",TRUE,
IF((個体台帳!$A$2:$A$1000=TRIM(A471))*(個体台帳!$C$2:$C$1000="小物2"),
個体台帳!$B$2:$B$1000,
"")))</f>
        <v/>
      </c>
      <c r="E471" s="8" t="str">
        <f t="array" ref="E471">IF($A471="","",
INDEX(個体台帳!$D$2:$D$1000,
MATCH(1,
(個体台帳!$A$2:$A$1000=$A471)*
(個体台帳!$C$2:$C$1000="服"),
0)))</f>
        <v/>
      </c>
      <c r="F471" t="str">
        <f t="array" ref="F471">IF($A471="","",
IF(COUNTIFS(貸出記録!$B:$B,$A471,貸出記録!$E:$E,"")&gt;0,
"貸出中","在庫"))</f>
        <v/>
      </c>
      <c r="G471" t="s">
        <v>6</v>
      </c>
      <c r="H471" t="s">
        <v>6</v>
      </c>
      <c r="I471" t="s">
        <v>6</v>
      </c>
    </row>
    <row r="472" spans="1:9">
      <c r="A472" s="21" t="s">
        <v>6</v>
      </c>
      <c r="B472" t="str">
        <f t="array" ref="B472">IF(TRIM(A472)="","",
_xlfn.TEXTJOIN(" , ",TRUE,
IF((個体台帳!$A$2:$A$1000=TRIM(A472))*(個体台帳!$C$2:$C$1000="服"),
個体台帳!$B$2:$B$1000,
"")))</f>
        <v/>
      </c>
      <c r="C472" t="str">
        <f t="array" ref="C472">IF(TRIM(A472)="","",
_xlfn.TEXTJOIN(" , ",TRUE,
IF((個体台帳!$A$2:$A$1000=TRIM(A472))*(個体台帳!$C$2:$C$1000="小物1"),
個体台帳!$B$2:$B$1000,
"")))</f>
        <v/>
      </c>
      <c r="D472" t="str">
        <f t="array" ref="D472">IF(TRIM(A472)="","",
_xlfn.TEXTJOIN(" , ",TRUE,
IF((個体台帳!$A$2:$A$1000=TRIM(A472))*(個体台帳!$C$2:$C$1000="小物2"),
個体台帳!$B$2:$B$1000,
"")))</f>
        <v/>
      </c>
      <c r="E472" s="8" t="str">
        <f t="array" ref="E472">IF($A472="","",
INDEX(個体台帳!$D$2:$D$1000,
MATCH(1,
(個体台帳!$A$2:$A$1000=$A472)*
(個体台帳!$C$2:$C$1000="服"),
0)))</f>
        <v/>
      </c>
      <c r="F472" t="str">
        <f t="array" ref="F472">IF($A472="","",
IF(COUNTIFS(貸出記録!$B:$B,$A472,貸出記録!$E:$E,"")&gt;0,
"貸出中","在庫"))</f>
        <v/>
      </c>
      <c r="G472" t="s">
        <v>6</v>
      </c>
      <c r="H472" t="s">
        <v>6</v>
      </c>
      <c r="I472" t="s">
        <v>6</v>
      </c>
    </row>
    <row r="473" spans="1:9">
      <c r="A473" s="21" t="s">
        <v>6</v>
      </c>
      <c r="B473" t="str">
        <f t="array" ref="B473">IF(TRIM(A473)="","",
_xlfn.TEXTJOIN(" , ",TRUE,
IF((個体台帳!$A$2:$A$1000=TRIM(A473))*(個体台帳!$C$2:$C$1000="服"),
個体台帳!$B$2:$B$1000,
"")))</f>
        <v/>
      </c>
      <c r="C473" t="str">
        <f t="array" ref="C473">IF(TRIM(A473)="","",
_xlfn.TEXTJOIN(" , ",TRUE,
IF((個体台帳!$A$2:$A$1000=TRIM(A473))*(個体台帳!$C$2:$C$1000="小物1"),
個体台帳!$B$2:$B$1000,
"")))</f>
        <v/>
      </c>
      <c r="D473" t="str">
        <f t="array" ref="D473">IF(TRIM(A473)="","",
_xlfn.TEXTJOIN(" , ",TRUE,
IF((個体台帳!$A$2:$A$1000=TRIM(A473))*(個体台帳!$C$2:$C$1000="小物2"),
個体台帳!$B$2:$B$1000,
"")))</f>
        <v/>
      </c>
      <c r="E473" s="8" t="str">
        <f t="array" ref="E473">IF($A473="","",
INDEX(個体台帳!$D$2:$D$1000,
MATCH(1,
(個体台帳!$A$2:$A$1000=$A473)*
(個体台帳!$C$2:$C$1000="服"),
0)))</f>
        <v/>
      </c>
      <c r="F473" t="str">
        <f t="array" ref="F473">IF($A473="","",
IF(COUNTIFS(貸出記録!$B:$B,$A473,貸出記録!$E:$E,"")&gt;0,
"貸出中","在庫"))</f>
        <v/>
      </c>
      <c r="G473" t="s">
        <v>6</v>
      </c>
      <c r="H473" t="s">
        <v>6</v>
      </c>
      <c r="I473" t="s">
        <v>6</v>
      </c>
    </row>
    <row r="474" spans="1:9">
      <c r="A474" s="21" t="s">
        <v>6</v>
      </c>
      <c r="B474" t="str">
        <f t="array" ref="B474">IF(TRIM(A474)="","",
_xlfn.TEXTJOIN(" , ",TRUE,
IF((個体台帳!$A$2:$A$1000=TRIM(A474))*(個体台帳!$C$2:$C$1000="服"),
個体台帳!$B$2:$B$1000,
"")))</f>
        <v/>
      </c>
      <c r="C474" t="str">
        <f t="array" ref="C474">IF(TRIM(A474)="","",
_xlfn.TEXTJOIN(" , ",TRUE,
IF((個体台帳!$A$2:$A$1000=TRIM(A474))*(個体台帳!$C$2:$C$1000="小物1"),
個体台帳!$B$2:$B$1000,
"")))</f>
        <v/>
      </c>
      <c r="D474" t="str">
        <f t="array" ref="D474">IF(TRIM(A474)="","",
_xlfn.TEXTJOIN(" , ",TRUE,
IF((個体台帳!$A$2:$A$1000=TRIM(A474))*(個体台帳!$C$2:$C$1000="小物2"),
個体台帳!$B$2:$B$1000,
"")))</f>
        <v/>
      </c>
      <c r="E474" s="8" t="str">
        <f t="array" ref="E474">IF($A474="","",
INDEX(個体台帳!$D$2:$D$1000,
MATCH(1,
(個体台帳!$A$2:$A$1000=$A474)*
(個体台帳!$C$2:$C$1000="服"),
0)))</f>
        <v/>
      </c>
      <c r="F474" t="str">
        <f t="array" ref="F474">IF($A474="","",
IF(COUNTIFS(貸出記録!$B:$B,$A474,貸出記録!$E:$E,"")&gt;0,
"貸出中","在庫"))</f>
        <v/>
      </c>
      <c r="G474" t="s">
        <v>6</v>
      </c>
      <c r="H474" t="s">
        <v>6</v>
      </c>
      <c r="I474" t="s">
        <v>6</v>
      </c>
    </row>
    <row r="475" spans="1:9">
      <c r="A475" s="21" t="s">
        <v>6</v>
      </c>
      <c r="B475" t="str">
        <f t="array" ref="B475">IF(TRIM(A475)="","",
_xlfn.TEXTJOIN(" , ",TRUE,
IF((個体台帳!$A$2:$A$1000=TRIM(A475))*(個体台帳!$C$2:$C$1000="服"),
個体台帳!$B$2:$B$1000,
"")))</f>
        <v/>
      </c>
      <c r="C475" t="str">
        <f t="array" ref="C475">IF(TRIM(A475)="","",
_xlfn.TEXTJOIN(" , ",TRUE,
IF((個体台帳!$A$2:$A$1000=TRIM(A475))*(個体台帳!$C$2:$C$1000="小物1"),
個体台帳!$B$2:$B$1000,
"")))</f>
        <v/>
      </c>
      <c r="D475" t="str">
        <f t="array" ref="D475">IF(TRIM(A475)="","",
_xlfn.TEXTJOIN(" , ",TRUE,
IF((個体台帳!$A$2:$A$1000=TRIM(A475))*(個体台帳!$C$2:$C$1000="小物2"),
個体台帳!$B$2:$B$1000,
"")))</f>
        <v/>
      </c>
      <c r="E475" s="8" t="str">
        <f t="array" ref="E475">IF($A475="","",
INDEX(個体台帳!$D$2:$D$1000,
MATCH(1,
(個体台帳!$A$2:$A$1000=$A475)*
(個体台帳!$C$2:$C$1000="服"),
0)))</f>
        <v/>
      </c>
      <c r="F475" t="str">
        <f t="array" ref="F475">IF($A475="","",
IF(COUNTIFS(貸出記録!$B:$B,$A475,貸出記録!$E:$E,"")&gt;0,
"貸出中","在庫"))</f>
        <v/>
      </c>
      <c r="G475" t="s">
        <v>6</v>
      </c>
      <c r="H475" t="s">
        <v>6</v>
      </c>
      <c r="I475" t="s">
        <v>6</v>
      </c>
    </row>
    <row r="476" spans="1:9">
      <c r="A476" s="21" t="s">
        <v>6</v>
      </c>
      <c r="B476" t="str">
        <f t="array" ref="B476">IF(TRIM(A476)="","",
_xlfn.TEXTJOIN(" , ",TRUE,
IF((個体台帳!$A$2:$A$1000=TRIM(A476))*(個体台帳!$C$2:$C$1000="服"),
個体台帳!$B$2:$B$1000,
"")))</f>
        <v/>
      </c>
      <c r="C476" t="str">
        <f t="array" ref="C476">IF(TRIM(A476)="","",
_xlfn.TEXTJOIN(" , ",TRUE,
IF((個体台帳!$A$2:$A$1000=TRIM(A476))*(個体台帳!$C$2:$C$1000="小物1"),
個体台帳!$B$2:$B$1000,
"")))</f>
        <v/>
      </c>
      <c r="D476" t="str">
        <f t="array" ref="D476">IF(TRIM(A476)="","",
_xlfn.TEXTJOIN(" , ",TRUE,
IF((個体台帳!$A$2:$A$1000=TRIM(A476))*(個体台帳!$C$2:$C$1000="小物2"),
個体台帳!$B$2:$B$1000,
"")))</f>
        <v/>
      </c>
      <c r="E476" s="8" t="str">
        <f t="array" ref="E476">IF($A476="","",
INDEX(個体台帳!$D$2:$D$1000,
MATCH(1,
(個体台帳!$A$2:$A$1000=$A476)*
(個体台帳!$C$2:$C$1000="服"),
0)))</f>
        <v/>
      </c>
      <c r="F476" t="str">
        <f t="array" ref="F476">IF($A476="","",
IF(COUNTIFS(貸出記録!$B:$B,$A476,貸出記録!$E:$E,"")&gt;0,
"貸出中","在庫"))</f>
        <v/>
      </c>
      <c r="G476" t="s">
        <v>6</v>
      </c>
      <c r="H476" t="s">
        <v>6</v>
      </c>
      <c r="I476" t="s">
        <v>6</v>
      </c>
    </row>
    <row r="477" spans="1:9">
      <c r="A477" s="21" t="s">
        <v>6</v>
      </c>
      <c r="B477" t="str">
        <f t="array" ref="B477">IF(TRIM(A477)="","",
_xlfn.TEXTJOIN(" , ",TRUE,
IF((個体台帳!$A$2:$A$1000=TRIM(A477))*(個体台帳!$C$2:$C$1000="服"),
個体台帳!$B$2:$B$1000,
"")))</f>
        <v/>
      </c>
      <c r="C477" t="str">
        <f t="array" ref="C477">IF(TRIM(A477)="","",
_xlfn.TEXTJOIN(" , ",TRUE,
IF((個体台帳!$A$2:$A$1000=TRIM(A477))*(個体台帳!$C$2:$C$1000="小物1"),
個体台帳!$B$2:$B$1000,
"")))</f>
        <v/>
      </c>
      <c r="D477" t="str">
        <f t="array" ref="D477">IF(TRIM(A477)="","",
_xlfn.TEXTJOIN(" , ",TRUE,
IF((個体台帳!$A$2:$A$1000=TRIM(A477))*(個体台帳!$C$2:$C$1000="小物2"),
個体台帳!$B$2:$B$1000,
"")))</f>
        <v/>
      </c>
      <c r="E477" s="8" t="str">
        <f t="array" ref="E477">IF($A477="","",
INDEX(個体台帳!$D$2:$D$1000,
MATCH(1,
(個体台帳!$A$2:$A$1000=$A477)*
(個体台帳!$C$2:$C$1000="服"),
0)))</f>
        <v/>
      </c>
      <c r="F477" t="str">
        <f t="array" ref="F477">IF($A477="","",
IF(COUNTIFS(貸出記録!$B:$B,$A477,貸出記録!$E:$E,"")&gt;0,
"貸出中","在庫"))</f>
        <v/>
      </c>
      <c r="G477" t="s">
        <v>6</v>
      </c>
      <c r="H477" t="s">
        <v>6</v>
      </c>
      <c r="I477" t="s">
        <v>6</v>
      </c>
    </row>
    <row r="478" spans="1:9">
      <c r="A478" s="21" t="s">
        <v>6</v>
      </c>
      <c r="B478" t="str">
        <f t="array" ref="B478">IF(TRIM(A478)="","",
_xlfn.TEXTJOIN(" , ",TRUE,
IF((個体台帳!$A$2:$A$1000=TRIM(A478))*(個体台帳!$C$2:$C$1000="服"),
個体台帳!$B$2:$B$1000,
"")))</f>
        <v/>
      </c>
      <c r="C478" t="str">
        <f t="array" ref="C478">IF(TRIM(A478)="","",
_xlfn.TEXTJOIN(" , ",TRUE,
IF((個体台帳!$A$2:$A$1000=TRIM(A478))*(個体台帳!$C$2:$C$1000="小物1"),
個体台帳!$B$2:$B$1000,
"")))</f>
        <v/>
      </c>
      <c r="D478" t="str">
        <f t="array" ref="D478">IF(TRIM(A478)="","",
_xlfn.TEXTJOIN(" , ",TRUE,
IF((個体台帳!$A$2:$A$1000=TRIM(A478))*(個体台帳!$C$2:$C$1000="小物2"),
個体台帳!$B$2:$B$1000,
"")))</f>
        <v/>
      </c>
      <c r="E478" s="8" t="str">
        <f t="array" ref="E478">IF($A478="","",
INDEX(個体台帳!$D$2:$D$1000,
MATCH(1,
(個体台帳!$A$2:$A$1000=$A478)*
(個体台帳!$C$2:$C$1000="服"),
0)))</f>
        <v/>
      </c>
      <c r="F478" t="str">
        <f t="array" ref="F478">IF($A478="","",
IF(COUNTIFS(貸出記録!$B:$B,$A478,貸出記録!$E:$E,"")&gt;0,
"貸出中","在庫"))</f>
        <v/>
      </c>
      <c r="G478" t="s">
        <v>6</v>
      </c>
      <c r="H478" t="s">
        <v>6</v>
      </c>
      <c r="I478" t="s">
        <v>6</v>
      </c>
    </row>
    <row r="479" spans="1:9">
      <c r="A479" s="21" t="s">
        <v>6</v>
      </c>
      <c r="B479" t="str">
        <f t="array" ref="B479">IF(TRIM(A479)="","",
_xlfn.TEXTJOIN(" , ",TRUE,
IF((個体台帳!$A$2:$A$1000=TRIM(A479))*(個体台帳!$C$2:$C$1000="服"),
個体台帳!$B$2:$B$1000,
"")))</f>
        <v/>
      </c>
      <c r="C479" t="str">
        <f t="array" ref="C479">IF(TRIM(A479)="","",
_xlfn.TEXTJOIN(" , ",TRUE,
IF((個体台帳!$A$2:$A$1000=TRIM(A479))*(個体台帳!$C$2:$C$1000="小物1"),
個体台帳!$B$2:$B$1000,
"")))</f>
        <v/>
      </c>
      <c r="D479" t="str">
        <f t="array" ref="D479">IF(TRIM(A479)="","",
_xlfn.TEXTJOIN(" , ",TRUE,
IF((個体台帳!$A$2:$A$1000=TRIM(A479))*(個体台帳!$C$2:$C$1000="小物2"),
個体台帳!$B$2:$B$1000,
"")))</f>
        <v/>
      </c>
      <c r="E479" s="8" t="str">
        <f t="array" ref="E479">IF($A479="","",
INDEX(個体台帳!$D$2:$D$1000,
MATCH(1,
(個体台帳!$A$2:$A$1000=$A479)*
(個体台帳!$C$2:$C$1000="服"),
0)))</f>
        <v/>
      </c>
      <c r="F479" t="str">
        <f t="array" ref="F479">IF($A479="","",
IF(COUNTIFS(貸出記録!$B:$B,$A479,貸出記録!$E:$E,"")&gt;0,
"貸出中","在庫"))</f>
        <v/>
      </c>
      <c r="G479" t="s">
        <v>6</v>
      </c>
      <c r="H479" t="s">
        <v>6</v>
      </c>
      <c r="I479" t="s">
        <v>6</v>
      </c>
    </row>
    <row r="480" spans="1:9">
      <c r="A480" s="21" t="s">
        <v>6</v>
      </c>
      <c r="B480" t="str">
        <f t="array" ref="B480">IF(TRIM(A480)="","",
_xlfn.TEXTJOIN(" , ",TRUE,
IF((個体台帳!$A$2:$A$1000=TRIM(A480))*(個体台帳!$C$2:$C$1000="服"),
個体台帳!$B$2:$B$1000,
"")))</f>
        <v/>
      </c>
      <c r="C480" t="str">
        <f t="array" ref="C480">IF(TRIM(A480)="","",
_xlfn.TEXTJOIN(" , ",TRUE,
IF((個体台帳!$A$2:$A$1000=TRIM(A480))*(個体台帳!$C$2:$C$1000="小物1"),
個体台帳!$B$2:$B$1000,
"")))</f>
        <v/>
      </c>
      <c r="D480" t="str">
        <f t="array" ref="D480">IF(TRIM(A480)="","",
_xlfn.TEXTJOIN(" , ",TRUE,
IF((個体台帳!$A$2:$A$1000=TRIM(A480))*(個体台帳!$C$2:$C$1000="小物2"),
個体台帳!$B$2:$B$1000,
"")))</f>
        <v/>
      </c>
      <c r="E480" s="8" t="str">
        <f t="array" ref="E480">IF($A480="","",
INDEX(個体台帳!$D$2:$D$1000,
MATCH(1,
(個体台帳!$A$2:$A$1000=$A480)*
(個体台帳!$C$2:$C$1000="服"),
0)))</f>
        <v/>
      </c>
      <c r="F480" t="str">
        <f t="array" ref="F480">IF($A480="","",
IF(COUNTIFS(貸出記録!$B:$B,$A480,貸出記録!$E:$E,"")&gt;0,
"貸出中","在庫"))</f>
        <v/>
      </c>
      <c r="G480" t="s">
        <v>6</v>
      </c>
      <c r="H480" t="s">
        <v>6</v>
      </c>
      <c r="I480" t="s">
        <v>6</v>
      </c>
    </row>
    <row r="481" spans="1:9">
      <c r="A481" s="21" t="s">
        <v>6</v>
      </c>
      <c r="B481" t="str">
        <f t="array" ref="B481">IF(TRIM(A481)="","",
_xlfn.TEXTJOIN(" , ",TRUE,
IF((個体台帳!$A$2:$A$1000=TRIM(A481))*(個体台帳!$C$2:$C$1000="服"),
個体台帳!$B$2:$B$1000,
"")))</f>
        <v/>
      </c>
      <c r="C481" t="str">
        <f t="array" ref="C481">IF(TRIM(A481)="","",
_xlfn.TEXTJOIN(" , ",TRUE,
IF((個体台帳!$A$2:$A$1000=TRIM(A481))*(個体台帳!$C$2:$C$1000="小物1"),
個体台帳!$B$2:$B$1000,
"")))</f>
        <v/>
      </c>
      <c r="D481" t="str">
        <f t="array" ref="D481">IF(TRIM(A481)="","",
_xlfn.TEXTJOIN(" , ",TRUE,
IF((個体台帳!$A$2:$A$1000=TRIM(A481))*(個体台帳!$C$2:$C$1000="小物2"),
個体台帳!$B$2:$B$1000,
"")))</f>
        <v/>
      </c>
      <c r="E481" s="8" t="str">
        <f t="array" ref="E481">IF($A481="","",
INDEX(個体台帳!$D$2:$D$1000,
MATCH(1,
(個体台帳!$A$2:$A$1000=$A481)*
(個体台帳!$C$2:$C$1000="服"),
0)))</f>
        <v/>
      </c>
      <c r="F481" t="str">
        <f t="array" ref="F481">IF($A481="","",
IF(COUNTIFS(貸出記録!$B:$B,$A481,貸出記録!$E:$E,"")&gt;0,
"貸出中","在庫"))</f>
        <v/>
      </c>
      <c r="G481" t="s">
        <v>6</v>
      </c>
      <c r="H481" t="s">
        <v>6</v>
      </c>
      <c r="I481" t="s">
        <v>6</v>
      </c>
    </row>
    <row r="482" spans="1:9">
      <c r="A482" s="21" t="s">
        <v>6</v>
      </c>
      <c r="B482" t="str">
        <f t="array" ref="B482">IF(TRIM(A482)="","",
_xlfn.TEXTJOIN(" , ",TRUE,
IF((個体台帳!$A$2:$A$1000=TRIM(A482))*(個体台帳!$C$2:$C$1000="服"),
個体台帳!$B$2:$B$1000,
"")))</f>
        <v/>
      </c>
      <c r="C482" t="str">
        <f t="array" ref="C482">IF(TRIM(A482)="","",
_xlfn.TEXTJOIN(" , ",TRUE,
IF((個体台帳!$A$2:$A$1000=TRIM(A482))*(個体台帳!$C$2:$C$1000="小物1"),
個体台帳!$B$2:$B$1000,
"")))</f>
        <v/>
      </c>
      <c r="D482" t="str">
        <f t="array" ref="D482">IF(TRIM(A482)="","",
_xlfn.TEXTJOIN(" , ",TRUE,
IF((個体台帳!$A$2:$A$1000=TRIM(A482))*(個体台帳!$C$2:$C$1000="小物2"),
個体台帳!$B$2:$B$1000,
"")))</f>
        <v/>
      </c>
      <c r="E482" s="8" t="str">
        <f t="array" ref="E482">IF($A482="","",
INDEX(個体台帳!$D$2:$D$1000,
MATCH(1,
(個体台帳!$A$2:$A$1000=$A482)*
(個体台帳!$C$2:$C$1000="服"),
0)))</f>
        <v/>
      </c>
      <c r="F482" t="str">
        <f t="array" ref="F482">IF($A482="","",
IF(COUNTIFS(貸出記録!$B:$B,$A482,貸出記録!$E:$E,"")&gt;0,
"貸出中","在庫"))</f>
        <v/>
      </c>
      <c r="G482" t="s">
        <v>6</v>
      </c>
      <c r="H482" t="s">
        <v>6</v>
      </c>
      <c r="I482" t="s">
        <v>6</v>
      </c>
    </row>
    <row r="483" spans="1:9">
      <c r="A483" s="21" t="s">
        <v>6</v>
      </c>
      <c r="B483" t="str">
        <f t="array" ref="B483">IF(TRIM(A483)="","",
_xlfn.TEXTJOIN(" , ",TRUE,
IF((個体台帳!$A$2:$A$1000=TRIM(A483))*(個体台帳!$C$2:$C$1000="服"),
個体台帳!$B$2:$B$1000,
"")))</f>
        <v/>
      </c>
      <c r="C483" t="str">
        <f t="array" ref="C483">IF(TRIM(A483)="","",
_xlfn.TEXTJOIN(" , ",TRUE,
IF((個体台帳!$A$2:$A$1000=TRIM(A483))*(個体台帳!$C$2:$C$1000="小物1"),
個体台帳!$B$2:$B$1000,
"")))</f>
        <v/>
      </c>
      <c r="D483" t="str">
        <f t="array" ref="D483">IF(TRIM(A483)="","",
_xlfn.TEXTJOIN(" , ",TRUE,
IF((個体台帳!$A$2:$A$1000=TRIM(A483))*(個体台帳!$C$2:$C$1000="小物2"),
個体台帳!$B$2:$B$1000,
"")))</f>
        <v/>
      </c>
      <c r="E483" s="8" t="str">
        <f t="array" ref="E483">IF($A483="","",
INDEX(個体台帳!$D$2:$D$1000,
MATCH(1,
(個体台帳!$A$2:$A$1000=$A483)*
(個体台帳!$C$2:$C$1000="服"),
0)))</f>
        <v/>
      </c>
      <c r="F483" t="str">
        <f t="array" ref="F483">IF($A483="","",
IF(COUNTIFS(貸出記録!$B:$B,$A483,貸出記録!$E:$E,"")&gt;0,
"貸出中","在庫"))</f>
        <v/>
      </c>
      <c r="G483" t="s">
        <v>6</v>
      </c>
      <c r="H483" t="s">
        <v>6</v>
      </c>
      <c r="I483" t="s">
        <v>6</v>
      </c>
    </row>
    <row r="484" spans="1:9">
      <c r="A484" s="21" t="s">
        <v>6</v>
      </c>
      <c r="B484" t="str">
        <f t="array" ref="B484">IF(TRIM(A484)="","",
_xlfn.TEXTJOIN(" , ",TRUE,
IF((個体台帳!$A$2:$A$1000=TRIM(A484))*(個体台帳!$C$2:$C$1000="服"),
個体台帳!$B$2:$B$1000,
"")))</f>
        <v/>
      </c>
      <c r="C484" t="str">
        <f t="array" ref="C484">IF(TRIM(A484)="","",
_xlfn.TEXTJOIN(" , ",TRUE,
IF((個体台帳!$A$2:$A$1000=TRIM(A484))*(個体台帳!$C$2:$C$1000="小物1"),
個体台帳!$B$2:$B$1000,
"")))</f>
        <v/>
      </c>
      <c r="D484" t="str">
        <f t="array" ref="D484">IF(TRIM(A484)="","",
_xlfn.TEXTJOIN(" , ",TRUE,
IF((個体台帳!$A$2:$A$1000=TRIM(A484))*(個体台帳!$C$2:$C$1000="小物2"),
個体台帳!$B$2:$B$1000,
"")))</f>
        <v/>
      </c>
      <c r="E484" s="8" t="str">
        <f t="array" ref="E484">IF($A484="","",
INDEX(個体台帳!$D$2:$D$1000,
MATCH(1,
(個体台帳!$A$2:$A$1000=$A484)*
(個体台帳!$C$2:$C$1000="服"),
0)))</f>
        <v/>
      </c>
      <c r="F484" t="str">
        <f t="array" ref="F484">IF($A484="","",
IF(COUNTIFS(貸出記録!$B:$B,$A484,貸出記録!$E:$E,"")&gt;0,
"貸出中","在庫"))</f>
        <v/>
      </c>
      <c r="G484" t="s">
        <v>6</v>
      </c>
      <c r="H484" t="s">
        <v>6</v>
      </c>
      <c r="I484" t="s">
        <v>6</v>
      </c>
    </row>
    <row r="485" spans="1:9">
      <c r="A485" s="21" t="s">
        <v>6</v>
      </c>
      <c r="B485" t="str">
        <f t="array" ref="B485">IF(TRIM(A485)="","",
_xlfn.TEXTJOIN(" , ",TRUE,
IF((個体台帳!$A$2:$A$1000=TRIM(A485))*(個体台帳!$C$2:$C$1000="服"),
個体台帳!$B$2:$B$1000,
"")))</f>
        <v/>
      </c>
      <c r="C485" t="str">
        <f t="array" ref="C485">IF(TRIM(A485)="","",
_xlfn.TEXTJOIN(" , ",TRUE,
IF((個体台帳!$A$2:$A$1000=TRIM(A485))*(個体台帳!$C$2:$C$1000="小物1"),
個体台帳!$B$2:$B$1000,
"")))</f>
        <v/>
      </c>
      <c r="D485" t="str">
        <f t="array" ref="D485">IF(TRIM(A485)="","",
_xlfn.TEXTJOIN(" , ",TRUE,
IF((個体台帳!$A$2:$A$1000=TRIM(A485))*(個体台帳!$C$2:$C$1000="小物2"),
個体台帳!$B$2:$B$1000,
"")))</f>
        <v/>
      </c>
      <c r="E485" s="8" t="str">
        <f t="array" ref="E485">IF($A485="","",
INDEX(個体台帳!$D$2:$D$1000,
MATCH(1,
(個体台帳!$A$2:$A$1000=$A485)*
(個体台帳!$C$2:$C$1000="服"),
0)))</f>
        <v/>
      </c>
      <c r="F485" t="str">
        <f t="array" ref="F485">IF($A485="","",
IF(COUNTIFS(貸出記録!$B:$B,$A485,貸出記録!$E:$E,"")&gt;0,
"貸出中","在庫"))</f>
        <v/>
      </c>
      <c r="G485" t="s">
        <v>6</v>
      </c>
      <c r="H485" t="s">
        <v>6</v>
      </c>
      <c r="I485" t="s">
        <v>6</v>
      </c>
    </row>
    <row r="486" spans="1:9">
      <c r="A486" s="21" t="s">
        <v>6</v>
      </c>
      <c r="B486" t="str">
        <f t="array" ref="B486">IF(TRIM(A486)="","",
_xlfn.TEXTJOIN(" , ",TRUE,
IF((個体台帳!$A$2:$A$1000=TRIM(A486))*(個体台帳!$C$2:$C$1000="服"),
個体台帳!$B$2:$B$1000,
"")))</f>
        <v/>
      </c>
      <c r="C486" t="str">
        <f t="array" ref="C486">IF(TRIM(A486)="","",
_xlfn.TEXTJOIN(" , ",TRUE,
IF((個体台帳!$A$2:$A$1000=TRIM(A486))*(個体台帳!$C$2:$C$1000="小物1"),
個体台帳!$B$2:$B$1000,
"")))</f>
        <v/>
      </c>
      <c r="D486" t="str">
        <f t="array" ref="D486">IF(TRIM(A486)="","",
_xlfn.TEXTJOIN(" , ",TRUE,
IF((個体台帳!$A$2:$A$1000=TRIM(A486))*(個体台帳!$C$2:$C$1000="小物2"),
個体台帳!$B$2:$B$1000,
"")))</f>
        <v/>
      </c>
      <c r="E486" s="8" t="str">
        <f t="array" ref="E486">IF($A486="","",
INDEX(個体台帳!$D$2:$D$1000,
MATCH(1,
(個体台帳!$A$2:$A$1000=$A486)*
(個体台帳!$C$2:$C$1000="服"),
0)))</f>
        <v/>
      </c>
      <c r="F486" t="str">
        <f t="array" ref="F486">IF($A486="","",
IF(COUNTIFS(貸出記録!$B:$B,$A486,貸出記録!$E:$E,"")&gt;0,
"貸出中","在庫"))</f>
        <v/>
      </c>
      <c r="G486" t="s">
        <v>6</v>
      </c>
      <c r="H486" t="s">
        <v>6</v>
      </c>
      <c r="I486" t="s">
        <v>6</v>
      </c>
    </row>
    <row r="487" spans="1:9">
      <c r="A487" s="21" t="s">
        <v>6</v>
      </c>
      <c r="B487" t="str">
        <f t="array" ref="B487">IF(TRIM(A487)="","",
_xlfn.TEXTJOIN(" , ",TRUE,
IF((個体台帳!$A$2:$A$1000=TRIM(A487))*(個体台帳!$C$2:$C$1000="服"),
個体台帳!$B$2:$B$1000,
"")))</f>
        <v/>
      </c>
      <c r="C487" t="str">
        <f t="array" ref="C487">IF(TRIM(A487)="","",
_xlfn.TEXTJOIN(" , ",TRUE,
IF((個体台帳!$A$2:$A$1000=TRIM(A487))*(個体台帳!$C$2:$C$1000="小物1"),
個体台帳!$B$2:$B$1000,
"")))</f>
        <v/>
      </c>
      <c r="D487" t="str">
        <f t="array" ref="D487">IF(TRIM(A487)="","",
_xlfn.TEXTJOIN(" , ",TRUE,
IF((個体台帳!$A$2:$A$1000=TRIM(A487))*(個体台帳!$C$2:$C$1000="小物2"),
個体台帳!$B$2:$B$1000,
"")))</f>
        <v/>
      </c>
      <c r="E487" s="8" t="str">
        <f t="array" ref="E487">IF($A487="","",
INDEX(個体台帳!$D$2:$D$1000,
MATCH(1,
(個体台帳!$A$2:$A$1000=$A487)*
(個体台帳!$C$2:$C$1000="服"),
0)))</f>
        <v/>
      </c>
      <c r="F487" t="str">
        <f t="array" ref="F487">IF($A487="","",
IF(COUNTIFS(貸出記録!$B:$B,$A487,貸出記録!$E:$E,"")&gt;0,
"貸出中","在庫"))</f>
        <v/>
      </c>
      <c r="G487" t="s">
        <v>6</v>
      </c>
      <c r="H487" t="s">
        <v>6</v>
      </c>
      <c r="I487" t="s">
        <v>6</v>
      </c>
    </row>
    <row r="488" spans="1:9">
      <c r="A488" s="21" t="s">
        <v>6</v>
      </c>
      <c r="B488" t="str">
        <f t="array" ref="B488">IF(TRIM(A488)="","",
_xlfn.TEXTJOIN(" , ",TRUE,
IF((個体台帳!$A$2:$A$1000=TRIM(A488))*(個体台帳!$C$2:$C$1000="服"),
個体台帳!$B$2:$B$1000,
"")))</f>
        <v/>
      </c>
      <c r="C488" t="str">
        <f t="array" ref="C488">IF(TRIM(A488)="","",
_xlfn.TEXTJOIN(" , ",TRUE,
IF((個体台帳!$A$2:$A$1000=TRIM(A488))*(個体台帳!$C$2:$C$1000="小物1"),
個体台帳!$B$2:$B$1000,
"")))</f>
        <v/>
      </c>
      <c r="D488" t="str">
        <f t="array" ref="D488">IF(TRIM(A488)="","",
_xlfn.TEXTJOIN(" , ",TRUE,
IF((個体台帳!$A$2:$A$1000=TRIM(A488))*(個体台帳!$C$2:$C$1000="小物2"),
個体台帳!$B$2:$B$1000,
"")))</f>
        <v/>
      </c>
      <c r="E488" s="8" t="str">
        <f t="array" ref="E488">IF($A488="","",
INDEX(個体台帳!$D$2:$D$1000,
MATCH(1,
(個体台帳!$A$2:$A$1000=$A488)*
(個体台帳!$C$2:$C$1000="服"),
0)))</f>
        <v/>
      </c>
      <c r="F488" t="str">
        <f t="array" ref="F488">IF($A488="","",
IF(COUNTIFS(貸出記録!$B:$B,$A488,貸出記録!$E:$E,"")&gt;0,
"貸出中","在庫"))</f>
        <v/>
      </c>
      <c r="G488" t="s">
        <v>6</v>
      </c>
      <c r="H488" t="s">
        <v>6</v>
      </c>
      <c r="I488" t="s">
        <v>6</v>
      </c>
    </row>
    <row r="489" spans="1:9">
      <c r="A489" s="21" t="s">
        <v>6</v>
      </c>
      <c r="B489" t="str">
        <f t="array" ref="B489">IF(TRIM(A489)="","",
_xlfn.TEXTJOIN(" , ",TRUE,
IF((個体台帳!$A$2:$A$1000=TRIM(A489))*(個体台帳!$C$2:$C$1000="服"),
個体台帳!$B$2:$B$1000,
"")))</f>
        <v/>
      </c>
      <c r="C489" t="str">
        <f t="array" ref="C489">IF(TRIM(A489)="","",
_xlfn.TEXTJOIN(" , ",TRUE,
IF((個体台帳!$A$2:$A$1000=TRIM(A489))*(個体台帳!$C$2:$C$1000="小物1"),
個体台帳!$B$2:$B$1000,
"")))</f>
        <v/>
      </c>
      <c r="D489" t="str">
        <f t="array" ref="D489">IF(TRIM(A489)="","",
_xlfn.TEXTJOIN(" , ",TRUE,
IF((個体台帳!$A$2:$A$1000=TRIM(A489))*(個体台帳!$C$2:$C$1000="小物2"),
個体台帳!$B$2:$B$1000,
"")))</f>
        <v/>
      </c>
      <c r="E489" s="8" t="str">
        <f t="array" ref="E489">IF($A489="","",
INDEX(個体台帳!$D$2:$D$1000,
MATCH(1,
(個体台帳!$A$2:$A$1000=$A489)*
(個体台帳!$C$2:$C$1000="服"),
0)))</f>
        <v/>
      </c>
      <c r="F489" t="str">
        <f t="array" ref="F489">IF($A489="","",
IF(COUNTIFS(貸出記録!$B:$B,$A489,貸出記録!$E:$E,"")&gt;0,
"貸出中","在庫"))</f>
        <v/>
      </c>
      <c r="G489" t="s">
        <v>6</v>
      </c>
      <c r="H489" t="s">
        <v>6</v>
      </c>
      <c r="I489" t="s">
        <v>6</v>
      </c>
    </row>
    <row r="490" spans="1:9">
      <c r="A490" s="21" t="s">
        <v>6</v>
      </c>
      <c r="B490" t="str">
        <f t="array" ref="B490">IF(TRIM(A490)="","",
_xlfn.TEXTJOIN(" , ",TRUE,
IF((個体台帳!$A$2:$A$1000=TRIM(A490))*(個体台帳!$C$2:$C$1000="服"),
個体台帳!$B$2:$B$1000,
"")))</f>
        <v/>
      </c>
      <c r="C490" t="str">
        <f t="array" ref="C490">IF(TRIM(A490)="","",
_xlfn.TEXTJOIN(" , ",TRUE,
IF((個体台帳!$A$2:$A$1000=TRIM(A490))*(個体台帳!$C$2:$C$1000="小物1"),
個体台帳!$B$2:$B$1000,
"")))</f>
        <v/>
      </c>
      <c r="D490" t="str">
        <f t="array" ref="D490">IF(TRIM(A490)="","",
_xlfn.TEXTJOIN(" , ",TRUE,
IF((個体台帳!$A$2:$A$1000=TRIM(A490))*(個体台帳!$C$2:$C$1000="小物2"),
個体台帳!$B$2:$B$1000,
"")))</f>
        <v/>
      </c>
      <c r="E490" s="8" t="str">
        <f t="array" ref="E490">IF($A490="","",
INDEX(個体台帳!$D$2:$D$1000,
MATCH(1,
(個体台帳!$A$2:$A$1000=$A490)*
(個体台帳!$C$2:$C$1000="服"),
0)))</f>
        <v/>
      </c>
      <c r="F490" t="str">
        <f t="array" ref="F490">IF($A490="","",
IF(COUNTIFS(貸出記録!$B:$B,$A490,貸出記録!$E:$E,"")&gt;0,
"貸出中","在庫"))</f>
        <v/>
      </c>
      <c r="G490" t="s">
        <v>6</v>
      </c>
      <c r="H490" t="s">
        <v>6</v>
      </c>
      <c r="I490" t="s">
        <v>6</v>
      </c>
    </row>
    <row r="491" spans="1:9">
      <c r="A491" s="21" t="s">
        <v>6</v>
      </c>
      <c r="B491" t="str">
        <f t="array" ref="B491">IF(TRIM(A491)="","",
_xlfn.TEXTJOIN(" , ",TRUE,
IF((個体台帳!$A$2:$A$1000=TRIM(A491))*(個体台帳!$C$2:$C$1000="服"),
個体台帳!$B$2:$B$1000,
"")))</f>
        <v/>
      </c>
      <c r="C491" t="str">
        <f t="array" ref="C491">IF(TRIM(A491)="","",
_xlfn.TEXTJOIN(" , ",TRUE,
IF((個体台帳!$A$2:$A$1000=TRIM(A491))*(個体台帳!$C$2:$C$1000="小物1"),
個体台帳!$B$2:$B$1000,
"")))</f>
        <v/>
      </c>
      <c r="D491" t="str">
        <f t="array" ref="D491">IF(TRIM(A491)="","",
_xlfn.TEXTJOIN(" , ",TRUE,
IF((個体台帳!$A$2:$A$1000=TRIM(A491))*(個体台帳!$C$2:$C$1000="小物2"),
個体台帳!$B$2:$B$1000,
"")))</f>
        <v/>
      </c>
      <c r="E491" s="8" t="str">
        <f t="array" ref="E491">IF($A491="","",
INDEX(個体台帳!$D$2:$D$1000,
MATCH(1,
(個体台帳!$A$2:$A$1000=$A491)*
(個体台帳!$C$2:$C$1000="服"),
0)))</f>
        <v/>
      </c>
      <c r="F491" t="str">
        <f t="array" ref="F491">IF($A491="","",
IF(COUNTIFS(貸出記録!$B:$B,$A491,貸出記録!$E:$E,"")&gt;0,
"貸出中","在庫"))</f>
        <v/>
      </c>
      <c r="G491" t="s">
        <v>6</v>
      </c>
      <c r="H491" t="s">
        <v>6</v>
      </c>
      <c r="I491" t="s">
        <v>6</v>
      </c>
    </row>
    <row r="492" spans="1:9">
      <c r="A492" s="21" t="s">
        <v>6</v>
      </c>
      <c r="B492" t="str">
        <f t="array" ref="B492">IF(TRIM(A492)="","",
_xlfn.TEXTJOIN(" , ",TRUE,
IF((個体台帳!$A$2:$A$1000=TRIM(A492))*(個体台帳!$C$2:$C$1000="服"),
個体台帳!$B$2:$B$1000,
"")))</f>
        <v/>
      </c>
      <c r="C492" t="str">
        <f t="array" ref="C492">IF(TRIM(A492)="","",
_xlfn.TEXTJOIN(" , ",TRUE,
IF((個体台帳!$A$2:$A$1000=TRIM(A492))*(個体台帳!$C$2:$C$1000="小物1"),
個体台帳!$B$2:$B$1000,
"")))</f>
        <v/>
      </c>
      <c r="D492" t="str">
        <f t="array" ref="D492">IF(TRIM(A492)="","",
_xlfn.TEXTJOIN(" , ",TRUE,
IF((個体台帳!$A$2:$A$1000=TRIM(A492))*(個体台帳!$C$2:$C$1000="小物2"),
個体台帳!$B$2:$B$1000,
"")))</f>
        <v/>
      </c>
      <c r="E492" s="8" t="str">
        <f t="array" ref="E492">IF($A492="","",
INDEX(個体台帳!$D$2:$D$1000,
MATCH(1,
(個体台帳!$A$2:$A$1000=$A492)*
(個体台帳!$C$2:$C$1000="服"),
0)))</f>
        <v/>
      </c>
      <c r="F492" t="str">
        <f t="array" ref="F492">IF($A492="","",
IF(COUNTIFS(貸出記録!$B:$B,$A492,貸出記録!$E:$E,"")&gt;0,
"貸出中","在庫"))</f>
        <v/>
      </c>
      <c r="G492" t="s">
        <v>6</v>
      </c>
      <c r="H492" t="s">
        <v>6</v>
      </c>
      <c r="I492" t="s">
        <v>6</v>
      </c>
    </row>
    <row r="493" spans="1:9">
      <c r="A493" s="21" t="s">
        <v>6</v>
      </c>
      <c r="B493" t="str">
        <f t="array" ref="B493">IF(TRIM(A493)="","",
_xlfn.TEXTJOIN(" , ",TRUE,
IF((個体台帳!$A$2:$A$1000=TRIM(A493))*(個体台帳!$C$2:$C$1000="服"),
個体台帳!$B$2:$B$1000,
"")))</f>
        <v/>
      </c>
      <c r="C493" t="str">
        <f t="array" ref="C493">IF(TRIM(A493)="","",
_xlfn.TEXTJOIN(" , ",TRUE,
IF((個体台帳!$A$2:$A$1000=TRIM(A493))*(個体台帳!$C$2:$C$1000="小物1"),
個体台帳!$B$2:$B$1000,
"")))</f>
        <v/>
      </c>
      <c r="D493" t="str">
        <f t="array" ref="D493">IF(TRIM(A493)="","",
_xlfn.TEXTJOIN(" , ",TRUE,
IF((個体台帳!$A$2:$A$1000=TRIM(A493))*(個体台帳!$C$2:$C$1000="小物2"),
個体台帳!$B$2:$B$1000,
"")))</f>
        <v/>
      </c>
      <c r="E493" s="8" t="str">
        <f t="array" ref="E493">IF($A493="","",
INDEX(個体台帳!$D$2:$D$1000,
MATCH(1,
(個体台帳!$A$2:$A$1000=$A493)*
(個体台帳!$C$2:$C$1000="服"),
0)))</f>
        <v/>
      </c>
      <c r="F493" t="str">
        <f t="array" ref="F493">IF($A493="","",
IF(COUNTIFS(貸出記録!$B:$B,$A493,貸出記録!$E:$E,"")&gt;0,
"貸出中","在庫"))</f>
        <v/>
      </c>
      <c r="G493" t="s">
        <v>6</v>
      </c>
      <c r="H493" t="s">
        <v>6</v>
      </c>
      <c r="I493" t="s">
        <v>6</v>
      </c>
    </row>
    <row r="494" spans="1:9">
      <c r="A494" s="21" t="s">
        <v>6</v>
      </c>
      <c r="B494" t="str">
        <f t="array" ref="B494">IF(TRIM(A494)="","",
_xlfn.TEXTJOIN(" , ",TRUE,
IF((個体台帳!$A$2:$A$1000=TRIM(A494))*(個体台帳!$C$2:$C$1000="服"),
個体台帳!$B$2:$B$1000,
"")))</f>
        <v/>
      </c>
      <c r="C494" t="str">
        <f t="array" ref="C494">IF(TRIM(A494)="","",
_xlfn.TEXTJOIN(" , ",TRUE,
IF((個体台帳!$A$2:$A$1000=TRIM(A494))*(個体台帳!$C$2:$C$1000="小物1"),
個体台帳!$B$2:$B$1000,
"")))</f>
        <v/>
      </c>
      <c r="D494" t="str">
        <f t="array" ref="D494">IF(TRIM(A494)="","",
_xlfn.TEXTJOIN(" , ",TRUE,
IF((個体台帳!$A$2:$A$1000=TRIM(A494))*(個体台帳!$C$2:$C$1000="小物2"),
個体台帳!$B$2:$B$1000,
"")))</f>
        <v/>
      </c>
      <c r="E494" s="8" t="str">
        <f t="array" ref="E494">IF($A494="","",
INDEX(個体台帳!$D$2:$D$1000,
MATCH(1,
(個体台帳!$A$2:$A$1000=$A494)*
(個体台帳!$C$2:$C$1000="服"),
0)))</f>
        <v/>
      </c>
      <c r="F494" t="str">
        <f t="array" ref="F494">IF($A494="","",
IF(COUNTIFS(貸出記録!$B:$B,$A494,貸出記録!$E:$E,"")&gt;0,
"貸出中","在庫"))</f>
        <v/>
      </c>
      <c r="G494" t="s">
        <v>6</v>
      </c>
      <c r="H494" t="s">
        <v>6</v>
      </c>
      <c r="I494" t="s">
        <v>6</v>
      </c>
    </row>
    <row r="495" spans="1:9">
      <c r="A495" s="21" t="s">
        <v>6</v>
      </c>
      <c r="B495" t="str">
        <f t="array" ref="B495">IF(TRIM(A495)="","",
_xlfn.TEXTJOIN(" , ",TRUE,
IF((個体台帳!$A$2:$A$1000=TRIM(A495))*(個体台帳!$C$2:$C$1000="服"),
個体台帳!$B$2:$B$1000,
"")))</f>
        <v/>
      </c>
      <c r="C495" t="str">
        <f t="array" ref="C495">IF(TRIM(A495)="","",
_xlfn.TEXTJOIN(" , ",TRUE,
IF((個体台帳!$A$2:$A$1000=TRIM(A495))*(個体台帳!$C$2:$C$1000="小物1"),
個体台帳!$B$2:$B$1000,
"")))</f>
        <v/>
      </c>
      <c r="D495" t="str">
        <f t="array" ref="D495">IF(TRIM(A495)="","",
_xlfn.TEXTJOIN(" , ",TRUE,
IF((個体台帳!$A$2:$A$1000=TRIM(A495))*(個体台帳!$C$2:$C$1000="小物2"),
個体台帳!$B$2:$B$1000,
"")))</f>
        <v/>
      </c>
      <c r="E495" s="8" t="str">
        <f t="array" ref="E495">IF($A495="","",
INDEX(個体台帳!$D$2:$D$1000,
MATCH(1,
(個体台帳!$A$2:$A$1000=$A495)*
(個体台帳!$C$2:$C$1000="服"),
0)))</f>
        <v/>
      </c>
      <c r="F495" t="str">
        <f t="array" ref="F495">IF($A495="","",
IF(COUNTIFS(貸出記録!$B:$B,$A495,貸出記録!$E:$E,"")&gt;0,
"貸出中","在庫"))</f>
        <v/>
      </c>
      <c r="G495" t="s">
        <v>6</v>
      </c>
      <c r="H495" t="s">
        <v>6</v>
      </c>
      <c r="I495" t="s">
        <v>6</v>
      </c>
    </row>
    <row r="496" spans="1:9">
      <c r="A496" s="21" t="s">
        <v>6</v>
      </c>
      <c r="B496" t="str">
        <f t="array" ref="B496">IF(TRIM(A496)="","",
_xlfn.TEXTJOIN(" , ",TRUE,
IF((個体台帳!$A$2:$A$1000=TRIM(A496))*(個体台帳!$C$2:$C$1000="服"),
個体台帳!$B$2:$B$1000,
"")))</f>
        <v/>
      </c>
      <c r="C496" t="str">
        <f t="array" ref="C496">IF(TRIM(A496)="","",
_xlfn.TEXTJOIN(" , ",TRUE,
IF((個体台帳!$A$2:$A$1000=TRIM(A496))*(個体台帳!$C$2:$C$1000="小物1"),
個体台帳!$B$2:$B$1000,
"")))</f>
        <v/>
      </c>
      <c r="D496" t="str">
        <f t="array" ref="D496">IF(TRIM(A496)="","",
_xlfn.TEXTJOIN(" , ",TRUE,
IF((個体台帳!$A$2:$A$1000=TRIM(A496))*(個体台帳!$C$2:$C$1000="小物2"),
個体台帳!$B$2:$B$1000,
"")))</f>
        <v/>
      </c>
      <c r="E496" s="8" t="str">
        <f t="array" ref="E496">IF($A496="","",
INDEX(個体台帳!$D$2:$D$1000,
MATCH(1,
(個体台帳!$A$2:$A$1000=$A496)*
(個体台帳!$C$2:$C$1000="服"),
0)))</f>
        <v/>
      </c>
      <c r="F496" t="str">
        <f t="array" ref="F496">IF($A496="","",
IF(COUNTIFS(貸出記録!$B:$B,$A496,貸出記録!$E:$E,"")&gt;0,
"貸出中","在庫"))</f>
        <v/>
      </c>
      <c r="G496" t="s">
        <v>6</v>
      </c>
      <c r="H496" t="s">
        <v>6</v>
      </c>
      <c r="I496" t="s">
        <v>6</v>
      </c>
    </row>
    <row r="497" spans="1:9">
      <c r="A497" s="21" t="s">
        <v>6</v>
      </c>
      <c r="B497" t="str">
        <f t="array" ref="B497">IF(TRIM(A497)="","",
_xlfn.TEXTJOIN(" , ",TRUE,
IF((個体台帳!$A$2:$A$1000=TRIM(A497))*(個体台帳!$C$2:$C$1000="服"),
個体台帳!$B$2:$B$1000,
"")))</f>
        <v/>
      </c>
      <c r="C497" t="str">
        <f t="array" ref="C497">IF(TRIM(A497)="","",
_xlfn.TEXTJOIN(" , ",TRUE,
IF((個体台帳!$A$2:$A$1000=TRIM(A497))*(個体台帳!$C$2:$C$1000="小物1"),
個体台帳!$B$2:$B$1000,
"")))</f>
        <v/>
      </c>
      <c r="D497" t="str">
        <f t="array" ref="D497">IF(TRIM(A497)="","",
_xlfn.TEXTJOIN(" , ",TRUE,
IF((個体台帳!$A$2:$A$1000=TRIM(A497))*(個体台帳!$C$2:$C$1000="小物2"),
個体台帳!$B$2:$B$1000,
"")))</f>
        <v/>
      </c>
      <c r="E497" s="8" t="str">
        <f t="array" ref="E497">IF($A497="","",
INDEX(個体台帳!$D$2:$D$1000,
MATCH(1,
(個体台帳!$A$2:$A$1000=$A497)*
(個体台帳!$C$2:$C$1000="服"),
0)))</f>
        <v/>
      </c>
      <c r="F497" t="str">
        <f t="array" ref="F497">IF($A497="","",
IF(COUNTIFS(貸出記録!$B:$B,$A497,貸出記録!$E:$E,"")&gt;0,
"貸出中","在庫"))</f>
        <v/>
      </c>
      <c r="G497" t="s">
        <v>6</v>
      </c>
      <c r="H497" t="s">
        <v>6</v>
      </c>
      <c r="I497" t="s">
        <v>6</v>
      </c>
    </row>
    <row r="498" spans="1:9">
      <c r="A498" s="21" t="s">
        <v>6</v>
      </c>
      <c r="B498" t="str">
        <f t="array" ref="B498">IF(TRIM(A498)="","",
_xlfn.TEXTJOIN(" , ",TRUE,
IF((個体台帳!$A$2:$A$1000=TRIM(A498))*(個体台帳!$C$2:$C$1000="服"),
個体台帳!$B$2:$B$1000,
"")))</f>
        <v/>
      </c>
      <c r="C498" t="str">
        <f t="array" ref="C498">IF(TRIM(A498)="","",
_xlfn.TEXTJOIN(" , ",TRUE,
IF((個体台帳!$A$2:$A$1000=TRIM(A498))*(個体台帳!$C$2:$C$1000="小物1"),
個体台帳!$B$2:$B$1000,
"")))</f>
        <v/>
      </c>
      <c r="D498" t="str">
        <f t="array" ref="D498">IF(TRIM(A498)="","",
_xlfn.TEXTJOIN(" , ",TRUE,
IF((個体台帳!$A$2:$A$1000=TRIM(A498))*(個体台帳!$C$2:$C$1000="小物2"),
個体台帳!$B$2:$B$1000,
"")))</f>
        <v/>
      </c>
      <c r="E498" s="8" t="str">
        <f t="array" ref="E498">IF($A498="","",
INDEX(個体台帳!$D$2:$D$1000,
MATCH(1,
(個体台帳!$A$2:$A$1000=$A498)*
(個体台帳!$C$2:$C$1000="服"),
0)))</f>
        <v/>
      </c>
      <c r="F498" t="str">
        <f t="array" ref="F498">IF($A498="","",
IF(COUNTIFS(貸出記録!$B:$B,$A498,貸出記録!$E:$E,"")&gt;0,
"貸出中","在庫"))</f>
        <v/>
      </c>
      <c r="G498" t="s">
        <v>6</v>
      </c>
      <c r="H498" t="s">
        <v>6</v>
      </c>
      <c r="I498" t="s">
        <v>6</v>
      </c>
    </row>
    <row r="499" spans="1:9">
      <c r="A499" s="21" t="s">
        <v>6</v>
      </c>
      <c r="B499" t="str">
        <f t="array" ref="B499">IF(TRIM(A499)="","",
_xlfn.TEXTJOIN(" , ",TRUE,
IF((個体台帳!$A$2:$A$1000=TRIM(A499))*(個体台帳!$C$2:$C$1000="服"),
個体台帳!$B$2:$B$1000,
"")))</f>
        <v/>
      </c>
      <c r="C499" t="str">
        <f t="array" ref="C499">IF(TRIM(A499)="","",
_xlfn.TEXTJOIN(" , ",TRUE,
IF((個体台帳!$A$2:$A$1000=TRIM(A499))*(個体台帳!$C$2:$C$1000="小物1"),
個体台帳!$B$2:$B$1000,
"")))</f>
        <v/>
      </c>
      <c r="D499" t="str">
        <f t="array" ref="D499">IF(TRIM(A499)="","",
_xlfn.TEXTJOIN(" , ",TRUE,
IF((個体台帳!$A$2:$A$1000=TRIM(A499))*(個体台帳!$C$2:$C$1000="小物2"),
個体台帳!$B$2:$B$1000,
"")))</f>
        <v/>
      </c>
      <c r="E499" s="8" t="str">
        <f t="array" ref="E499">IF($A499="","",
INDEX(個体台帳!$D$2:$D$1000,
MATCH(1,
(個体台帳!$A$2:$A$1000=$A499)*
(個体台帳!$C$2:$C$1000="服"),
0)))</f>
        <v/>
      </c>
      <c r="F499" t="str">
        <f t="array" ref="F499">IF($A499="","",
IF(COUNTIFS(貸出記録!$B:$B,$A499,貸出記録!$E:$E,"")&gt;0,
"貸出中","在庫"))</f>
        <v/>
      </c>
      <c r="G499" t="s">
        <v>6</v>
      </c>
      <c r="H499" t="s">
        <v>6</v>
      </c>
      <c r="I499" t="s">
        <v>6</v>
      </c>
    </row>
    <row r="500" spans="1:9">
      <c r="A500" s="21" t="s">
        <v>6</v>
      </c>
      <c r="B500" t="str">
        <f t="array" ref="B500">IF(TRIM(A500)="","",
_xlfn.TEXTJOIN(" , ",TRUE,
IF((個体台帳!$A$2:$A$1000=TRIM(A500))*(個体台帳!$C$2:$C$1000="服"),
個体台帳!$B$2:$B$1000,
"")))</f>
        <v/>
      </c>
      <c r="C500" t="str">
        <f t="array" ref="C500">IF(TRIM(A500)="","",
_xlfn.TEXTJOIN(" , ",TRUE,
IF((個体台帳!$A$2:$A$1000=TRIM(A500))*(個体台帳!$C$2:$C$1000="小物1"),
個体台帳!$B$2:$B$1000,
"")))</f>
        <v/>
      </c>
      <c r="D500" t="str">
        <f t="array" ref="D500">IF(TRIM(A500)="","",
_xlfn.TEXTJOIN(" , ",TRUE,
IF((個体台帳!$A$2:$A$1000=TRIM(A500))*(個体台帳!$C$2:$C$1000="小物2"),
個体台帳!$B$2:$B$1000,
"")))</f>
        <v/>
      </c>
      <c r="E500" s="8" t="str">
        <f t="array" ref="E500">IF($A500="","",
INDEX(個体台帳!$D$2:$D$1000,
MATCH(1,
(個体台帳!$A$2:$A$1000=$A500)*
(個体台帳!$C$2:$C$1000="服"),
0)))</f>
        <v/>
      </c>
      <c r="F500" t="str">
        <f t="array" ref="F500">IF($A500="","",
IF(COUNTIFS(貸出記録!$B:$B,$A500,貸出記録!$E:$E,"")&gt;0,
"貸出中","在庫"))</f>
        <v/>
      </c>
      <c r="G500" t="s">
        <v>6</v>
      </c>
      <c r="H500" t="s">
        <v>6</v>
      </c>
      <c r="I500" t="s">
        <v>6</v>
      </c>
    </row>
  </sheetData>
  <phoneticPr fontId="3"/>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000"/>
  <sheetViews>
    <sheetView showGridLines="0" workbookViewId="0">
      <selection activeCell="K3" sqref="K3"/>
    </sheetView>
  </sheetViews>
  <sheetFormatPr defaultRowHeight="14.4"/>
  <cols>
    <col min="1" max="1" width="16" customWidth="1"/>
    <col min="2" max="2" width="12" customWidth="1"/>
    <col min="3" max="3" width="18" customWidth="1"/>
    <col min="4" max="5" width="15.77734375" style="12" bestFit="1" customWidth="1"/>
    <col min="6" max="6" width="13.21875" bestFit="1" customWidth="1"/>
    <col min="7" max="7" width="16" customWidth="1"/>
    <col min="8" max="8" width="18" customWidth="1"/>
    <col min="9" max="9" width="11" bestFit="1" customWidth="1"/>
    <col min="10" max="10" width="11.6640625" bestFit="1" customWidth="1"/>
    <col min="11" max="13" width="11.88671875" bestFit="1" customWidth="1"/>
  </cols>
  <sheetData>
    <row r="1" spans="1:13" ht="18">
      <c r="A1" s="1" t="s">
        <v>9</v>
      </c>
      <c r="B1" s="1" t="s">
        <v>7</v>
      </c>
      <c r="C1" s="1" t="s">
        <v>10</v>
      </c>
      <c r="D1" s="13" t="s">
        <v>11</v>
      </c>
      <c r="E1" s="13" t="s">
        <v>12</v>
      </c>
      <c r="F1" s="14" t="s">
        <v>521</v>
      </c>
      <c r="G1" s="1" t="s">
        <v>13</v>
      </c>
      <c r="H1" s="1" t="s">
        <v>5</v>
      </c>
      <c r="I1" t="s">
        <v>546</v>
      </c>
      <c r="J1" s="20" t="s">
        <v>547</v>
      </c>
      <c r="K1" t="s">
        <v>548</v>
      </c>
      <c r="L1" t="s">
        <v>549</v>
      </c>
      <c r="M1" t="s">
        <v>550</v>
      </c>
    </row>
    <row r="2" spans="1:13">
      <c r="A2" t="s">
        <v>516</v>
      </c>
      <c r="D2" s="11"/>
      <c r="E2" s="11"/>
      <c r="F2" s="15"/>
      <c r="G2" t="s">
        <v>6</v>
      </c>
      <c r="H2" t="s">
        <v>6</v>
      </c>
      <c r="I2">
        <f t="shared" ref="I2:I65" si="0">IF($A2="","",--($E2=""))</f>
        <v>1</v>
      </c>
      <c r="J2" t="str">
        <f ca="1">IF($D2="","",TODAY()-$D2)</f>
        <v/>
      </c>
      <c r="K2">
        <f t="shared" ref="K2:K65" ca="1" si="1">IF($A2="","",IF(AND($E2="", $D2&lt;&gt;"", TODAY()-$D2&gt;=31),1,0))</f>
        <v>0</v>
      </c>
      <c r="L2">
        <f>IF($A2="","",IF($E2&lt;&gt;"",0,IF(COUNTIFS(個体台帳!$A:$A,$B2,個体台帳!$E:$E,"&lt;&gt;貸出中")&gt;0,1,0)))</f>
        <v>0</v>
      </c>
      <c r="M2">
        <f>IF($A2="","",IF($E2&lt;&gt;"",0,IF(COUNTIFS(個体台帳!$A:$A,$B2,個体台帳!$E:$E,"廃棄")&gt;0,1,0)))</f>
        <v>0</v>
      </c>
    </row>
    <row r="3" spans="1:13">
      <c r="A3" t="s">
        <v>554</v>
      </c>
      <c r="C3" t="s">
        <v>6</v>
      </c>
      <c r="D3" s="12" t="s">
        <v>6</v>
      </c>
      <c r="E3" s="11" t="s">
        <v>6</v>
      </c>
      <c r="F3" s="16" t="s">
        <v>6</v>
      </c>
      <c r="G3" t="s">
        <v>6</v>
      </c>
      <c r="H3" t="s">
        <v>6</v>
      </c>
      <c r="I3">
        <f t="shared" si="0"/>
        <v>1</v>
      </c>
      <c r="J3" t="str">
        <f t="shared" ref="J3:J65" ca="1" si="2">IF($D3="","",TODAY()-$D3)</f>
        <v/>
      </c>
      <c r="K3" t="e">
        <f t="shared" ca="1" si="1"/>
        <v>#VALUE!</v>
      </c>
      <c r="L3">
        <f>IF($A3="","",IF($E3&lt;&gt;"",0,IF(COUNTIFS(個体台帳!$A:$A,$B3,個体台帳!$E:$E,"&lt;&gt;貸出中")&gt;0,1,0)))</f>
        <v>0</v>
      </c>
      <c r="M3">
        <f>IF($A3="","",IF($E3&lt;&gt;"",0,IF(COUNTIFS(個体台帳!$A:$A,$B3,個体台帳!$E:$E,"廃棄")&gt;0,1,0)))</f>
        <v>0</v>
      </c>
    </row>
    <row r="4" spans="1:13">
      <c r="A4" t="s">
        <v>555</v>
      </c>
      <c r="B4" t="s">
        <v>6</v>
      </c>
      <c r="C4" t="s">
        <v>6</v>
      </c>
      <c r="D4" s="12" t="s">
        <v>6</v>
      </c>
      <c r="E4" s="11" t="s">
        <v>6</v>
      </c>
      <c r="F4" s="16" t="s">
        <v>6</v>
      </c>
      <c r="G4" t="s">
        <v>6</v>
      </c>
      <c r="H4" t="s">
        <v>6</v>
      </c>
      <c r="I4">
        <f t="shared" si="0"/>
        <v>1</v>
      </c>
      <c r="J4" t="str">
        <f t="shared" ca="1" si="2"/>
        <v/>
      </c>
      <c r="K4" t="e">
        <f t="shared" ca="1" si="1"/>
        <v>#VALUE!</v>
      </c>
      <c r="L4">
        <f>IF($A4="","",IF($E4&lt;&gt;"",0,IF(COUNTIFS(個体台帳!$A:$A,$B4,個体台帳!$E:$E,"&lt;&gt;貸出中")&gt;0,1,0)))</f>
        <v>1</v>
      </c>
      <c r="M4">
        <f>IF($A4="","",IF($E4&lt;&gt;"",0,IF(COUNTIFS(個体台帳!$A:$A,$B4,個体台帳!$E:$E,"廃棄")&gt;0,1,0)))</f>
        <v>0</v>
      </c>
    </row>
    <row r="5" spans="1:13">
      <c r="A5" t="s">
        <v>556</v>
      </c>
      <c r="B5" t="s">
        <v>6</v>
      </c>
      <c r="C5" t="s">
        <v>6</v>
      </c>
      <c r="D5" s="12" t="s">
        <v>6</v>
      </c>
      <c r="E5" s="11" t="s">
        <v>6</v>
      </c>
      <c r="F5" s="16" t="s">
        <v>6</v>
      </c>
      <c r="G5" t="s">
        <v>6</v>
      </c>
      <c r="H5" t="s">
        <v>6</v>
      </c>
      <c r="I5">
        <f t="shared" si="0"/>
        <v>1</v>
      </c>
      <c r="J5" t="str">
        <f t="shared" ca="1" si="2"/>
        <v/>
      </c>
      <c r="K5" t="e">
        <f t="shared" ca="1" si="1"/>
        <v>#VALUE!</v>
      </c>
      <c r="L5">
        <f>IF($A5="","",IF($E5&lt;&gt;"",0,IF(COUNTIFS(個体台帳!$A:$A,$B5,個体台帳!$E:$E,"&lt;&gt;貸出中")&gt;0,1,0)))</f>
        <v>1</v>
      </c>
      <c r="M5">
        <f>IF($A5="","",IF($E5&lt;&gt;"",0,IF(COUNTIFS(個体台帳!$A:$A,$B5,個体台帳!$E:$E,"廃棄")&gt;0,1,0)))</f>
        <v>0</v>
      </c>
    </row>
    <row r="6" spans="1:13">
      <c r="A6" t="s">
        <v>557</v>
      </c>
      <c r="B6" t="s">
        <v>6</v>
      </c>
      <c r="C6" t="s">
        <v>6</v>
      </c>
      <c r="D6" s="12" t="s">
        <v>6</v>
      </c>
      <c r="E6" s="11" t="s">
        <v>6</v>
      </c>
      <c r="F6" s="16" t="s">
        <v>6</v>
      </c>
      <c r="G6" t="s">
        <v>6</v>
      </c>
      <c r="H6" t="s">
        <v>6</v>
      </c>
      <c r="I6">
        <f t="shared" si="0"/>
        <v>1</v>
      </c>
      <c r="J6" t="str">
        <f t="shared" ca="1" si="2"/>
        <v/>
      </c>
      <c r="K6" t="e">
        <f t="shared" ca="1" si="1"/>
        <v>#VALUE!</v>
      </c>
      <c r="L6">
        <f>IF($A6="","",IF($E6&lt;&gt;"",0,IF(COUNTIFS(個体台帳!$A:$A,$B6,個体台帳!$E:$E,"&lt;&gt;貸出中")&gt;0,1,0)))</f>
        <v>1</v>
      </c>
      <c r="M6">
        <f>IF($A6="","",IF($E6&lt;&gt;"",0,IF(COUNTIFS(個体台帳!$A:$A,$B6,個体台帳!$E:$E,"廃棄")&gt;0,1,0)))</f>
        <v>0</v>
      </c>
    </row>
    <row r="7" spans="1:13">
      <c r="A7" t="s">
        <v>558</v>
      </c>
      <c r="B7" t="s">
        <v>6</v>
      </c>
      <c r="C7" t="s">
        <v>6</v>
      </c>
      <c r="D7" s="12" t="s">
        <v>6</v>
      </c>
      <c r="E7" s="11" t="s">
        <v>6</v>
      </c>
      <c r="F7" s="16" t="s">
        <v>6</v>
      </c>
      <c r="G7" t="s">
        <v>6</v>
      </c>
      <c r="H7" t="s">
        <v>6</v>
      </c>
      <c r="I7">
        <f t="shared" si="0"/>
        <v>1</v>
      </c>
      <c r="J7" t="str">
        <f t="shared" ca="1" si="2"/>
        <v/>
      </c>
      <c r="K7" t="e">
        <f t="shared" ca="1" si="1"/>
        <v>#VALUE!</v>
      </c>
      <c r="L7">
        <f>IF($A7="","",IF($E7&lt;&gt;"",0,IF(COUNTIFS(個体台帳!$A:$A,$B7,個体台帳!$E:$E,"&lt;&gt;貸出中")&gt;0,1,0)))</f>
        <v>1</v>
      </c>
      <c r="M7">
        <f>IF($A7="","",IF($E7&lt;&gt;"",0,IF(COUNTIFS(個体台帳!$A:$A,$B7,個体台帳!$E:$E,"廃棄")&gt;0,1,0)))</f>
        <v>0</v>
      </c>
    </row>
    <row r="8" spans="1:13">
      <c r="A8" t="s">
        <v>559</v>
      </c>
      <c r="B8" t="s">
        <v>6</v>
      </c>
      <c r="C8" t="s">
        <v>6</v>
      </c>
      <c r="D8" s="12" t="s">
        <v>6</v>
      </c>
      <c r="E8" s="11" t="s">
        <v>6</v>
      </c>
      <c r="F8" s="16" t="s">
        <v>6</v>
      </c>
      <c r="G8" t="s">
        <v>6</v>
      </c>
      <c r="H8" t="s">
        <v>6</v>
      </c>
      <c r="I8">
        <f t="shared" si="0"/>
        <v>1</v>
      </c>
      <c r="J8" t="str">
        <f t="shared" ca="1" si="2"/>
        <v/>
      </c>
      <c r="K8" t="e">
        <f t="shared" ca="1" si="1"/>
        <v>#VALUE!</v>
      </c>
      <c r="L8">
        <f>IF($A8="","",IF($E8&lt;&gt;"",0,IF(COUNTIFS(個体台帳!$A:$A,$B8,個体台帳!$E:$E,"&lt;&gt;貸出中")&gt;0,1,0)))</f>
        <v>1</v>
      </c>
      <c r="M8">
        <f>IF($A8="","",IF($E8&lt;&gt;"",0,IF(COUNTIFS(個体台帳!$A:$A,$B8,個体台帳!$E:$E,"廃棄")&gt;0,1,0)))</f>
        <v>0</v>
      </c>
    </row>
    <row r="9" spans="1:13">
      <c r="A9" t="s">
        <v>560</v>
      </c>
      <c r="B9" t="s">
        <v>6</v>
      </c>
      <c r="C9" t="s">
        <v>6</v>
      </c>
      <c r="D9" s="12" t="s">
        <v>6</v>
      </c>
      <c r="E9" s="11" t="s">
        <v>6</v>
      </c>
      <c r="F9" s="16" t="s">
        <v>6</v>
      </c>
      <c r="G9" t="s">
        <v>6</v>
      </c>
      <c r="H9" t="s">
        <v>6</v>
      </c>
      <c r="I9">
        <f t="shared" si="0"/>
        <v>1</v>
      </c>
      <c r="J9" t="str">
        <f t="shared" ca="1" si="2"/>
        <v/>
      </c>
      <c r="K9" t="e">
        <f t="shared" ca="1" si="1"/>
        <v>#VALUE!</v>
      </c>
      <c r="L9">
        <f>IF($A9="","",IF($E9&lt;&gt;"",0,IF(COUNTIFS(個体台帳!$A:$A,$B9,個体台帳!$E:$E,"&lt;&gt;貸出中")&gt;0,1,0)))</f>
        <v>1</v>
      </c>
      <c r="M9">
        <f>IF($A9="","",IF($E9&lt;&gt;"",0,IF(COUNTIFS(個体台帳!$A:$A,$B9,個体台帳!$E:$E,"廃棄")&gt;0,1,0)))</f>
        <v>0</v>
      </c>
    </row>
    <row r="10" spans="1:13">
      <c r="A10" t="s">
        <v>561</v>
      </c>
      <c r="B10" t="s">
        <v>6</v>
      </c>
      <c r="C10" t="s">
        <v>6</v>
      </c>
      <c r="D10" s="12" t="s">
        <v>6</v>
      </c>
      <c r="E10" s="11" t="s">
        <v>6</v>
      </c>
      <c r="F10" s="16" t="s">
        <v>6</v>
      </c>
      <c r="G10" t="s">
        <v>6</v>
      </c>
      <c r="H10" t="s">
        <v>6</v>
      </c>
      <c r="I10">
        <f t="shared" si="0"/>
        <v>1</v>
      </c>
      <c r="J10" t="str">
        <f t="shared" ca="1" si="2"/>
        <v/>
      </c>
      <c r="K10" t="e">
        <f t="shared" ca="1" si="1"/>
        <v>#VALUE!</v>
      </c>
      <c r="L10">
        <f>IF($A10="","",IF($E10&lt;&gt;"",0,IF(COUNTIFS(個体台帳!$A:$A,$B10,個体台帳!$E:$E,"&lt;&gt;貸出中")&gt;0,1,0)))</f>
        <v>1</v>
      </c>
      <c r="M10">
        <f>IF($A10="","",IF($E10&lt;&gt;"",0,IF(COUNTIFS(個体台帳!$A:$A,$B10,個体台帳!$E:$E,"廃棄")&gt;0,1,0)))</f>
        <v>0</v>
      </c>
    </row>
    <row r="11" spans="1:13">
      <c r="A11" t="s">
        <v>562</v>
      </c>
      <c r="B11" t="s">
        <v>6</v>
      </c>
      <c r="C11" t="s">
        <v>6</v>
      </c>
      <c r="D11" s="12" t="s">
        <v>6</v>
      </c>
      <c r="E11" s="11" t="s">
        <v>6</v>
      </c>
      <c r="F11" s="16" t="s">
        <v>6</v>
      </c>
      <c r="G11" t="s">
        <v>6</v>
      </c>
      <c r="H11" t="s">
        <v>6</v>
      </c>
      <c r="I11">
        <f t="shared" si="0"/>
        <v>1</v>
      </c>
      <c r="J11" t="str">
        <f t="shared" ca="1" si="2"/>
        <v/>
      </c>
      <c r="K11" t="e">
        <f t="shared" ca="1" si="1"/>
        <v>#VALUE!</v>
      </c>
      <c r="L11">
        <f>IF($A11="","",IF($E11&lt;&gt;"",0,IF(COUNTIFS(個体台帳!$A:$A,$B11,個体台帳!$E:$E,"&lt;&gt;貸出中")&gt;0,1,0)))</f>
        <v>1</v>
      </c>
      <c r="M11">
        <f>IF($A11="","",IF($E11&lt;&gt;"",0,IF(COUNTIFS(個体台帳!$A:$A,$B11,個体台帳!$E:$E,"廃棄")&gt;0,1,0)))</f>
        <v>0</v>
      </c>
    </row>
    <row r="12" spans="1:13">
      <c r="A12" t="s">
        <v>563</v>
      </c>
      <c r="B12" t="s">
        <v>6</v>
      </c>
      <c r="C12" t="s">
        <v>6</v>
      </c>
      <c r="D12" s="12" t="s">
        <v>6</v>
      </c>
      <c r="E12" s="11" t="s">
        <v>6</v>
      </c>
      <c r="F12" s="16" t="s">
        <v>6</v>
      </c>
      <c r="G12" t="s">
        <v>6</v>
      </c>
      <c r="H12" t="s">
        <v>6</v>
      </c>
      <c r="I12">
        <f t="shared" si="0"/>
        <v>1</v>
      </c>
      <c r="J12" t="str">
        <f t="shared" ca="1" si="2"/>
        <v/>
      </c>
      <c r="K12" t="e">
        <f t="shared" ca="1" si="1"/>
        <v>#VALUE!</v>
      </c>
      <c r="L12">
        <f>IF($A12="","",IF($E12&lt;&gt;"",0,IF(COUNTIFS(個体台帳!$A:$A,$B12,個体台帳!$E:$E,"&lt;&gt;貸出中")&gt;0,1,0)))</f>
        <v>1</v>
      </c>
      <c r="M12">
        <f>IF($A12="","",IF($E12&lt;&gt;"",0,IF(COUNTIFS(個体台帳!$A:$A,$B12,個体台帳!$E:$E,"廃棄")&gt;0,1,0)))</f>
        <v>0</v>
      </c>
    </row>
    <row r="13" spans="1:13">
      <c r="A13" t="s">
        <v>564</v>
      </c>
      <c r="B13" t="s">
        <v>6</v>
      </c>
      <c r="C13" t="s">
        <v>6</v>
      </c>
      <c r="D13" s="12" t="s">
        <v>6</v>
      </c>
      <c r="E13" s="11" t="s">
        <v>6</v>
      </c>
      <c r="F13" s="16" t="s">
        <v>6</v>
      </c>
      <c r="G13" t="s">
        <v>6</v>
      </c>
      <c r="H13" t="s">
        <v>6</v>
      </c>
      <c r="I13">
        <f t="shared" si="0"/>
        <v>1</v>
      </c>
      <c r="J13" t="str">
        <f t="shared" ca="1" si="2"/>
        <v/>
      </c>
      <c r="K13" t="e">
        <f t="shared" ca="1" si="1"/>
        <v>#VALUE!</v>
      </c>
      <c r="L13">
        <f>IF($A13="","",IF($E13&lt;&gt;"",0,IF(COUNTIFS(個体台帳!$A:$A,$B13,個体台帳!$E:$E,"&lt;&gt;貸出中")&gt;0,1,0)))</f>
        <v>1</v>
      </c>
      <c r="M13">
        <f>IF($A13="","",IF($E13&lt;&gt;"",0,IF(COUNTIFS(個体台帳!$A:$A,$B13,個体台帳!$E:$E,"廃棄")&gt;0,1,0)))</f>
        <v>0</v>
      </c>
    </row>
    <row r="14" spans="1:13">
      <c r="A14" t="s">
        <v>565</v>
      </c>
      <c r="B14" t="s">
        <v>6</v>
      </c>
      <c r="C14" t="s">
        <v>6</v>
      </c>
      <c r="D14" s="12" t="s">
        <v>6</v>
      </c>
      <c r="E14" s="11" t="s">
        <v>6</v>
      </c>
      <c r="F14" s="16" t="s">
        <v>6</v>
      </c>
      <c r="G14" t="s">
        <v>6</v>
      </c>
      <c r="H14" t="s">
        <v>6</v>
      </c>
      <c r="I14">
        <f t="shared" si="0"/>
        <v>1</v>
      </c>
      <c r="J14" t="str">
        <f t="shared" ca="1" si="2"/>
        <v/>
      </c>
      <c r="K14" t="e">
        <f t="shared" ca="1" si="1"/>
        <v>#VALUE!</v>
      </c>
      <c r="L14">
        <f>IF($A14="","",IF($E14&lt;&gt;"",0,IF(COUNTIFS(個体台帳!$A:$A,$B14,個体台帳!$E:$E,"&lt;&gt;貸出中")&gt;0,1,0)))</f>
        <v>1</v>
      </c>
      <c r="M14">
        <f>IF($A14="","",IF($E14&lt;&gt;"",0,IF(COUNTIFS(個体台帳!$A:$A,$B14,個体台帳!$E:$E,"廃棄")&gt;0,1,0)))</f>
        <v>0</v>
      </c>
    </row>
    <row r="15" spans="1:13">
      <c r="A15" t="s">
        <v>566</v>
      </c>
      <c r="B15" t="s">
        <v>6</v>
      </c>
      <c r="C15" t="s">
        <v>6</v>
      </c>
      <c r="D15" s="12" t="s">
        <v>6</v>
      </c>
      <c r="E15" s="11" t="s">
        <v>6</v>
      </c>
      <c r="F15" s="16" t="s">
        <v>6</v>
      </c>
      <c r="G15" t="s">
        <v>6</v>
      </c>
      <c r="H15" t="s">
        <v>6</v>
      </c>
      <c r="I15">
        <f t="shared" si="0"/>
        <v>1</v>
      </c>
      <c r="J15" t="str">
        <f t="shared" ca="1" si="2"/>
        <v/>
      </c>
      <c r="K15" t="e">
        <f t="shared" ca="1" si="1"/>
        <v>#VALUE!</v>
      </c>
      <c r="L15">
        <f>IF($A15="","",IF($E15&lt;&gt;"",0,IF(COUNTIFS(個体台帳!$A:$A,$B15,個体台帳!$E:$E,"&lt;&gt;貸出中")&gt;0,1,0)))</f>
        <v>1</v>
      </c>
      <c r="M15">
        <f>IF($A15="","",IF($E15&lt;&gt;"",0,IF(COUNTIFS(個体台帳!$A:$A,$B15,個体台帳!$E:$E,"廃棄")&gt;0,1,0)))</f>
        <v>0</v>
      </c>
    </row>
    <row r="16" spans="1:13">
      <c r="A16" t="s">
        <v>567</v>
      </c>
      <c r="B16" t="s">
        <v>6</v>
      </c>
      <c r="C16" t="s">
        <v>6</v>
      </c>
      <c r="D16" s="12" t="s">
        <v>6</v>
      </c>
      <c r="E16" s="11" t="s">
        <v>6</v>
      </c>
      <c r="F16" s="16" t="s">
        <v>6</v>
      </c>
      <c r="G16" t="s">
        <v>6</v>
      </c>
      <c r="H16" t="s">
        <v>6</v>
      </c>
      <c r="I16">
        <f t="shared" si="0"/>
        <v>1</v>
      </c>
      <c r="J16" t="str">
        <f t="shared" ca="1" si="2"/>
        <v/>
      </c>
      <c r="K16" t="e">
        <f t="shared" ca="1" si="1"/>
        <v>#VALUE!</v>
      </c>
      <c r="L16">
        <f>IF($A16="","",IF($E16&lt;&gt;"",0,IF(COUNTIFS(個体台帳!$A:$A,$B16,個体台帳!$E:$E,"&lt;&gt;貸出中")&gt;0,1,0)))</f>
        <v>1</v>
      </c>
      <c r="M16">
        <f>IF($A16="","",IF($E16&lt;&gt;"",0,IF(COUNTIFS(個体台帳!$A:$A,$B16,個体台帳!$E:$E,"廃棄")&gt;0,1,0)))</f>
        <v>0</v>
      </c>
    </row>
    <row r="17" spans="1:13">
      <c r="A17" t="s">
        <v>568</v>
      </c>
      <c r="B17" t="s">
        <v>6</v>
      </c>
      <c r="C17" t="s">
        <v>6</v>
      </c>
      <c r="D17" s="12" t="s">
        <v>6</v>
      </c>
      <c r="E17" s="11" t="s">
        <v>6</v>
      </c>
      <c r="F17" s="16" t="s">
        <v>6</v>
      </c>
      <c r="G17" t="s">
        <v>6</v>
      </c>
      <c r="H17" t="s">
        <v>6</v>
      </c>
      <c r="I17">
        <f t="shared" si="0"/>
        <v>1</v>
      </c>
      <c r="J17" t="str">
        <f t="shared" ca="1" si="2"/>
        <v/>
      </c>
      <c r="K17" t="e">
        <f t="shared" ca="1" si="1"/>
        <v>#VALUE!</v>
      </c>
      <c r="L17">
        <f>IF($A17="","",IF($E17&lt;&gt;"",0,IF(COUNTIFS(個体台帳!$A:$A,$B17,個体台帳!$E:$E,"&lt;&gt;貸出中")&gt;0,1,0)))</f>
        <v>1</v>
      </c>
      <c r="M17">
        <f>IF($A17="","",IF($E17&lt;&gt;"",0,IF(COUNTIFS(個体台帳!$A:$A,$B17,個体台帳!$E:$E,"廃棄")&gt;0,1,0)))</f>
        <v>0</v>
      </c>
    </row>
    <row r="18" spans="1:13">
      <c r="A18" t="s">
        <v>569</v>
      </c>
      <c r="B18" t="s">
        <v>6</v>
      </c>
      <c r="C18" t="s">
        <v>6</v>
      </c>
      <c r="D18" s="12" t="s">
        <v>6</v>
      </c>
      <c r="E18" s="11" t="s">
        <v>6</v>
      </c>
      <c r="F18" s="16" t="s">
        <v>6</v>
      </c>
      <c r="G18" t="s">
        <v>6</v>
      </c>
      <c r="H18" t="s">
        <v>6</v>
      </c>
      <c r="I18">
        <f t="shared" si="0"/>
        <v>1</v>
      </c>
      <c r="J18" t="str">
        <f t="shared" ca="1" si="2"/>
        <v/>
      </c>
      <c r="K18" t="e">
        <f t="shared" ca="1" si="1"/>
        <v>#VALUE!</v>
      </c>
      <c r="L18">
        <f>IF($A18="","",IF($E18&lt;&gt;"",0,IF(COUNTIFS(個体台帳!$A:$A,$B18,個体台帳!$E:$E,"&lt;&gt;貸出中")&gt;0,1,0)))</f>
        <v>1</v>
      </c>
      <c r="M18">
        <f>IF($A18="","",IF($E18&lt;&gt;"",0,IF(COUNTIFS(個体台帳!$A:$A,$B18,個体台帳!$E:$E,"廃棄")&gt;0,1,0)))</f>
        <v>0</v>
      </c>
    </row>
    <row r="19" spans="1:13">
      <c r="A19" t="s">
        <v>570</v>
      </c>
      <c r="B19" t="s">
        <v>6</v>
      </c>
      <c r="C19" t="s">
        <v>6</v>
      </c>
      <c r="D19" s="12" t="s">
        <v>6</v>
      </c>
      <c r="E19" s="11" t="s">
        <v>6</v>
      </c>
      <c r="F19" s="16" t="s">
        <v>6</v>
      </c>
      <c r="G19" t="s">
        <v>6</v>
      </c>
      <c r="H19" t="s">
        <v>6</v>
      </c>
      <c r="I19">
        <f t="shared" si="0"/>
        <v>1</v>
      </c>
      <c r="J19" t="str">
        <f t="shared" ca="1" si="2"/>
        <v/>
      </c>
      <c r="K19" t="e">
        <f t="shared" ca="1" si="1"/>
        <v>#VALUE!</v>
      </c>
      <c r="L19">
        <f>IF($A19="","",IF($E19&lt;&gt;"",0,IF(COUNTIFS(個体台帳!$A:$A,$B19,個体台帳!$E:$E,"&lt;&gt;貸出中")&gt;0,1,0)))</f>
        <v>1</v>
      </c>
      <c r="M19">
        <f>IF($A19="","",IF($E19&lt;&gt;"",0,IF(COUNTIFS(個体台帳!$A:$A,$B19,個体台帳!$E:$E,"廃棄")&gt;0,1,0)))</f>
        <v>0</v>
      </c>
    </row>
    <row r="20" spans="1:13">
      <c r="A20" t="s">
        <v>571</v>
      </c>
      <c r="B20" t="s">
        <v>6</v>
      </c>
      <c r="C20" t="s">
        <v>6</v>
      </c>
      <c r="D20" s="12" t="s">
        <v>6</v>
      </c>
      <c r="E20" s="11" t="s">
        <v>6</v>
      </c>
      <c r="F20" s="16" t="s">
        <v>6</v>
      </c>
      <c r="G20" t="s">
        <v>6</v>
      </c>
      <c r="H20" t="s">
        <v>6</v>
      </c>
      <c r="I20">
        <f t="shared" si="0"/>
        <v>1</v>
      </c>
      <c r="J20" t="str">
        <f t="shared" ca="1" si="2"/>
        <v/>
      </c>
      <c r="K20" t="e">
        <f t="shared" ca="1" si="1"/>
        <v>#VALUE!</v>
      </c>
      <c r="L20">
        <f>IF($A20="","",IF($E20&lt;&gt;"",0,IF(COUNTIFS(個体台帳!$A:$A,$B20,個体台帳!$E:$E,"&lt;&gt;貸出中")&gt;0,1,0)))</f>
        <v>1</v>
      </c>
      <c r="M20">
        <f>IF($A20="","",IF($E20&lt;&gt;"",0,IF(COUNTIFS(個体台帳!$A:$A,$B20,個体台帳!$E:$E,"廃棄")&gt;0,1,0)))</f>
        <v>0</v>
      </c>
    </row>
    <row r="21" spans="1:13">
      <c r="A21" t="s">
        <v>572</v>
      </c>
      <c r="B21" t="s">
        <v>6</v>
      </c>
      <c r="C21" t="s">
        <v>6</v>
      </c>
      <c r="D21" s="12" t="s">
        <v>6</v>
      </c>
      <c r="E21" s="11" t="s">
        <v>6</v>
      </c>
      <c r="F21" s="16" t="s">
        <v>6</v>
      </c>
      <c r="G21" t="s">
        <v>6</v>
      </c>
      <c r="H21" t="s">
        <v>6</v>
      </c>
      <c r="I21">
        <f t="shared" si="0"/>
        <v>1</v>
      </c>
      <c r="J21" t="str">
        <f t="shared" ca="1" si="2"/>
        <v/>
      </c>
      <c r="K21" t="e">
        <f t="shared" ca="1" si="1"/>
        <v>#VALUE!</v>
      </c>
      <c r="L21">
        <f>IF($A21="","",IF($E21&lt;&gt;"",0,IF(COUNTIFS(個体台帳!$A:$A,$B21,個体台帳!$E:$E,"&lt;&gt;貸出中")&gt;0,1,0)))</f>
        <v>1</v>
      </c>
      <c r="M21">
        <f>IF($A21="","",IF($E21&lt;&gt;"",0,IF(COUNTIFS(個体台帳!$A:$A,$B21,個体台帳!$E:$E,"廃棄")&gt;0,1,0)))</f>
        <v>0</v>
      </c>
    </row>
    <row r="22" spans="1:13">
      <c r="A22" t="s">
        <v>573</v>
      </c>
      <c r="B22" t="s">
        <v>6</v>
      </c>
      <c r="C22" t="s">
        <v>6</v>
      </c>
      <c r="D22" s="12" t="s">
        <v>6</v>
      </c>
      <c r="E22" s="11" t="s">
        <v>6</v>
      </c>
      <c r="F22" s="16" t="s">
        <v>6</v>
      </c>
      <c r="G22" t="s">
        <v>6</v>
      </c>
      <c r="H22" t="s">
        <v>6</v>
      </c>
      <c r="I22">
        <f t="shared" si="0"/>
        <v>1</v>
      </c>
      <c r="J22" t="str">
        <f t="shared" ca="1" si="2"/>
        <v/>
      </c>
      <c r="K22" t="e">
        <f t="shared" ca="1" si="1"/>
        <v>#VALUE!</v>
      </c>
      <c r="L22">
        <f>IF($A22="","",IF($E22&lt;&gt;"",0,IF(COUNTIFS(個体台帳!$A:$A,$B22,個体台帳!$E:$E,"&lt;&gt;貸出中")&gt;0,1,0)))</f>
        <v>1</v>
      </c>
      <c r="M22">
        <f>IF($A22="","",IF($E22&lt;&gt;"",0,IF(COUNTIFS(個体台帳!$A:$A,$B22,個体台帳!$E:$E,"廃棄")&gt;0,1,0)))</f>
        <v>0</v>
      </c>
    </row>
    <row r="23" spans="1:13">
      <c r="A23" t="s">
        <v>574</v>
      </c>
      <c r="B23" t="s">
        <v>6</v>
      </c>
      <c r="C23" t="s">
        <v>6</v>
      </c>
      <c r="D23" s="12" t="s">
        <v>6</v>
      </c>
      <c r="E23" s="11" t="s">
        <v>6</v>
      </c>
      <c r="F23" s="16" t="s">
        <v>6</v>
      </c>
      <c r="G23" t="s">
        <v>6</v>
      </c>
      <c r="H23" t="s">
        <v>6</v>
      </c>
      <c r="I23">
        <f t="shared" si="0"/>
        <v>1</v>
      </c>
      <c r="J23" t="str">
        <f t="shared" ca="1" si="2"/>
        <v/>
      </c>
      <c r="K23" t="e">
        <f t="shared" ca="1" si="1"/>
        <v>#VALUE!</v>
      </c>
      <c r="L23">
        <f>IF($A23="","",IF($E23&lt;&gt;"",0,IF(COUNTIFS(個体台帳!$A:$A,$B23,個体台帳!$E:$E,"&lt;&gt;貸出中")&gt;0,1,0)))</f>
        <v>1</v>
      </c>
      <c r="M23">
        <f>IF($A23="","",IF($E23&lt;&gt;"",0,IF(COUNTIFS(個体台帳!$A:$A,$B23,個体台帳!$E:$E,"廃棄")&gt;0,1,0)))</f>
        <v>0</v>
      </c>
    </row>
    <row r="24" spans="1:13">
      <c r="A24" t="s">
        <v>575</v>
      </c>
      <c r="B24" t="s">
        <v>6</v>
      </c>
      <c r="C24" t="s">
        <v>6</v>
      </c>
      <c r="D24" s="12" t="s">
        <v>6</v>
      </c>
      <c r="E24" s="11" t="s">
        <v>6</v>
      </c>
      <c r="F24" s="16" t="s">
        <v>6</v>
      </c>
      <c r="G24" t="s">
        <v>6</v>
      </c>
      <c r="H24" t="s">
        <v>6</v>
      </c>
      <c r="I24">
        <f t="shared" si="0"/>
        <v>1</v>
      </c>
      <c r="J24" t="str">
        <f t="shared" ca="1" si="2"/>
        <v/>
      </c>
      <c r="K24" t="e">
        <f t="shared" ca="1" si="1"/>
        <v>#VALUE!</v>
      </c>
      <c r="L24">
        <f>IF($A24="","",IF($E24&lt;&gt;"",0,IF(COUNTIFS(個体台帳!$A:$A,$B24,個体台帳!$E:$E,"&lt;&gt;貸出中")&gt;0,1,0)))</f>
        <v>1</v>
      </c>
      <c r="M24">
        <f>IF($A24="","",IF($E24&lt;&gt;"",0,IF(COUNTIFS(個体台帳!$A:$A,$B24,個体台帳!$E:$E,"廃棄")&gt;0,1,0)))</f>
        <v>0</v>
      </c>
    </row>
    <row r="25" spans="1:13">
      <c r="A25" t="s">
        <v>576</v>
      </c>
      <c r="B25" t="s">
        <v>6</v>
      </c>
      <c r="C25" t="s">
        <v>6</v>
      </c>
      <c r="D25" s="12" t="s">
        <v>6</v>
      </c>
      <c r="E25" s="11" t="s">
        <v>6</v>
      </c>
      <c r="F25" s="16" t="s">
        <v>6</v>
      </c>
      <c r="G25" t="s">
        <v>6</v>
      </c>
      <c r="H25" t="s">
        <v>6</v>
      </c>
      <c r="I25">
        <f t="shared" si="0"/>
        <v>1</v>
      </c>
      <c r="J25" t="str">
        <f t="shared" ca="1" si="2"/>
        <v/>
      </c>
      <c r="K25" t="e">
        <f t="shared" ca="1" si="1"/>
        <v>#VALUE!</v>
      </c>
      <c r="L25">
        <f>IF($A25="","",IF($E25&lt;&gt;"",0,IF(COUNTIFS(個体台帳!$A:$A,$B25,個体台帳!$E:$E,"&lt;&gt;貸出中")&gt;0,1,0)))</f>
        <v>1</v>
      </c>
      <c r="M25">
        <f>IF($A25="","",IF($E25&lt;&gt;"",0,IF(COUNTIFS(個体台帳!$A:$A,$B25,個体台帳!$E:$E,"廃棄")&gt;0,1,0)))</f>
        <v>0</v>
      </c>
    </row>
    <row r="26" spans="1:13">
      <c r="A26" t="s">
        <v>577</v>
      </c>
      <c r="B26" t="s">
        <v>6</v>
      </c>
      <c r="C26" t="s">
        <v>6</v>
      </c>
      <c r="D26" s="12" t="s">
        <v>6</v>
      </c>
      <c r="E26" s="11" t="s">
        <v>6</v>
      </c>
      <c r="F26" s="16" t="s">
        <v>6</v>
      </c>
      <c r="G26" t="s">
        <v>6</v>
      </c>
      <c r="H26" t="s">
        <v>6</v>
      </c>
      <c r="I26">
        <f t="shared" si="0"/>
        <v>1</v>
      </c>
      <c r="J26" t="str">
        <f t="shared" ca="1" si="2"/>
        <v/>
      </c>
      <c r="K26" t="e">
        <f t="shared" ca="1" si="1"/>
        <v>#VALUE!</v>
      </c>
      <c r="L26">
        <f>IF($A26="","",IF($E26&lt;&gt;"",0,IF(COUNTIFS(個体台帳!$A:$A,$B26,個体台帳!$E:$E,"&lt;&gt;貸出中")&gt;0,1,0)))</f>
        <v>1</v>
      </c>
      <c r="M26">
        <f>IF($A26="","",IF($E26&lt;&gt;"",0,IF(COUNTIFS(個体台帳!$A:$A,$B26,個体台帳!$E:$E,"廃棄")&gt;0,1,0)))</f>
        <v>0</v>
      </c>
    </row>
    <row r="27" spans="1:13">
      <c r="A27" t="s">
        <v>578</v>
      </c>
      <c r="B27" t="s">
        <v>6</v>
      </c>
      <c r="C27" t="s">
        <v>6</v>
      </c>
      <c r="D27" s="12" t="s">
        <v>6</v>
      </c>
      <c r="E27" s="11" t="s">
        <v>6</v>
      </c>
      <c r="F27" s="16" t="s">
        <v>6</v>
      </c>
      <c r="G27" t="s">
        <v>6</v>
      </c>
      <c r="H27" t="s">
        <v>6</v>
      </c>
      <c r="I27">
        <f t="shared" si="0"/>
        <v>1</v>
      </c>
      <c r="J27" t="str">
        <f t="shared" ca="1" si="2"/>
        <v/>
      </c>
      <c r="K27" t="e">
        <f t="shared" ca="1" si="1"/>
        <v>#VALUE!</v>
      </c>
      <c r="L27">
        <f>IF($A27="","",IF($E27&lt;&gt;"",0,IF(COUNTIFS(個体台帳!$A:$A,$B27,個体台帳!$E:$E,"&lt;&gt;貸出中")&gt;0,1,0)))</f>
        <v>1</v>
      </c>
      <c r="M27">
        <f>IF($A27="","",IF($E27&lt;&gt;"",0,IF(COUNTIFS(個体台帳!$A:$A,$B27,個体台帳!$E:$E,"廃棄")&gt;0,1,0)))</f>
        <v>0</v>
      </c>
    </row>
    <row r="28" spans="1:13">
      <c r="A28" t="s">
        <v>579</v>
      </c>
      <c r="B28" t="s">
        <v>6</v>
      </c>
      <c r="C28" t="s">
        <v>6</v>
      </c>
      <c r="D28" s="12" t="s">
        <v>6</v>
      </c>
      <c r="E28" s="11" t="s">
        <v>6</v>
      </c>
      <c r="F28" s="16" t="s">
        <v>6</v>
      </c>
      <c r="G28" t="s">
        <v>6</v>
      </c>
      <c r="H28" t="s">
        <v>6</v>
      </c>
      <c r="I28">
        <f t="shared" si="0"/>
        <v>1</v>
      </c>
      <c r="J28" t="str">
        <f t="shared" ca="1" si="2"/>
        <v/>
      </c>
      <c r="K28" t="e">
        <f t="shared" ca="1" si="1"/>
        <v>#VALUE!</v>
      </c>
      <c r="L28">
        <f>IF($A28="","",IF($E28&lt;&gt;"",0,IF(COUNTIFS(個体台帳!$A:$A,$B28,個体台帳!$E:$E,"&lt;&gt;貸出中")&gt;0,1,0)))</f>
        <v>1</v>
      </c>
      <c r="M28">
        <f>IF($A28="","",IF($E28&lt;&gt;"",0,IF(COUNTIFS(個体台帳!$A:$A,$B28,個体台帳!$E:$E,"廃棄")&gt;0,1,0)))</f>
        <v>0</v>
      </c>
    </row>
    <row r="29" spans="1:13">
      <c r="A29" t="s">
        <v>580</v>
      </c>
      <c r="B29" t="s">
        <v>6</v>
      </c>
      <c r="C29" t="s">
        <v>6</v>
      </c>
      <c r="D29" s="12" t="s">
        <v>6</v>
      </c>
      <c r="E29" s="11" t="s">
        <v>6</v>
      </c>
      <c r="F29" s="16" t="s">
        <v>6</v>
      </c>
      <c r="G29" t="s">
        <v>6</v>
      </c>
      <c r="H29" t="s">
        <v>6</v>
      </c>
      <c r="I29">
        <f t="shared" si="0"/>
        <v>1</v>
      </c>
      <c r="J29" t="str">
        <f t="shared" ca="1" si="2"/>
        <v/>
      </c>
      <c r="K29" t="e">
        <f t="shared" ca="1" si="1"/>
        <v>#VALUE!</v>
      </c>
      <c r="L29">
        <f>IF($A29="","",IF($E29&lt;&gt;"",0,IF(COUNTIFS(個体台帳!$A:$A,$B29,個体台帳!$E:$E,"&lt;&gt;貸出中")&gt;0,1,0)))</f>
        <v>1</v>
      </c>
      <c r="M29">
        <f>IF($A29="","",IF($E29&lt;&gt;"",0,IF(COUNTIFS(個体台帳!$A:$A,$B29,個体台帳!$E:$E,"廃棄")&gt;0,1,0)))</f>
        <v>0</v>
      </c>
    </row>
    <row r="30" spans="1:13">
      <c r="A30" t="s">
        <v>581</v>
      </c>
      <c r="B30" t="s">
        <v>6</v>
      </c>
      <c r="C30" t="s">
        <v>6</v>
      </c>
      <c r="D30" s="12" t="s">
        <v>6</v>
      </c>
      <c r="E30" s="11" t="s">
        <v>6</v>
      </c>
      <c r="F30" s="16" t="s">
        <v>6</v>
      </c>
      <c r="G30" t="s">
        <v>6</v>
      </c>
      <c r="H30" t="s">
        <v>6</v>
      </c>
      <c r="I30">
        <f t="shared" si="0"/>
        <v>1</v>
      </c>
      <c r="J30" t="str">
        <f t="shared" ca="1" si="2"/>
        <v/>
      </c>
      <c r="K30" t="e">
        <f t="shared" ca="1" si="1"/>
        <v>#VALUE!</v>
      </c>
      <c r="L30">
        <f>IF($A30="","",IF($E30&lt;&gt;"",0,IF(COUNTIFS(個体台帳!$A:$A,$B30,個体台帳!$E:$E,"&lt;&gt;貸出中")&gt;0,1,0)))</f>
        <v>1</v>
      </c>
      <c r="M30">
        <f>IF($A30="","",IF($E30&lt;&gt;"",0,IF(COUNTIFS(個体台帳!$A:$A,$B30,個体台帳!$E:$E,"廃棄")&gt;0,1,0)))</f>
        <v>0</v>
      </c>
    </row>
    <row r="31" spans="1:13">
      <c r="A31" t="s">
        <v>582</v>
      </c>
      <c r="B31" t="s">
        <v>6</v>
      </c>
      <c r="C31" t="s">
        <v>6</v>
      </c>
      <c r="D31" s="12" t="s">
        <v>6</v>
      </c>
      <c r="E31" s="11" t="s">
        <v>6</v>
      </c>
      <c r="F31" s="16" t="s">
        <v>6</v>
      </c>
      <c r="G31" t="s">
        <v>6</v>
      </c>
      <c r="H31" t="s">
        <v>6</v>
      </c>
      <c r="I31">
        <f t="shared" si="0"/>
        <v>1</v>
      </c>
      <c r="J31" t="str">
        <f t="shared" ca="1" si="2"/>
        <v/>
      </c>
      <c r="K31" t="e">
        <f t="shared" ca="1" si="1"/>
        <v>#VALUE!</v>
      </c>
      <c r="L31">
        <f>IF($A31="","",IF($E31&lt;&gt;"",0,IF(COUNTIFS(個体台帳!$A:$A,$B31,個体台帳!$E:$E,"&lt;&gt;貸出中")&gt;0,1,0)))</f>
        <v>1</v>
      </c>
      <c r="M31">
        <f>IF($A31="","",IF($E31&lt;&gt;"",0,IF(COUNTIFS(個体台帳!$A:$A,$B31,個体台帳!$E:$E,"廃棄")&gt;0,1,0)))</f>
        <v>0</v>
      </c>
    </row>
    <row r="32" spans="1:13">
      <c r="A32" t="s">
        <v>583</v>
      </c>
      <c r="B32" t="s">
        <v>6</v>
      </c>
      <c r="C32" t="s">
        <v>6</v>
      </c>
      <c r="D32" s="12" t="s">
        <v>6</v>
      </c>
      <c r="E32" s="11" t="s">
        <v>6</v>
      </c>
      <c r="F32" s="16" t="s">
        <v>6</v>
      </c>
      <c r="G32" t="s">
        <v>6</v>
      </c>
      <c r="H32" t="s">
        <v>6</v>
      </c>
      <c r="I32">
        <f t="shared" si="0"/>
        <v>1</v>
      </c>
      <c r="J32" t="str">
        <f t="shared" ca="1" si="2"/>
        <v/>
      </c>
      <c r="K32" t="e">
        <f t="shared" ca="1" si="1"/>
        <v>#VALUE!</v>
      </c>
      <c r="L32">
        <f>IF($A32="","",IF($E32&lt;&gt;"",0,IF(COUNTIFS(個体台帳!$A:$A,$B32,個体台帳!$E:$E,"&lt;&gt;貸出中")&gt;0,1,0)))</f>
        <v>1</v>
      </c>
      <c r="M32">
        <f>IF($A32="","",IF($E32&lt;&gt;"",0,IF(COUNTIFS(個体台帳!$A:$A,$B32,個体台帳!$E:$E,"廃棄")&gt;0,1,0)))</f>
        <v>0</v>
      </c>
    </row>
    <row r="33" spans="1:13">
      <c r="A33" t="s">
        <v>584</v>
      </c>
      <c r="B33" t="s">
        <v>6</v>
      </c>
      <c r="C33" t="s">
        <v>6</v>
      </c>
      <c r="D33" s="12" t="s">
        <v>6</v>
      </c>
      <c r="E33" s="11" t="s">
        <v>6</v>
      </c>
      <c r="F33" s="16" t="s">
        <v>6</v>
      </c>
      <c r="G33" t="s">
        <v>6</v>
      </c>
      <c r="H33" t="s">
        <v>6</v>
      </c>
      <c r="I33">
        <f t="shared" si="0"/>
        <v>1</v>
      </c>
      <c r="J33" t="str">
        <f t="shared" ca="1" si="2"/>
        <v/>
      </c>
      <c r="K33" t="e">
        <f t="shared" ca="1" si="1"/>
        <v>#VALUE!</v>
      </c>
      <c r="L33">
        <f>IF($A33="","",IF($E33&lt;&gt;"",0,IF(COUNTIFS(個体台帳!$A:$A,$B33,個体台帳!$E:$E,"&lt;&gt;貸出中")&gt;0,1,0)))</f>
        <v>1</v>
      </c>
      <c r="M33">
        <f>IF($A33="","",IF($E33&lt;&gt;"",0,IF(COUNTIFS(個体台帳!$A:$A,$B33,個体台帳!$E:$E,"廃棄")&gt;0,1,0)))</f>
        <v>0</v>
      </c>
    </row>
    <row r="34" spans="1:13">
      <c r="A34" t="s">
        <v>585</v>
      </c>
      <c r="B34" t="s">
        <v>6</v>
      </c>
      <c r="C34" t="s">
        <v>6</v>
      </c>
      <c r="D34" s="12" t="s">
        <v>6</v>
      </c>
      <c r="E34" s="11" t="s">
        <v>6</v>
      </c>
      <c r="F34" s="16" t="s">
        <v>6</v>
      </c>
      <c r="G34" t="s">
        <v>6</v>
      </c>
      <c r="H34" t="s">
        <v>6</v>
      </c>
      <c r="I34">
        <f t="shared" si="0"/>
        <v>1</v>
      </c>
      <c r="J34" t="str">
        <f t="shared" ca="1" si="2"/>
        <v/>
      </c>
      <c r="K34" t="e">
        <f t="shared" ca="1" si="1"/>
        <v>#VALUE!</v>
      </c>
      <c r="L34">
        <f>IF($A34="","",IF($E34&lt;&gt;"",0,IF(COUNTIFS(個体台帳!$A:$A,$B34,個体台帳!$E:$E,"&lt;&gt;貸出中")&gt;0,1,0)))</f>
        <v>1</v>
      </c>
      <c r="M34">
        <f>IF($A34="","",IF($E34&lt;&gt;"",0,IF(COUNTIFS(個体台帳!$A:$A,$B34,個体台帳!$E:$E,"廃棄")&gt;0,1,0)))</f>
        <v>0</v>
      </c>
    </row>
    <row r="35" spans="1:13">
      <c r="A35" t="s">
        <v>586</v>
      </c>
      <c r="B35" t="s">
        <v>6</v>
      </c>
      <c r="C35" t="s">
        <v>6</v>
      </c>
      <c r="D35" s="12" t="s">
        <v>6</v>
      </c>
      <c r="E35" s="11" t="s">
        <v>6</v>
      </c>
      <c r="F35" s="16" t="s">
        <v>6</v>
      </c>
      <c r="G35" t="s">
        <v>6</v>
      </c>
      <c r="H35" t="s">
        <v>6</v>
      </c>
      <c r="I35">
        <f t="shared" si="0"/>
        <v>1</v>
      </c>
      <c r="J35" t="str">
        <f t="shared" ca="1" si="2"/>
        <v/>
      </c>
      <c r="K35" t="e">
        <f t="shared" ca="1" si="1"/>
        <v>#VALUE!</v>
      </c>
      <c r="L35">
        <f>IF($A35="","",IF($E35&lt;&gt;"",0,IF(COUNTIFS(個体台帳!$A:$A,$B35,個体台帳!$E:$E,"&lt;&gt;貸出中")&gt;0,1,0)))</f>
        <v>1</v>
      </c>
      <c r="M35">
        <f>IF($A35="","",IF($E35&lt;&gt;"",0,IF(COUNTIFS(個体台帳!$A:$A,$B35,個体台帳!$E:$E,"廃棄")&gt;0,1,0)))</f>
        <v>0</v>
      </c>
    </row>
    <row r="36" spans="1:13">
      <c r="A36" t="s">
        <v>587</v>
      </c>
      <c r="B36" t="s">
        <v>6</v>
      </c>
      <c r="C36" t="s">
        <v>6</v>
      </c>
      <c r="D36" s="12" t="s">
        <v>6</v>
      </c>
      <c r="E36" s="11" t="s">
        <v>6</v>
      </c>
      <c r="F36" s="16" t="s">
        <v>6</v>
      </c>
      <c r="G36" t="s">
        <v>6</v>
      </c>
      <c r="H36" t="s">
        <v>6</v>
      </c>
      <c r="I36">
        <f t="shared" si="0"/>
        <v>1</v>
      </c>
      <c r="J36" t="str">
        <f t="shared" ca="1" si="2"/>
        <v/>
      </c>
      <c r="K36" t="e">
        <f t="shared" ca="1" si="1"/>
        <v>#VALUE!</v>
      </c>
      <c r="L36">
        <f>IF($A36="","",IF($E36&lt;&gt;"",0,IF(COUNTIFS(個体台帳!$A:$A,$B36,個体台帳!$E:$E,"&lt;&gt;貸出中")&gt;0,1,0)))</f>
        <v>1</v>
      </c>
      <c r="M36">
        <f>IF($A36="","",IF($E36&lt;&gt;"",0,IF(COUNTIFS(個体台帳!$A:$A,$B36,個体台帳!$E:$E,"廃棄")&gt;0,1,0)))</f>
        <v>0</v>
      </c>
    </row>
    <row r="37" spans="1:13">
      <c r="A37" t="s">
        <v>588</v>
      </c>
      <c r="B37" t="s">
        <v>6</v>
      </c>
      <c r="C37" t="s">
        <v>6</v>
      </c>
      <c r="D37" s="12" t="s">
        <v>6</v>
      </c>
      <c r="E37" s="11" t="s">
        <v>6</v>
      </c>
      <c r="F37" s="16" t="s">
        <v>6</v>
      </c>
      <c r="G37" t="s">
        <v>6</v>
      </c>
      <c r="H37" t="s">
        <v>6</v>
      </c>
      <c r="I37">
        <f t="shared" si="0"/>
        <v>1</v>
      </c>
      <c r="J37" t="str">
        <f t="shared" ca="1" si="2"/>
        <v/>
      </c>
      <c r="K37" t="e">
        <f t="shared" ca="1" si="1"/>
        <v>#VALUE!</v>
      </c>
      <c r="L37">
        <f>IF($A37="","",IF($E37&lt;&gt;"",0,IF(COUNTIFS(個体台帳!$A:$A,$B37,個体台帳!$E:$E,"&lt;&gt;貸出中")&gt;0,1,0)))</f>
        <v>1</v>
      </c>
      <c r="M37">
        <f>IF($A37="","",IF($E37&lt;&gt;"",0,IF(COUNTIFS(個体台帳!$A:$A,$B37,個体台帳!$E:$E,"廃棄")&gt;0,1,0)))</f>
        <v>0</v>
      </c>
    </row>
    <row r="38" spans="1:13">
      <c r="A38" t="s">
        <v>589</v>
      </c>
      <c r="B38" t="s">
        <v>6</v>
      </c>
      <c r="C38" t="s">
        <v>6</v>
      </c>
      <c r="D38" s="12" t="s">
        <v>6</v>
      </c>
      <c r="E38" s="11" t="s">
        <v>6</v>
      </c>
      <c r="F38" s="16" t="s">
        <v>6</v>
      </c>
      <c r="G38" t="s">
        <v>6</v>
      </c>
      <c r="H38" t="s">
        <v>6</v>
      </c>
      <c r="I38">
        <f t="shared" si="0"/>
        <v>1</v>
      </c>
      <c r="J38" t="str">
        <f t="shared" ca="1" si="2"/>
        <v/>
      </c>
      <c r="K38" t="e">
        <f t="shared" ca="1" si="1"/>
        <v>#VALUE!</v>
      </c>
      <c r="L38">
        <f>IF($A38="","",IF($E38&lt;&gt;"",0,IF(COUNTIFS(個体台帳!$A:$A,$B38,個体台帳!$E:$E,"&lt;&gt;貸出中")&gt;0,1,0)))</f>
        <v>1</v>
      </c>
      <c r="M38">
        <f>IF($A38="","",IF($E38&lt;&gt;"",0,IF(COUNTIFS(個体台帳!$A:$A,$B38,個体台帳!$E:$E,"廃棄")&gt;0,1,0)))</f>
        <v>0</v>
      </c>
    </row>
    <row r="39" spans="1:13">
      <c r="A39" t="s">
        <v>590</v>
      </c>
      <c r="B39" t="s">
        <v>6</v>
      </c>
      <c r="C39" t="s">
        <v>6</v>
      </c>
      <c r="D39" s="12" t="s">
        <v>6</v>
      </c>
      <c r="E39" s="11" t="s">
        <v>6</v>
      </c>
      <c r="F39" s="16" t="s">
        <v>6</v>
      </c>
      <c r="G39" t="s">
        <v>6</v>
      </c>
      <c r="H39" t="s">
        <v>6</v>
      </c>
      <c r="I39">
        <f t="shared" si="0"/>
        <v>1</v>
      </c>
      <c r="J39" t="str">
        <f t="shared" ca="1" si="2"/>
        <v/>
      </c>
      <c r="K39" t="e">
        <f t="shared" ca="1" si="1"/>
        <v>#VALUE!</v>
      </c>
      <c r="L39">
        <f>IF($A39="","",IF($E39&lt;&gt;"",0,IF(COUNTIFS(個体台帳!$A:$A,$B39,個体台帳!$E:$E,"&lt;&gt;貸出中")&gt;0,1,0)))</f>
        <v>1</v>
      </c>
      <c r="M39">
        <f>IF($A39="","",IF($E39&lt;&gt;"",0,IF(COUNTIFS(個体台帳!$A:$A,$B39,個体台帳!$E:$E,"廃棄")&gt;0,1,0)))</f>
        <v>0</v>
      </c>
    </row>
    <row r="40" spans="1:13">
      <c r="A40" t="s">
        <v>591</v>
      </c>
      <c r="B40" t="s">
        <v>6</v>
      </c>
      <c r="C40" t="s">
        <v>6</v>
      </c>
      <c r="D40" s="12" t="s">
        <v>6</v>
      </c>
      <c r="E40" s="11" t="s">
        <v>6</v>
      </c>
      <c r="F40" s="16" t="s">
        <v>6</v>
      </c>
      <c r="G40" t="s">
        <v>6</v>
      </c>
      <c r="H40" t="s">
        <v>6</v>
      </c>
      <c r="I40">
        <f t="shared" si="0"/>
        <v>1</v>
      </c>
      <c r="J40" t="str">
        <f t="shared" ca="1" si="2"/>
        <v/>
      </c>
      <c r="K40" t="e">
        <f t="shared" ca="1" si="1"/>
        <v>#VALUE!</v>
      </c>
      <c r="L40">
        <f>IF($A40="","",IF($E40&lt;&gt;"",0,IF(COUNTIFS(個体台帳!$A:$A,$B40,個体台帳!$E:$E,"&lt;&gt;貸出中")&gt;0,1,0)))</f>
        <v>1</v>
      </c>
      <c r="M40">
        <f>IF($A40="","",IF($E40&lt;&gt;"",0,IF(COUNTIFS(個体台帳!$A:$A,$B40,個体台帳!$E:$E,"廃棄")&gt;0,1,0)))</f>
        <v>0</v>
      </c>
    </row>
    <row r="41" spans="1:13">
      <c r="A41" t="s">
        <v>592</v>
      </c>
      <c r="B41" t="s">
        <v>6</v>
      </c>
      <c r="C41" t="s">
        <v>6</v>
      </c>
      <c r="D41" s="12" t="s">
        <v>6</v>
      </c>
      <c r="E41" s="11" t="s">
        <v>6</v>
      </c>
      <c r="F41" s="16" t="s">
        <v>6</v>
      </c>
      <c r="G41" t="s">
        <v>6</v>
      </c>
      <c r="H41" t="s">
        <v>6</v>
      </c>
      <c r="I41">
        <f t="shared" si="0"/>
        <v>1</v>
      </c>
      <c r="J41" t="str">
        <f t="shared" ca="1" si="2"/>
        <v/>
      </c>
      <c r="K41" t="e">
        <f t="shared" ca="1" si="1"/>
        <v>#VALUE!</v>
      </c>
      <c r="L41">
        <f>IF($A41="","",IF($E41&lt;&gt;"",0,IF(COUNTIFS(個体台帳!$A:$A,$B41,個体台帳!$E:$E,"&lt;&gt;貸出中")&gt;0,1,0)))</f>
        <v>1</v>
      </c>
      <c r="M41">
        <f>IF($A41="","",IF($E41&lt;&gt;"",0,IF(COUNTIFS(個体台帳!$A:$A,$B41,個体台帳!$E:$E,"廃棄")&gt;0,1,0)))</f>
        <v>0</v>
      </c>
    </row>
    <row r="42" spans="1:13">
      <c r="A42" t="s">
        <v>593</v>
      </c>
      <c r="B42" t="s">
        <v>6</v>
      </c>
      <c r="C42" t="s">
        <v>6</v>
      </c>
      <c r="D42" s="12" t="s">
        <v>6</v>
      </c>
      <c r="E42" s="11" t="s">
        <v>6</v>
      </c>
      <c r="F42" s="16" t="s">
        <v>6</v>
      </c>
      <c r="G42" t="s">
        <v>6</v>
      </c>
      <c r="H42" t="s">
        <v>6</v>
      </c>
      <c r="I42">
        <f t="shared" si="0"/>
        <v>1</v>
      </c>
      <c r="J42" t="str">
        <f t="shared" ca="1" si="2"/>
        <v/>
      </c>
      <c r="K42" t="e">
        <f t="shared" ca="1" si="1"/>
        <v>#VALUE!</v>
      </c>
      <c r="L42">
        <f>IF($A42="","",IF($E42&lt;&gt;"",0,IF(COUNTIFS(個体台帳!$A:$A,$B42,個体台帳!$E:$E,"&lt;&gt;貸出中")&gt;0,1,0)))</f>
        <v>1</v>
      </c>
      <c r="M42">
        <f>IF($A42="","",IF($E42&lt;&gt;"",0,IF(COUNTIFS(個体台帳!$A:$A,$B42,個体台帳!$E:$E,"廃棄")&gt;0,1,0)))</f>
        <v>0</v>
      </c>
    </row>
    <row r="43" spans="1:13">
      <c r="A43" t="s">
        <v>594</v>
      </c>
      <c r="B43" t="s">
        <v>6</v>
      </c>
      <c r="C43" t="s">
        <v>6</v>
      </c>
      <c r="D43" s="12" t="s">
        <v>6</v>
      </c>
      <c r="E43" s="11" t="s">
        <v>6</v>
      </c>
      <c r="F43" s="16" t="s">
        <v>6</v>
      </c>
      <c r="G43" t="s">
        <v>6</v>
      </c>
      <c r="H43" t="s">
        <v>6</v>
      </c>
      <c r="I43">
        <f t="shared" si="0"/>
        <v>1</v>
      </c>
      <c r="J43" t="str">
        <f t="shared" ca="1" si="2"/>
        <v/>
      </c>
      <c r="K43" t="e">
        <f t="shared" ca="1" si="1"/>
        <v>#VALUE!</v>
      </c>
      <c r="L43">
        <f>IF($A43="","",IF($E43&lt;&gt;"",0,IF(COUNTIFS(個体台帳!$A:$A,$B43,個体台帳!$E:$E,"&lt;&gt;貸出中")&gt;0,1,0)))</f>
        <v>1</v>
      </c>
      <c r="M43">
        <f>IF($A43="","",IF($E43&lt;&gt;"",0,IF(COUNTIFS(個体台帳!$A:$A,$B43,個体台帳!$E:$E,"廃棄")&gt;0,1,0)))</f>
        <v>0</v>
      </c>
    </row>
    <row r="44" spans="1:13">
      <c r="A44" t="s">
        <v>595</v>
      </c>
      <c r="B44" t="s">
        <v>6</v>
      </c>
      <c r="C44" t="s">
        <v>6</v>
      </c>
      <c r="D44" s="12" t="s">
        <v>6</v>
      </c>
      <c r="E44" s="11" t="s">
        <v>6</v>
      </c>
      <c r="F44" s="16" t="s">
        <v>6</v>
      </c>
      <c r="G44" t="s">
        <v>6</v>
      </c>
      <c r="H44" t="s">
        <v>6</v>
      </c>
      <c r="I44">
        <f t="shared" si="0"/>
        <v>1</v>
      </c>
      <c r="J44" t="str">
        <f t="shared" ca="1" si="2"/>
        <v/>
      </c>
      <c r="K44" t="e">
        <f t="shared" ca="1" si="1"/>
        <v>#VALUE!</v>
      </c>
      <c r="L44">
        <f>IF($A44="","",IF($E44&lt;&gt;"",0,IF(COUNTIFS(個体台帳!$A:$A,$B44,個体台帳!$E:$E,"&lt;&gt;貸出中")&gt;0,1,0)))</f>
        <v>1</v>
      </c>
      <c r="M44">
        <f>IF($A44="","",IF($E44&lt;&gt;"",0,IF(COUNTIFS(個体台帳!$A:$A,$B44,個体台帳!$E:$E,"廃棄")&gt;0,1,0)))</f>
        <v>0</v>
      </c>
    </row>
    <row r="45" spans="1:13">
      <c r="A45" t="s">
        <v>596</v>
      </c>
      <c r="B45" t="s">
        <v>6</v>
      </c>
      <c r="C45" t="s">
        <v>6</v>
      </c>
      <c r="D45" s="12" t="s">
        <v>6</v>
      </c>
      <c r="E45" s="11" t="s">
        <v>6</v>
      </c>
      <c r="F45" s="16" t="s">
        <v>6</v>
      </c>
      <c r="G45" t="s">
        <v>6</v>
      </c>
      <c r="H45" t="s">
        <v>6</v>
      </c>
      <c r="I45">
        <f t="shared" si="0"/>
        <v>1</v>
      </c>
      <c r="J45" t="str">
        <f t="shared" ca="1" si="2"/>
        <v/>
      </c>
      <c r="K45" t="e">
        <f t="shared" ca="1" si="1"/>
        <v>#VALUE!</v>
      </c>
      <c r="L45">
        <f>IF($A45="","",IF($E45&lt;&gt;"",0,IF(COUNTIFS(個体台帳!$A:$A,$B45,個体台帳!$E:$E,"&lt;&gt;貸出中")&gt;0,1,0)))</f>
        <v>1</v>
      </c>
      <c r="M45">
        <f>IF($A45="","",IF($E45&lt;&gt;"",0,IF(COUNTIFS(個体台帳!$A:$A,$B45,個体台帳!$E:$E,"廃棄")&gt;0,1,0)))</f>
        <v>0</v>
      </c>
    </row>
    <row r="46" spans="1:13">
      <c r="A46" t="s">
        <v>597</v>
      </c>
      <c r="B46" t="s">
        <v>6</v>
      </c>
      <c r="C46" t="s">
        <v>6</v>
      </c>
      <c r="D46" s="12" t="s">
        <v>6</v>
      </c>
      <c r="E46" s="11" t="s">
        <v>6</v>
      </c>
      <c r="F46" s="16" t="s">
        <v>6</v>
      </c>
      <c r="G46" t="s">
        <v>6</v>
      </c>
      <c r="H46" t="s">
        <v>6</v>
      </c>
      <c r="I46">
        <f t="shared" si="0"/>
        <v>1</v>
      </c>
      <c r="J46" t="str">
        <f t="shared" ca="1" si="2"/>
        <v/>
      </c>
      <c r="K46" t="e">
        <f t="shared" ca="1" si="1"/>
        <v>#VALUE!</v>
      </c>
      <c r="L46">
        <f>IF($A46="","",IF($E46&lt;&gt;"",0,IF(COUNTIFS(個体台帳!$A:$A,$B46,個体台帳!$E:$E,"&lt;&gt;貸出中")&gt;0,1,0)))</f>
        <v>1</v>
      </c>
      <c r="M46">
        <f>IF($A46="","",IF($E46&lt;&gt;"",0,IF(COUNTIFS(個体台帳!$A:$A,$B46,個体台帳!$E:$E,"廃棄")&gt;0,1,0)))</f>
        <v>0</v>
      </c>
    </row>
    <row r="47" spans="1:13">
      <c r="A47" t="s">
        <v>598</v>
      </c>
      <c r="B47" t="s">
        <v>6</v>
      </c>
      <c r="C47" t="s">
        <v>6</v>
      </c>
      <c r="D47" s="12" t="s">
        <v>6</v>
      </c>
      <c r="E47" s="11" t="s">
        <v>6</v>
      </c>
      <c r="F47" s="16" t="s">
        <v>6</v>
      </c>
      <c r="G47" t="s">
        <v>6</v>
      </c>
      <c r="H47" t="s">
        <v>6</v>
      </c>
      <c r="I47">
        <f t="shared" si="0"/>
        <v>1</v>
      </c>
      <c r="J47" t="str">
        <f t="shared" ca="1" si="2"/>
        <v/>
      </c>
      <c r="K47" t="e">
        <f t="shared" ca="1" si="1"/>
        <v>#VALUE!</v>
      </c>
      <c r="L47">
        <f>IF($A47="","",IF($E47&lt;&gt;"",0,IF(COUNTIFS(個体台帳!$A:$A,$B47,個体台帳!$E:$E,"&lt;&gt;貸出中")&gt;0,1,0)))</f>
        <v>1</v>
      </c>
      <c r="M47">
        <f>IF($A47="","",IF($E47&lt;&gt;"",0,IF(COUNTIFS(個体台帳!$A:$A,$B47,個体台帳!$E:$E,"廃棄")&gt;0,1,0)))</f>
        <v>0</v>
      </c>
    </row>
    <row r="48" spans="1:13">
      <c r="A48" t="s">
        <v>599</v>
      </c>
      <c r="B48" t="s">
        <v>6</v>
      </c>
      <c r="C48" t="s">
        <v>6</v>
      </c>
      <c r="D48" s="12" t="s">
        <v>6</v>
      </c>
      <c r="E48" s="11" t="s">
        <v>6</v>
      </c>
      <c r="F48" s="16" t="s">
        <v>6</v>
      </c>
      <c r="G48" t="s">
        <v>6</v>
      </c>
      <c r="H48" t="s">
        <v>6</v>
      </c>
      <c r="I48">
        <f t="shared" si="0"/>
        <v>1</v>
      </c>
      <c r="J48" t="str">
        <f t="shared" ca="1" si="2"/>
        <v/>
      </c>
      <c r="K48" t="e">
        <f t="shared" ca="1" si="1"/>
        <v>#VALUE!</v>
      </c>
      <c r="L48">
        <f>IF($A48="","",IF($E48&lt;&gt;"",0,IF(COUNTIFS(個体台帳!$A:$A,$B48,個体台帳!$E:$E,"&lt;&gt;貸出中")&gt;0,1,0)))</f>
        <v>1</v>
      </c>
      <c r="M48">
        <f>IF($A48="","",IF($E48&lt;&gt;"",0,IF(COUNTIFS(個体台帳!$A:$A,$B48,個体台帳!$E:$E,"廃棄")&gt;0,1,0)))</f>
        <v>0</v>
      </c>
    </row>
    <row r="49" spans="1:13">
      <c r="A49" t="s">
        <v>600</v>
      </c>
      <c r="B49" t="s">
        <v>6</v>
      </c>
      <c r="C49" t="s">
        <v>6</v>
      </c>
      <c r="D49" s="12" t="s">
        <v>6</v>
      </c>
      <c r="E49" s="11" t="s">
        <v>6</v>
      </c>
      <c r="F49" s="16" t="s">
        <v>6</v>
      </c>
      <c r="G49" t="s">
        <v>6</v>
      </c>
      <c r="H49" t="s">
        <v>6</v>
      </c>
      <c r="I49">
        <f t="shared" si="0"/>
        <v>1</v>
      </c>
      <c r="J49" t="str">
        <f t="shared" ca="1" si="2"/>
        <v/>
      </c>
      <c r="K49" t="e">
        <f t="shared" ca="1" si="1"/>
        <v>#VALUE!</v>
      </c>
      <c r="L49">
        <f>IF($A49="","",IF($E49&lt;&gt;"",0,IF(COUNTIFS(個体台帳!$A:$A,$B49,個体台帳!$E:$E,"&lt;&gt;貸出中")&gt;0,1,0)))</f>
        <v>1</v>
      </c>
      <c r="M49">
        <f>IF($A49="","",IF($E49&lt;&gt;"",0,IF(COUNTIFS(個体台帳!$A:$A,$B49,個体台帳!$E:$E,"廃棄")&gt;0,1,0)))</f>
        <v>0</v>
      </c>
    </row>
    <row r="50" spans="1:13">
      <c r="A50" t="s">
        <v>601</v>
      </c>
      <c r="B50" t="s">
        <v>6</v>
      </c>
      <c r="C50" t="s">
        <v>6</v>
      </c>
      <c r="D50" s="12" t="s">
        <v>6</v>
      </c>
      <c r="E50" s="11" t="s">
        <v>6</v>
      </c>
      <c r="F50" s="16" t="s">
        <v>6</v>
      </c>
      <c r="G50" t="s">
        <v>6</v>
      </c>
      <c r="H50" t="s">
        <v>6</v>
      </c>
      <c r="I50">
        <f t="shared" si="0"/>
        <v>1</v>
      </c>
      <c r="J50" t="str">
        <f t="shared" ca="1" si="2"/>
        <v/>
      </c>
      <c r="K50" t="e">
        <f t="shared" ca="1" si="1"/>
        <v>#VALUE!</v>
      </c>
      <c r="L50">
        <f>IF($A50="","",IF($E50&lt;&gt;"",0,IF(COUNTIFS(個体台帳!$A:$A,$B50,個体台帳!$E:$E,"&lt;&gt;貸出中")&gt;0,1,0)))</f>
        <v>1</v>
      </c>
      <c r="M50">
        <f>IF($A50="","",IF($E50&lt;&gt;"",0,IF(COUNTIFS(個体台帳!$A:$A,$B50,個体台帳!$E:$E,"廃棄")&gt;0,1,0)))</f>
        <v>0</v>
      </c>
    </row>
    <row r="51" spans="1:13">
      <c r="A51" t="s">
        <v>602</v>
      </c>
      <c r="B51" t="s">
        <v>6</v>
      </c>
      <c r="C51" t="s">
        <v>6</v>
      </c>
      <c r="D51" s="12" t="s">
        <v>6</v>
      </c>
      <c r="E51" s="11" t="s">
        <v>6</v>
      </c>
      <c r="F51" s="16" t="s">
        <v>6</v>
      </c>
      <c r="G51" t="s">
        <v>6</v>
      </c>
      <c r="H51" t="s">
        <v>6</v>
      </c>
      <c r="I51">
        <f t="shared" si="0"/>
        <v>1</v>
      </c>
      <c r="J51" t="str">
        <f t="shared" ca="1" si="2"/>
        <v/>
      </c>
      <c r="K51" t="e">
        <f t="shared" ca="1" si="1"/>
        <v>#VALUE!</v>
      </c>
      <c r="L51">
        <f>IF($A51="","",IF($E51&lt;&gt;"",0,IF(COUNTIFS(個体台帳!$A:$A,$B51,個体台帳!$E:$E,"&lt;&gt;貸出中")&gt;0,1,0)))</f>
        <v>1</v>
      </c>
      <c r="M51">
        <f>IF($A51="","",IF($E51&lt;&gt;"",0,IF(COUNTIFS(個体台帳!$A:$A,$B51,個体台帳!$E:$E,"廃棄")&gt;0,1,0)))</f>
        <v>0</v>
      </c>
    </row>
    <row r="52" spans="1:13">
      <c r="A52" t="s">
        <v>603</v>
      </c>
      <c r="B52" t="s">
        <v>6</v>
      </c>
      <c r="C52" t="s">
        <v>6</v>
      </c>
      <c r="D52" s="12" t="s">
        <v>6</v>
      </c>
      <c r="E52" s="11" t="s">
        <v>6</v>
      </c>
      <c r="F52" s="16" t="s">
        <v>6</v>
      </c>
      <c r="G52" t="s">
        <v>6</v>
      </c>
      <c r="H52" t="s">
        <v>6</v>
      </c>
      <c r="I52">
        <f t="shared" si="0"/>
        <v>1</v>
      </c>
      <c r="J52" t="str">
        <f t="shared" ca="1" si="2"/>
        <v/>
      </c>
      <c r="K52" t="e">
        <f t="shared" ca="1" si="1"/>
        <v>#VALUE!</v>
      </c>
      <c r="L52">
        <f>IF($A52="","",IF($E52&lt;&gt;"",0,IF(COUNTIFS(個体台帳!$A:$A,$B52,個体台帳!$E:$E,"&lt;&gt;貸出中")&gt;0,1,0)))</f>
        <v>1</v>
      </c>
      <c r="M52">
        <f>IF($A52="","",IF($E52&lt;&gt;"",0,IF(COUNTIFS(個体台帳!$A:$A,$B52,個体台帳!$E:$E,"廃棄")&gt;0,1,0)))</f>
        <v>0</v>
      </c>
    </row>
    <row r="53" spans="1:13">
      <c r="A53" t="s">
        <v>604</v>
      </c>
      <c r="B53" t="s">
        <v>6</v>
      </c>
      <c r="C53" t="s">
        <v>6</v>
      </c>
      <c r="D53" s="12" t="s">
        <v>6</v>
      </c>
      <c r="E53" s="11" t="s">
        <v>6</v>
      </c>
      <c r="F53" s="16" t="s">
        <v>6</v>
      </c>
      <c r="G53" t="s">
        <v>6</v>
      </c>
      <c r="H53" t="s">
        <v>6</v>
      </c>
      <c r="I53">
        <f t="shared" si="0"/>
        <v>1</v>
      </c>
      <c r="J53" t="str">
        <f t="shared" ca="1" si="2"/>
        <v/>
      </c>
      <c r="K53" t="e">
        <f t="shared" ca="1" si="1"/>
        <v>#VALUE!</v>
      </c>
      <c r="L53">
        <f>IF($A53="","",IF($E53&lt;&gt;"",0,IF(COUNTIFS(個体台帳!$A:$A,$B53,個体台帳!$E:$E,"&lt;&gt;貸出中")&gt;0,1,0)))</f>
        <v>1</v>
      </c>
      <c r="M53">
        <f>IF($A53="","",IF($E53&lt;&gt;"",0,IF(COUNTIFS(個体台帳!$A:$A,$B53,個体台帳!$E:$E,"廃棄")&gt;0,1,0)))</f>
        <v>0</v>
      </c>
    </row>
    <row r="54" spans="1:13">
      <c r="A54" t="s">
        <v>605</v>
      </c>
      <c r="B54" t="s">
        <v>6</v>
      </c>
      <c r="C54" t="s">
        <v>6</v>
      </c>
      <c r="D54" s="12" t="s">
        <v>6</v>
      </c>
      <c r="E54" s="11" t="s">
        <v>6</v>
      </c>
      <c r="F54" s="16" t="s">
        <v>6</v>
      </c>
      <c r="G54" t="s">
        <v>6</v>
      </c>
      <c r="H54" t="s">
        <v>6</v>
      </c>
      <c r="I54">
        <f t="shared" si="0"/>
        <v>1</v>
      </c>
      <c r="J54" t="str">
        <f t="shared" ca="1" si="2"/>
        <v/>
      </c>
      <c r="K54" t="e">
        <f t="shared" ca="1" si="1"/>
        <v>#VALUE!</v>
      </c>
      <c r="L54">
        <f>IF($A54="","",IF($E54&lt;&gt;"",0,IF(COUNTIFS(個体台帳!$A:$A,$B54,個体台帳!$E:$E,"&lt;&gt;貸出中")&gt;0,1,0)))</f>
        <v>1</v>
      </c>
      <c r="M54">
        <f>IF($A54="","",IF($E54&lt;&gt;"",0,IF(COUNTIFS(個体台帳!$A:$A,$B54,個体台帳!$E:$E,"廃棄")&gt;0,1,0)))</f>
        <v>0</v>
      </c>
    </row>
    <row r="55" spans="1:13">
      <c r="A55" t="s">
        <v>606</v>
      </c>
      <c r="B55" t="s">
        <v>6</v>
      </c>
      <c r="C55" t="s">
        <v>6</v>
      </c>
      <c r="D55" s="12" t="s">
        <v>6</v>
      </c>
      <c r="E55" s="11" t="s">
        <v>6</v>
      </c>
      <c r="F55" s="16" t="s">
        <v>6</v>
      </c>
      <c r="G55" t="s">
        <v>6</v>
      </c>
      <c r="H55" t="s">
        <v>6</v>
      </c>
      <c r="I55">
        <f t="shared" si="0"/>
        <v>1</v>
      </c>
      <c r="J55" t="str">
        <f t="shared" ca="1" si="2"/>
        <v/>
      </c>
      <c r="K55" t="e">
        <f t="shared" ca="1" si="1"/>
        <v>#VALUE!</v>
      </c>
      <c r="L55">
        <f>IF($A55="","",IF($E55&lt;&gt;"",0,IF(COUNTIFS(個体台帳!$A:$A,$B55,個体台帳!$E:$E,"&lt;&gt;貸出中")&gt;0,1,0)))</f>
        <v>1</v>
      </c>
      <c r="M55">
        <f>IF($A55="","",IF($E55&lt;&gt;"",0,IF(COUNTIFS(個体台帳!$A:$A,$B55,個体台帳!$E:$E,"廃棄")&gt;0,1,0)))</f>
        <v>0</v>
      </c>
    </row>
    <row r="56" spans="1:13">
      <c r="A56" t="s">
        <v>607</v>
      </c>
      <c r="B56" t="s">
        <v>6</v>
      </c>
      <c r="C56" t="s">
        <v>6</v>
      </c>
      <c r="D56" s="12" t="s">
        <v>6</v>
      </c>
      <c r="E56" s="11" t="s">
        <v>6</v>
      </c>
      <c r="F56" s="16" t="s">
        <v>6</v>
      </c>
      <c r="G56" t="s">
        <v>6</v>
      </c>
      <c r="H56" t="s">
        <v>6</v>
      </c>
      <c r="I56">
        <f t="shared" si="0"/>
        <v>1</v>
      </c>
      <c r="J56" t="str">
        <f t="shared" ca="1" si="2"/>
        <v/>
      </c>
      <c r="K56" t="e">
        <f t="shared" ca="1" si="1"/>
        <v>#VALUE!</v>
      </c>
      <c r="L56">
        <f>IF($A56="","",IF($E56&lt;&gt;"",0,IF(COUNTIFS(個体台帳!$A:$A,$B56,個体台帳!$E:$E,"&lt;&gt;貸出中")&gt;0,1,0)))</f>
        <v>1</v>
      </c>
      <c r="M56">
        <f>IF($A56="","",IF($E56&lt;&gt;"",0,IF(COUNTIFS(個体台帳!$A:$A,$B56,個体台帳!$E:$E,"廃棄")&gt;0,1,0)))</f>
        <v>0</v>
      </c>
    </row>
    <row r="57" spans="1:13">
      <c r="A57" t="s">
        <v>608</v>
      </c>
      <c r="B57" t="s">
        <v>6</v>
      </c>
      <c r="C57" t="s">
        <v>6</v>
      </c>
      <c r="D57" s="12" t="s">
        <v>6</v>
      </c>
      <c r="E57" s="11" t="s">
        <v>6</v>
      </c>
      <c r="F57" s="16" t="s">
        <v>6</v>
      </c>
      <c r="G57" t="s">
        <v>6</v>
      </c>
      <c r="H57" t="s">
        <v>6</v>
      </c>
      <c r="I57">
        <f t="shared" si="0"/>
        <v>1</v>
      </c>
      <c r="J57" t="str">
        <f t="shared" ca="1" si="2"/>
        <v/>
      </c>
      <c r="K57" t="e">
        <f t="shared" ca="1" si="1"/>
        <v>#VALUE!</v>
      </c>
      <c r="L57">
        <f>IF($A57="","",IF($E57&lt;&gt;"",0,IF(COUNTIFS(個体台帳!$A:$A,$B57,個体台帳!$E:$E,"&lt;&gt;貸出中")&gt;0,1,0)))</f>
        <v>1</v>
      </c>
      <c r="M57">
        <f>IF($A57="","",IF($E57&lt;&gt;"",0,IF(COUNTIFS(個体台帳!$A:$A,$B57,個体台帳!$E:$E,"廃棄")&gt;0,1,0)))</f>
        <v>0</v>
      </c>
    </row>
    <row r="58" spans="1:13">
      <c r="A58" t="s">
        <v>609</v>
      </c>
      <c r="B58" t="s">
        <v>6</v>
      </c>
      <c r="C58" t="s">
        <v>6</v>
      </c>
      <c r="D58" s="12" t="s">
        <v>6</v>
      </c>
      <c r="E58" s="11" t="s">
        <v>6</v>
      </c>
      <c r="F58" s="16" t="s">
        <v>6</v>
      </c>
      <c r="G58" t="s">
        <v>6</v>
      </c>
      <c r="H58" t="s">
        <v>6</v>
      </c>
      <c r="I58">
        <f t="shared" si="0"/>
        <v>1</v>
      </c>
      <c r="J58" t="str">
        <f t="shared" ca="1" si="2"/>
        <v/>
      </c>
      <c r="K58" t="e">
        <f t="shared" ca="1" si="1"/>
        <v>#VALUE!</v>
      </c>
      <c r="L58">
        <f>IF($A58="","",IF($E58&lt;&gt;"",0,IF(COUNTIFS(個体台帳!$A:$A,$B58,個体台帳!$E:$E,"&lt;&gt;貸出中")&gt;0,1,0)))</f>
        <v>1</v>
      </c>
      <c r="M58">
        <f>IF($A58="","",IF($E58&lt;&gt;"",0,IF(COUNTIFS(個体台帳!$A:$A,$B58,個体台帳!$E:$E,"廃棄")&gt;0,1,0)))</f>
        <v>0</v>
      </c>
    </row>
    <row r="59" spans="1:13">
      <c r="A59" t="s">
        <v>610</v>
      </c>
      <c r="B59" t="s">
        <v>6</v>
      </c>
      <c r="C59" t="s">
        <v>6</v>
      </c>
      <c r="D59" s="12" t="s">
        <v>6</v>
      </c>
      <c r="E59" s="11" t="s">
        <v>6</v>
      </c>
      <c r="F59" s="16" t="s">
        <v>6</v>
      </c>
      <c r="G59" t="s">
        <v>6</v>
      </c>
      <c r="H59" t="s">
        <v>6</v>
      </c>
      <c r="I59">
        <f t="shared" si="0"/>
        <v>1</v>
      </c>
      <c r="J59" t="str">
        <f t="shared" ca="1" si="2"/>
        <v/>
      </c>
      <c r="K59" t="e">
        <f t="shared" ca="1" si="1"/>
        <v>#VALUE!</v>
      </c>
      <c r="L59">
        <f>IF($A59="","",IF($E59&lt;&gt;"",0,IF(COUNTIFS(個体台帳!$A:$A,$B59,個体台帳!$E:$E,"&lt;&gt;貸出中")&gt;0,1,0)))</f>
        <v>1</v>
      </c>
      <c r="M59">
        <f>IF($A59="","",IF($E59&lt;&gt;"",0,IF(COUNTIFS(個体台帳!$A:$A,$B59,個体台帳!$E:$E,"廃棄")&gt;0,1,0)))</f>
        <v>0</v>
      </c>
    </row>
    <row r="60" spans="1:13">
      <c r="A60" t="s">
        <v>611</v>
      </c>
      <c r="B60" t="s">
        <v>6</v>
      </c>
      <c r="C60" t="s">
        <v>6</v>
      </c>
      <c r="D60" s="12" t="s">
        <v>6</v>
      </c>
      <c r="E60" s="11" t="s">
        <v>6</v>
      </c>
      <c r="F60" s="16" t="s">
        <v>6</v>
      </c>
      <c r="G60" t="s">
        <v>6</v>
      </c>
      <c r="H60" t="s">
        <v>6</v>
      </c>
      <c r="I60">
        <f t="shared" si="0"/>
        <v>1</v>
      </c>
      <c r="J60" t="str">
        <f t="shared" ca="1" si="2"/>
        <v/>
      </c>
      <c r="K60" t="e">
        <f t="shared" ca="1" si="1"/>
        <v>#VALUE!</v>
      </c>
      <c r="L60">
        <f>IF($A60="","",IF($E60&lt;&gt;"",0,IF(COUNTIFS(個体台帳!$A:$A,$B60,個体台帳!$E:$E,"&lt;&gt;貸出中")&gt;0,1,0)))</f>
        <v>1</v>
      </c>
      <c r="M60">
        <f>IF($A60="","",IF($E60&lt;&gt;"",0,IF(COUNTIFS(個体台帳!$A:$A,$B60,個体台帳!$E:$E,"廃棄")&gt;0,1,0)))</f>
        <v>0</v>
      </c>
    </row>
    <row r="61" spans="1:13">
      <c r="A61" t="s">
        <v>612</v>
      </c>
      <c r="B61" t="s">
        <v>6</v>
      </c>
      <c r="C61" t="s">
        <v>6</v>
      </c>
      <c r="D61" s="12" t="s">
        <v>6</v>
      </c>
      <c r="E61" s="11" t="s">
        <v>6</v>
      </c>
      <c r="F61" s="16" t="s">
        <v>6</v>
      </c>
      <c r="G61" t="s">
        <v>6</v>
      </c>
      <c r="H61" t="s">
        <v>6</v>
      </c>
      <c r="I61">
        <f t="shared" si="0"/>
        <v>1</v>
      </c>
      <c r="J61" t="str">
        <f t="shared" ca="1" si="2"/>
        <v/>
      </c>
      <c r="K61" t="e">
        <f t="shared" ca="1" si="1"/>
        <v>#VALUE!</v>
      </c>
      <c r="L61">
        <f>IF($A61="","",IF($E61&lt;&gt;"",0,IF(COUNTIFS(個体台帳!$A:$A,$B61,個体台帳!$E:$E,"&lt;&gt;貸出中")&gt;0,1,0)))</f>
        <v>1</v>
      </c>
      <c r="M61">
        <f>IF($A61="","",IF($E61&lt;&gt;"",0,IF(COUNTIFS(個体台帳!$A:$A,$B61,個体台帳!$E:$E,"廃棄")&gt;0,1,0)))</f>
        <v>0</v>
      </c>
    </row>
    <row r="62" spans="1:13">
      <c r="A62" t="s">
        <v>613</v>
      </c>
      <c r="B62" t="s">
        <v>6</v>
      </c>
      <c r="C62" t="s">
        <v>6</v>
      </c>
      <c r="D62" s="12" t="s">
        <v>6</v>
      </c>
      <c r="E62" s="11" t="s">
        <v>6</v>
      </c>
      <c r="F62" s="16" t="s">
        <v>6</v>
      </c>
      <c r="G62" t="s">
        <v>6</v>
      </c>
      <c r="H62" t="s">
        <v>6</v>
      </c>
      <c r="I62">
        <f t="shared" si="0"/>
        <v>1</v>
      </c>
      <c r="J62" t="str">
        <f t="shared" ca="1" si="2"/>
        <v/>
      </c>
      <c r="K62" t="e">
        <f t="shared" ca="1" si="1"/>
        <v>#VALUE!</v>
      </c>
      <c r="L62">
        <f>IF($A62="","",IF($E62&lt;&gt;"",0,IF(COUNTIFS(個体台帳!$A:$A,$B62,個体台帳!$E:$E,"&lt;&gt;貸出中")&gt;0,1,0)))</f>
        <v>1</v>
      </c>
      <c r="M62">
        <f>IF($A62="","",IF($E62&lt;&gt;"",0,IF(COUNTIFS(個体台帳!$A:$A,$B62,個体台帳!$E:$E,"廃棄")&gt;0,1,0)))</f>
        <v>0</v>
      </c>
    </row>
    <row r="63" spans="1:13">
      <c r="A63" t="s">
        <v>614</v>
      </c>
      <c r="B63" t="s">
        <v>6</v>
      </c>
      <c r="C63" t="s">
        <v>6</v>
      </c>
      <c r="D63" s="12" t="s">
        <v>6</v>
      </c>
      <c r="E63" s="11" t="s">
        <v>6</v>
      </c>
      <c r="F63" s="16" t="s">
        <v>6</v>
      </c>
      <c r="G63" t="s">
        <v>6</v>
      </c>
      <c r="H63" t="s">
        <v>6</v>
      </c>
      <c r="I63">
        <f t="shared" si="0"/>
        <v>1</v>
      </c>
      <c r="J63" t="str">
        <f t="shared" ca="1" si="2"/>
        <v/>
      </c>
      <c r="K63" t="e">
        <f t="shared" ca="1" si="1"/>
        <v>#VALUE!</v>
      </c>
      <c r="L63">
        <f>IF($A63="","",IF($E63&lt;&gt;"",0,IF(COUNTIFS(個体台帳!$A:$A,$B63,個体台帳!$E:$E,"&lt;&gt;貸出中")&gt;0,1,0)))</f>
        <v>1</v>
      </c>
      <c r="M63">
        <f>IF($A63="","",IF($E63&lt;&gt;"",0,IF(COUNTIFS(個体台帳!$A:$A,$B63,個体台帳!$E:$E,"廃棄")&gt;0,1,0)))</f>
        <v>0</v>
      </c>
    </row>
    <row r="64" spans="1:13">
      <c r="A64" t="s">
        <v>615</v>
      </c>
      <c r="B64" t="s">
        <v>6</v>
      </c>
      <c r="C64" t="s">
        <v>6</v>
      </c>
      <c r="D64" s="12" t="s">
        <v>6</v>
      </c>
      <c r="E64" s="11" t="s">
        <v>6</v>
      </c>
      <c r="F64" s="16" t="s">
        <v>6</v>
      </c>
      <c r="G64" t="s">
        <v>6</v>
      </c>
      <c r="H64" t="s">
        <v>6</v>
      </c>
      <c r="I64">
        <f t="shared" si="0"/>
        <v>1</v>
      </c>
      <c r="J64" t="str">
        <f t="shared" ca="1" si="2"/>
        <v/>
      </c>
      <c r="K64" t="e">
        <f t="shared" ca="1" si="1"/>
        <v>#VALUE!</v>
      </c>
      <c r="L64">
        <f>IF($A64="","",IF($E64&lt;&gt;"",0,IF(COUNTIFS(個体台帳!$A:$A,$B64,個体台帳!$E:$E,"&lt;&gt;貸出中")&gt;0,1,0)))</f>
        <v>1</v>
      </c>
      <c r="M64">
        <f>IF($A64="","",IF($E64&lt;&gt;"",0,IF(COUNTIFS(個体台帳!$A:$A,$B64,個体台帳!$E:$E,"廃棄")&gt;0,1,0)))</f>
        <v>0</v>
      </c>
    </row>
    <row r="65" spans="1:13">
      <c r="A65" t="s">
        <v>616</v>
      </c>
      <c r="B65" t="s">
        <v>6</v>
      </c>
      <c r="C65" t="s">
        <v>6</v>
      </c>
      <c r="D65" s="12" t="s">
        <v>6</v>
      </c>
      <c r="E65" s="11" t="s">
        <v>6</v>
      </c>
      <c r="F65" s="16" t="s">
        <v>6</v>
      </c>
      <c r="G65" t="s">
        <v>6</v>
      </c>
      <c r="H65" t="s">
        <v>6</v>
      </c>
      <c r="I65">
        <f t="shared" si="0"/>
        <v>1</v>
      </c>
      <c r="J65" t="str">
        <f t="shared" ca="1" si="2"/>
        <v/>
      </c>
      <c r="K65" t="e">
        <f t="shared" ca="1" si="1"/>
        <v>#VALUE!</v>
      </c>
      <c r="L65">
        <f>IF($A65="","",IF($E65&lt;&gt;"",0,IF(COUNTIFS(個体台帳!$A:$A,$B65,個体台帳!$E:$E,"&lt;&gt;貸出中")&gt;0,1,0)))</f>
        <v>1</v>
      </c>
      <c r="M65">
        <f>IF($A65="","",IF($E65&lt;&gt;"",0,IF(COUNTIFS(個体台帳!$A:$A,$B65,個体台帳!$E:$E,"廃棄")&gt;0,1,0)))</f>
        <v>0</v>
      </c>
    </row>
    <row r="66" spans="1:13">
      <c r="A66" t="s">
        <v>617</v>
      </c>
      <c r="B66" t="s">
        <v>6</v>
      </c>
      <c r="C66" t="s">
        <v>6</v>
      </c>
      <c r="D66" s="12" t="s">
        <v>6</v>
      </c>
      <c r="E66" s="11" t="s">
        <v>6</v>
      </c>
      <c r="F66" s="16" t="s">
        <v>6</v>
      </c>
      <c r="G66" t="s">
        <v>6</v>
      </c>
      <c r="H66" t="s">
        <v>6</v>
      </c>
      <c r="I66">
        <f t="shared" ref="I66:I129" si="3">IF($A66="","",--($E66=""))</f>
        <v>1</v>
      </c>
      <c r="J66" t="str">
        <f t="shared" ref="J66:J129" ca="1" si="4">IF($D66="","",TODAY()-$D66)</f>
        <v/>
      </c>
      <c r="K66" t="e">
        <f t="shared" ref="K66:K129" ca="1" si="5">IF($A66="","",IF(AND($E66="", $D66&lt;&gt;"", TODAY()-$D66&gt;=31),1,0))</f>
        <v>#VALUE!</v>
      </c>
      <c r="L66">
        <f>IF($A66="","",IF($E66&lt;&gt;"",0,IF(COUNTIFS(個体台帳!$A:$A,$B66,個体台帳!$E:$E,"&lt;&gt;貸出中")&gt;0,1,0)))</f>
        <v>1</v>
      </c>
      <c r="M66">
        <f>IF($A66="","",IF($E66&lt;&gt;"",0,IF(COUNTIFS(個体台帳!$A:$A,$B66,個体台帳!$E:$E,"廃棄")&gt;0,1,0)))</f>
        <v>0</v>
      </c>
    </row>
    <row r="67" spans="1:13">
      <c r="A67" t="s">
        <v>618</v>
      </c>
      <c r="B67" t="s">
        <v>6</v>
      </c>
      <c r="C67" t="s">
        <v>6</v>
      </c>
      <c r="D67" s="12" t="s">
        <v>6</v>
      </c>
      <c r="E67" s="11" t="s">
        <v>6</v>
      </c>
      <c r="F67" s="16" t="s">
        <v>6</v>
      </c>
      <c r="G67" t="s">
        <v>6</v>
      </c>
      <c r="H67" t="s">
        <v>6</v>
      </c>
      <c r="I67">
        <f t="shared" si="3"/>
        <v>1</v>
      </c>
      <c r="J67" t="str">
        <f t="shared" ca="1" si="4"/>
        <v/>
      </c>
      <c r="K67" t="e">
        <f t="shared" ca="1" si="5"/>
        <v>#VALUE!</v>
      </c>
      <c r="L67">
        <f>IF($A67="","",IF($E67&lt;&gt;"",0,IF(COUNTIFS(個体台帳!$A:$A,$B67,個体台帳!$E:$E,"&lt;&gt;貸出中")&gt;0,1,0)))</f>
        <v>1</v>
      </c>
      <c r="M67">
        <f>IF($A67="","",IF($E67&lt;&gt;"",0,IF(COUNTIFS(個体台帳!$A:$A,$B67,個体台帳!$E:$E,"廃棄")&gt;0,1,0)))</f>
        <v>0</v>
      </c>
    </row>
    <row r="68" spans="1:13">
      <c r="A68" t="s">
        <v>619</v>
      </c>
      <c r="B68" t="s">
        <v>6</v>
      </c>
      <c r="C68" t="s">
        <v>6</v>
      </c>
      <c r="D68" s="12" t="s">
        <v>6</v>
      </c>
      <c r="E68" s="11" t="s">
        <v>6</v>
      </c>
      <c r="F68" s="16" t="s">
        <v>6</v>
      </c>
      <c r="G68" t="s">
        <v>6</v>
      </c>
      <c r="H68" t="s">
        <v>6</v>
      </c>
      <c r="I68">
        <f t="shared" si="3"/>
        <v>1</v>
      </c>
      <c r="J68" t="str">
        <f t="shared" ca="1" si="4"/>
        <v/>
      </c>
      <c r="K68" t="e">
        <f t="shared" ca="1" si="5"/>
        <v>#VALUE!</v>
      </c>
      <c r="L68">
        <f>IF($A68="","",IF($E68&lt;&gt;"",0,IF(COUNTIFS(個体台帳!$A:$A,$B68,個体台帳!$E:$E,"&lt;&gt;貸出中")&gt;0,1,0)))</f>
        <v>1</v>
      </c>
      <c r="M68">
        <f>IF($A68="","",IF($E68&lt;&gt;"",0,IF(COUNTIFS(個体台帳!$A:$A,$B68,個体台帳!$E:$E,"廃棄")&gt;0,1,0)))</f>
        <v>0</v>
      </c>
    </row>
    <row r="69" spans="1:13">
      <c r="A69" t="s">
        <v>620</v>
      </c>
      <c r="B69" t="s">
        <v>6</v>
      </c>
      <c r="C69" t="s">
        <v>6</v>
      </c>
      <c r="D69" s="12" t="s">
        <v>6</v>
      </c>
      <c r="E69" s="11" t="s">
        <v>6</v>
      </c>
      <c r="F69" s="16" t="s">
        <v>6</v>
      </c>
      <c r="G69" t="s">
        <v>6</v>
      </c>
      <c r="H69" t="s">
        <v>6</v>
      </c>
      <c r="I69">
        <f t="shared" si="3"/>
        <v>1</v>
      </c>
      <c r="J69" t="str">
        <f t="shared" ca="1" si="4"/>
        <v/>
      </c>
      <c r="K69" t="e">
        <f t="shared" ca="1" si="5"/>
        <v>#VALUE!</v>
      </c>
      <c r="L69">
        <f>IF($A69="","",IF($E69&lt;&gt;"",0,IF(COUNTIFS(個体台帳!$A:$A,$B69,個体台帳!$E:$E,"&lt;&gt;貸出中")&gt;0,1,0)))</f>
        <v>1</v>
      </c>
      <c r="M69">
        <f>IF($A69="","",IF($E69&lt;&gt;"",0,IF(COUNTIFS(個体台帳!$A:$A,$B69,個体台帳!$E:$E,"廃棄")&gt;0,1,0)))</f>
        <v>0</v>
      </c>
    </row>
    <row r="70" spans="1:13">
      <c r="A70" t="s">
        <v>621</v>
      </c>
      <c r="B70" t="s">
        <v>6</v>
      </c>
      <c r="C70" t="s">
        <v>6</v>
      </c>
      <c r="D70" s="12" t="s">
        <v>6</v>
      </c>
      <c r="E70" s="11" t="s">
        <v>6</v>
      </c>
      <c r="F70" s="16" t="s">
        <v>6</v>
      </c>
      <c r="G70" t="s">
        <v>6</v>
      </c>
      <c r="H70" t="s">
        <v>6</v>
      </c>
      <c r="I70">
        <f t="shared" si="3"/>
        <v>1</v>
      </c>
      <c r="J70" t="str">
        <f t="shared" ca="1" si="4"/>
        <v/>
      </c>
      <c r="K70" t="e">
        <f t="shared" ca="1" si="5"/>
        <v>#VALUE!</v>
      </c>
      <c r="L70">
        <f>IF($A70="","",IF($E70&lt;&gt;"",0,IF(COUNTIFS(個体台帳!$A:$A,$B70,個体台帳!$E:$E,"&lt;&gt;貸出中")&gt;0,1,0)))</f>
        <v>1</v>
      </c>
      <c r="M70">
        <f>IF($A70="","",IF($E70&lt;&gt;"",0,IF(COUNTIFS(個体台帳!$A:$A,$B70,個体台帳!$E:$E,"廃棄")&gt;0,1,0)))</f>
        <v>0</v>
      </c>
    </row>
    <row r="71" spans="1:13">
      <c r="A71" t="s">
        <v>622</v>
      </c>
      <c r="B71" t="s">
        <v>6</v>
      </c>
      <c r="C71" t="s">
        <v>6</v>
      </c>
      <c r="D71" s="12" t="s">
        <v>6</v>
      </c>
      <c r="E71" s="11" t="s">
        <v>6</v>
      </c>
      <c r="F71" s="16" t="s">
        <v>6</v>
      </c>
      <c r="G71" t="s">
        <v>6</v>
      </c>
      <c r="H71" t="s">
        <v>6</v>
      </c>
      <c r="I71">
        <f t="shared" si="3"/>
        <v>1</v>
      </c>
      <c r="J71" t="str">
        <f t="shared" ca="1" si="4"/>
        <v/>
      </c>
      <c r="K71" t="e">
        <f t="shared" ca="1" si="5"/>
        <v>#VALUE!</v>
      </c>
      <c r="L71">
        <f>IF($A71="","",IF($E71&lt;&gt;"",0,IF(COUNTIFS(個体台帳!$A:$A,$B71,個体台帳!$E:$E,"&lt;&gt;貸出中")&gt;0,1,0)))</f>
        <v>1</v>
      </c>
      <c r="M71">
        <f>IF($A71="","",IF($E71&lt;&gt;"",0,IF(COUNTIFS(個体台帳!$A:$A,$B71,個体台帳!$E:$E,"廃棄")&gt;0,1,0)))</f>
        <v>0</v>
      </c>
    </row>
    <row r="72" spans="1:13">
      <c r="A72" t="s">
        <v>623</v>
      </c>
      <c r="B72" t="s">
        <v>6</v>
      </c>
      <c r="C72" t="s">
        <v>6</v>
      </c>
      <c r="D72" s="12" t="s">
        <v>6</v>
      </c>
      <c r="E72" s="11" t="s">
        <v>6</v>
      </c>
      <c r="F72" s="16" t="s">
        <v>6</v>
      </c>
      <c r="G72" t="s">
        <v>6</v>
      </c>
      <c r="H72" t="s">
        <v>6</v>
      </c>
      <c r="I72">
        <f t="shared" si="3"/>
        <v>1</v>
      </c>
      <c r="J72" t="str">
        <f t="shared" ca="1" si="4"/>
        <v/>
      </c>
      <c r="K72" t="e">
        <f t="shared" ca="1" si="5"/>
        <v>#VALUE!</v>
      </c>
      <c r="L72">
        <f>IF($A72="","",IF($E72&lt;&gt;"",0,IF(COUNTIFS(個体台帳!$A:$A,$B72,個体台帳!$E:$E,"&lt;&gt;貸出中")&gt;0,1,0)))</f>
        <v>1</v>
      </c>
      <c r="M72">
        <f>IF($A72="","",IF($E72&lt;&gt;"",0,IF(COUNTIFS(個体台帳!$A:$A,$B72,個体台帳!$E:$E,"廃棄")&gt;0,1,0)))</f>
        <v>0</v>
      </c>
    </row>
    <row r="73" spans="1:13">
      <c r="A73" t="s">
        <v>624</v>
      </c>
      <c r="B73" t="s">
        <v>6</v>
      </c>
      <c r="C73" t="s">
        <v>6</v>
      </c>
      <c r="D73" s="12" t="s">
        <v>6</v>
      </c>
      <c r="E73" s="11" t="s">
        <v>6</v>
      </c>
      <c r="F73" s="16" t="s">
        <v>6</v>
      </c>
      <c r="G73" t="s">
        <v>6</v>
      </c>
      <c r="H73" t="s">
        <v>6</v>
      </c>
      <c r="I73">
        <f t="shared" si="3"/>
        <v>1</v>
      </c>
      <c r="J73" t="str">
        <f t="shared" ca="1" si="4"/>
        <v/>
      </c>
      <c r="K73" t="e">
        <f t="shared" ca="1" si="5"/>
        <v>#VALUE!</v>
      </c>
      <c r="L73">
        <f>IF($A73="","",IF($E73&lt;&gt;"",0,IF(COUNTIFS(個体台帳!$A:$A,$B73,個体台帳!$E:$E,"&lt;&gt;貸出中")&gt;0,1,0)))</f>
        <v>1</v>
      </c>
      <c r="M73">
        <f>IF($A73="","",IF($E73&lt;&gt;"",0,IF(COUNTIFS(個体台帳!$A:$A,$B73,個体台帳!$E:$E,"廃棄")&gt;0,1,0)))</f>
        <v>0</v>
      </c>
    </row>
    <row r="74" spans="1:13">
      <c r="A74" t="s">
        <v>625</v>
      </c>
      <c r="B74" t="s">
        <v>6</v>
      </c>
      <c r="C74" t="s">
        <v>6</v>
      </c>
      <c r="D74" s="12" t="s">
        <v>6</v>
      </c>
      <c r="E74" s="11" t="s">
        <v>6</v>
      </c>
      <c r="F74" s="16" t="s">
        <v>6</v>
      </c>
      <c r="G74" t="s">
        <v>6</v>
      </c>
      <c r="H74" t="s">
        <v>6</v>
      </c>
      <c r="I74">
        <f t="shared" si="3"/>
        <v>1</v>
      </c>
      <c r="J74" t="str">
        <f t="shared" ca="1" si="4"/>
        <v/>
      </c>
      <c r="K74" t="e">
        <f t="shared" ca="1" si="5"/>
        <v>#VALUE!</v>
      </c>
      <c r="L74">
        <f>IF($A74="","",IF($E74&lt;&gt;"",0,IF(COUNTIFS(個体台帳!$A:$A,$B74,個体台帳!$E:$E,"&lt;&gt;貸出中")&gt;0,1,0)))</f>
        <v>1</v>
      </c>
      <c r="M74">
        <f>IF($A74="","",IF($E74&lt;&gt;"",0,IF(COUNTIFS(個体台帳!$A:$A,$B74,個体台帳!$E:$E,"廃棄")&gt;0,1,0)))</f>
        <v>0</v>
      </c>
    </row>
    <row r="75" spans="1:13">
      <c r="A75" t="s">
        <v>626</v>
      </c>
      <c r="B75" t="s">
        <v>6</v>
      </c>
      <c r="C75" t="s">
        <v>6</v>
      </c>
      <c r="D75" s="12" t="s">
        <v>6</v>
      </c>
      <c r="E75" s="11" t="s">
        <v>6</v>
      </c>
      <c r="F75" s="16" t="s">
        <v>6</v>
      </c>
      <c r="G75" t="s">
        <v>6</v>
      </c>
      <c r="H75" t="s">
        <v>6</v>
      </c>
      <c r="I75">
        <f t="shared" si="3"/>
        <v>1</v>
      </c>
      <c r="J75" t="str">
        <f t="shared" ca="1" si="4"/>
        <v/>
      </c>
      <c r="K75" t="e">
        <f t="shared" ca="1" si="5"/>
        <v>#VALUE!</v>
      </c>
      <c r="L75">
        <f>IF($A75="","",IF($E75&lt;&gt;"",0,IF(COUNTIFS(個体台帳!$A:$A,$B75,個体台帳!$E:$E,"&lt;&gt;貸出中")&gt;0,1,0)))</f>
        <v>1</v>
      </c>
      <c r="M75">
        <f>IF($A75="","",IF($E75&lt;&gt;"",0,IF(COUNTIFS(個体台帳!$A:$A,$B75,個体台帳!$E:$E,"廃棄")&gt;0,1,0)))</f>
        <v>0</v>
      </c>
    </row>
    <row r="76" spans="1:13">
      <c r="A76" t="s">
        <v>627</v>
      </c>
      <c r="B76" t="s">
        <v>6</v>
      </c>
      <c r="C76" t="s">
        <v>6</v>
      </c>
      <c r="D76" s="12" t="s">
        <v>6</v>
      </c>
      <c r="E76" s="11" t="s">
        <v>6</v>
      </c>
      <c r="F76" s="16" t="s">
        <v>6</v>
      </c>
      <c r="G76" t="s">
        <v>6</v>
      </c>
      <c r="H76" t="s">
        <v>6</v>
      </c>
      <c r="I76">
        <f t="shared" si="3"/>
        <v>1</v>
      </c>
      <c r="J76" t="str">
        <f t="shared" ca="1" si="4"/>
        <v/>
      </c>
      <c r="K76" t="e">
        <f t="shared" ca="1" si="5"/>
        <v>#VALUE!</v>
      </c>
      <c r="L76">
        <f>IF($A76="","",IF($E76&lt;&gt;"",0,IF(COUNTIFS(個体台帳!$A:$A,$B76,個体台帳!$E:$E,"&lt;&gt;貸出中")&gt;0,1,0)))</f>
        <v>1</v>
      </c>
      <c r="M76">
        <f>IF($A76="","",IF($E76&lt;&gt;"",0,IF(COUNTIFS(個体台帳!$A:$A,$B76,個体台帳!$E:$E,"廃棄")&gt;0,1,0)))</f>
        <v>0</v>
      </c>
    </row>
    <row r="77" spans="1:13">
      <c r="A77" t="s">
        <v>628</v>
      </c>
      <c r="B77" t="s">
        <v>6</v>
      </c>
      <c r="C77" t="s">
        <v>6</v>
      </c>
      <c r="D77" s="12" t="s">
        <v>6</v>
      </c>
      <c r="E77" s="11" t="s">
        <v>6</v>
      </c>
      <c r="F77" s="16" t="s">
        <v>6</v>
      </c>
      <c r="G77" t="s">
        <v>6</v>
      </c>
      <c r="H77" t="s">
        <v>6</v>
      </c>
      <c r="I77">
        <f t="shared" si="3"/>
        <v>1</v>
      </c>
      <c r="J77" t="str">
        <f t="shared" ca="1" si="4"/>
        <v/>
      </c>
      <c r="K77" t="e">
        <f t="shared" ca="1" si="5"/>
        <v>#VALUE!</v>
      </c>
      <c r="L77">
        <f>IF($A77="","",IF($E77&lt;&gt;"",0,IF(COUNTIFS(個体台帳!$A:$A,$B77,個体台帳!$E:$E,"&lt;&gt;貸出中")&gt;0,1,0)))</f>
        <v>1</v>
      </c>
      <c r="M77">
        <f>IF($A77="","",IF($E77&lt;&gt;"",0,IF(COUNTIFS(個体台帳!$A:$A,$B77,個体台帳!$E:$E,"廃棄")&gt;0,1,0)))</f>
        <v>0</v>
      </c>
    </row>
    <row r="78" spans="1:13">
      <c r="A78" t="s">
        <v>629</v>
      </c>
      <c r="B78" t="s">
        <v>6</v>
      </c>
      <c r="C78" t="s">
        <v>6</v>
      </c>
      <c r="D78" s="12" t="s">
        <v>6</v>
      </c>
      <c r="E78" s="11" t="s">
        <v>6</v>
      </c>
      <c r="F78" s="16" t="s">
        <v>6</v>
      </c>
      <c r="G78" t="s">
        <v>6</v>
      </c>
      <c r="H78" t="s">
        <v>6</v>
      </c>
      <c r="I78">
        <f t="shared" si="3"/>
        <v>1</v>
      </c>
      <c r="J78" t="str">
        <f t="shared" ca="1" si="4"/>
        <v/>
      </c>
      <c r="K78" t="e">
        <f t="shared" ca="1" si="5"/>
        <v>#VALUE!</v>
      </c>
      <c r="L78">
        <f>IF($A78="","",IF($E78&lt;&gt;"",0,IF(COUNTIFS(個体台帳!$A:$A,$B78,個体台帳!$E:$E,"&lt;&gt;貸出中")&gt;0,1,0)))</f>
        <v>1</v>
      </c>
      <c r="M78">
        <f>IF($A78="","",IF($E78&lt;&gt;"",0,IF(COUNTIFS(個体台帳!$A:$A,$B78,個体台帳!$E:$E,"廃棄")&gt;0,1,0)))</f>
        <v>0</v>
      </c>
    </row>
    <row r="79" spans="1:13">
      <c r="A79" t="s">
        <v>630</v>
      </c>
      <c r="B79" t="s">
        <v>6</v>
      </c>
      <c r="C79" t="s">
        <v>6</v>
      </c>
      <c r="D79" s="12" t="s">
        <v>6</v>
      </c>
      <c r="E79" s="11" t="s">
        <v>6</v>
      </c>
      <c r="F79" s="16" t="s">
        <v>6</v>
      </c>
      <c r="G79" t="s">
        <v>6</v>
      </c>
      <c r="H79" t="s">
        <v>6</v>
      </c>
      <c r="I79">
        <f t="shared" si="3"/>
        <v>1</v>
      </c>
      <c r="J79" t="str">
        <f t="shared" ca="1" si="4"/>
        <v/>
      </c>
      <c r="K79" t="e">
        <f t="shared" ca="1" si="5"/>
        <v>#VALUE!</v>
      </c>
      <c r="L79">
        <f>IF($A79="","",IF($E79&lt;&gt;"",0,IF(COUNTIFS(個体台帳!$A:$A,$B79,個体台帳!$E:$E,"&lt;&gt;貸出中")&gt;0,1,0)))</f>
        <v>1</v>
      </c>
      <c r="M79">
        <f>IF($A79="","",IF($E79&lt;&gt;"",0,IF(COUNTIFS(個体台帳!$A:$A,$B79,個体台帳!$E:$E,"廃棄")&gt;0,1,0)))</f>
        <v>0</v>
      </c>
    </row>
    <row r="80" spans="1:13">
      <c r="A80" t="s">
        <v>631</v>
      </c>
      <c r="B80" t="s">
        <v>6</v>
      </c>
      <c r="C80" t="s">
        <v>6</v>
      </c>
      <c r="D80" s="12" t="s">
        <v>6</v>
      </c>
      <c r="E80" s="11" t="s">
        <v>6</v>
      </c>
      <c r="F80" s="16" t="s">
        <v>6</v>
      </c>
      <c r="G80" t="s">
        <v>6</v>
      </c>
      <c r="H80" t="s">
        <v>6</v>
      </c>
      <c r="I80">
        <f t="shared" si="3"/>
        <v>1</v>
      </c>
      <c r="J80" t="str">
        <f t="shared" ca="1" si="4"/>
        <v/>
      </c>
      <c r="K80" t="e">
        <f t="shared" ca="1" si="5"/>
        <v>#VALUE!</v>
      </c>
      <c r="L80">
        <f>IF($A80="","",IF($E80&lt;&gt;"",0,IF(COUNTIFS(個体台帳!$A:$A,$B80,個体台帳!$E:$E,"&lt;&gt;貸出中")&gt;0,1,0)))</f>
        <v>1</v>
      </c>
      <c r="M80">
        <f>IF($A80="","",IF($E80&lt;&gt;"",0,IF(COUNTIFS(個体台帳!$A:$A,$B80,個体台帳!$E:$E,"廃棄")&gt;0,1,0)))</f>
        <v>0</v>
      </c>
    </row>
    <row r="81" spans="1:13">
      <c r="A81" t="s">
        <v>632</v>
      </c>
      <c r="B81" t="s">
        <v>6</v>
      </c>
      <c r="C81" t="s">
        <v>6</v>
      </c>
      <c r="D81" s="12" t="s">
        <v>6</v>
      </c>
      <c r="E81" s="11" t="s">
        <v>6</v>
      </c>
      <c r="F81" s="16" t="s">
        <v>6</v>
      </c>
      <c r="G81" t="s">
        <v>6</v>
      </c>
      <c r="H81" t="s">
        <v>6</v>
      </c>
      <c r="I81">
        <f t="shared" si="3"/>
        <v>1</v>
      </c>
      <c r="J81" t="str">
        <f t="shared" ca="1" si="4"/>
        <v/>
      </c>
      <c r="K81" t="e">
        <f t="shared" ca="1" si="5"/>
        <v>#VALUE!</v>
      </c>
      <c r="L81">
        <f>IF($A81="","",IF($E81&lt;&gt;"",0,IF(COUNTIFS(個体台帳!$A:$A,$B81,個体台帳!$E:$E,"&lt;&gt;貸出中")&gt;0,1,0)))</f>
        <v>1</v>
      </c>
      <c r="M81">
        <f>IF($A81="","",IF($E81&lt;&gt;"",0,IF(COUNTIFS(個体台帳!$A:$A,$B81,個体台帳!$E:$E,"廃棄")&gt;0,1,0)))</f>
        <v>0</v>
      </c>
    </row>
    <row r="82" spans="1:13">
      <c r="A82" t="s">
        <v>633</v>
      </c>
      <c r="B82" t="s">
        <v>6</v>
      </c>
      <c r="C82" t="s">
        <v>6</v>
      </c>
      <c r="D82" s="12" t="s">
        <v>6</v>
      </c>
      <c r="E82" s="11" t="s">
        <v>6</v>
      </c>
      <c r="F82" s="16" t="s">
        <v>6</v>
      </c>
      <c r="G82" t="s">
        <v>6</v>
      </c>
      <c r="H82" t="s">
        <v>6</v>
      </c>
      <c r="I82">
        <f t="shared" si="3"/>
        <v>1</v>
      </c>
      <c r="J82" t="str">
        <f t="shared" ca="1" si="4"/>
        <v/>
      </c>
      <c r="K82" t="e">
        <f t="shared" ca="1" si="5"/>
        <v>#VALUE!</v>
      </c>
      <c r="L82">
        <f>IF($A82="","",IF($E82&lt;&gt;"",0,IF(COUNTIFS(個体台帳!$A:$A,$B82,個体台帳!$E:$E,"&lt;&gt;貸出中")&gt;0,1,0)))</f>
        <v>1</v>
      </c>
      <c r="M82">
        <f>IF($A82="","",IF($E82&lt;&gt;"",0,IF(COUNTIFS(個体台帳!$A:$A,$B82,個体台帳!$E:$E,"廃棄")&gt;0,1,0)))</f>
        <v>0</v>
      </c>
    </row>
    <row r="83" spans="1:13">
      <c r="A83" t="s">
        <v>634</v>
      </c>
      <c r="B83" t="s">
        <v>6</v>
      </c>
      <c r="C83" t="s">
        <v>6</v>
      </c>
      <c r="D83" s="12" t="s">
        <v>6</v>
      </c>
      <c r="E83" s="11" t="s">
        <v>6</v>
      </c>
      <c r="F83" s="16" t="s">
        <v>6</v>
      </c>
      <c r="G83" t="s">
        <v>6</v>
      </c>
      <c r="H83" t="s">
        <v>6</v>
      </c>
      <c r="I83">
        <f t="shared" si="3"/>
        <v>1</v>
      </c>
      <c r="J83" t="str">
        <f t="shared" ca="1" si="4"/>
        <v/>
      </c>
      <c r="K83" t="e">
        <f t="shared" ca="1" si="5"/>
        <v>#VALUE!</v>
      </c>
      <c r="L83">
        <f>IF($A83="","",IF($E83&lt;&gt;"",0,IF(COUNTIFS(個体台帳!$A:$A,$B83,個体台帳!$E:$E,"&lt;&gt;貸出中")&gt;0,1,0)))</f>
        <v>1</v>
      </c>
      <c r="M83">
        <f>IF($A83="","",IF($E83&lt;&gt;"",0,IF(COUNTIFS(個体台帳!$A:$A,$B83,個体台帳!$E:$E,"廃棄")&gt;0,1,0)))</f>
        <v>0</v>
      </c>
    </row>
    <row r="84" spans="1:13">
      <c r="A84" t="s">
        <v>635</v>
      </c>
      <c r="B84" t="s">
        <v>6</v>
      </c>
      <c r="C84" t="s">
        <v>6</v>
      </c>
      <c r="D84" s="12" t="s">
        <v>6</v>
      </c>
      <c r="E84" s="11" t="s">
        <v>6</v>
      </c>
      <c r="F84" s="16" t="s">
        <v>6</v>
      </c>
      <c r="G84" t="s">
        <v>6</v>
      </c>
      <c r="H84" t="s">
        <v>6</v>
      </c>
      <c r="I84">
        <f t="shared" si="3"/>
        <v>1</v>
      </c>
      <c r="J84" t="str">
        <f t="shared" ca="1" si="4"/>
        <v/>
      </c>
      <c r="K84" t="e">
        <f t="shared" ca="1" si="5"/>
        <v>#VALUE!</v>
      </c>
      <c r="L84">
        <f>IF($A84="","",IF($E84&lt;&gt;"",0,IF(COUNTIFS(個体台帳!$A:$A,$B84,個体台帳!$E:$E,"&lt;&gt;貸出中")&gt;0,1,0)))</f>
        <v>1</v>
      </c>
      <c r="M84">
        <f>IF($A84="","",IF($E84&lt;&gt;"",0,IF(COUNTIFS(個体台帳!$A:$A,$B84,個体台帳!$E:$E,"廃棄")&gt;0,1,0)))</f>
        <v>0</v>
      </c>
    </row>
    <row r="85" spans="1:13">
      <c r="A85" t="s">
        <v>636</v>
      </c>
      <c r="B85" t="s">
        <v>6</v>
      </c>
      <c r="C85" t="s">
        <v>6</v>
      </c>
      <c r="D85" s="12" t="s">
        <v>6</v>
      </c>
      <c r="E85" s="11" t="s">
        <v>6</v>
      </c>
      <c r="F85" s="16" t="s">
        <v>6</v>
      </c>
      <c r="G85" t="s">
        <v>6</v>
      </c>
      <c r="H85" t="s">
        <v>6</v>
      </c>
      <c r="I85">
        <f t="shared" si="3"/>
        <v>1</v>
      </c>
      <c r="J85" t="str">
        <f t="shared" ca="1" si="4"/>
        <v/>
      </c>
      <c r="K85" t="e">
        <f t="shared" ca="1" si="5"/>
        <v>#VALUE!</v>
      </c>
      <c r="L85">
        <f>IF($A85="","",IF($E85&lt;&gt;"",0,IF(COUNTIFS(個体台帳!$A:$A,$B85,個体台帳!$E:$E,"&lt;&gt;貸出中")&gt;0,1,0)))</f>
        <v>1</v>
      </c>
      <c r="M85">
        <f>IF($A85="","",IF($E85&lt;&gt;"",0,IF(COUNTIFS(個体台帳!$A:$A,$B85,個体台帳!$E:$E,"廃棄")&gt;0,1,0)))</f>
        <v>0</v>
      </c>
    </row>
    <row r="86" spans="1:13">
      <c r="A86" t="s">
        <v>637</v>
      </c>
      <c r="B86" t="s">
        <v>6</v>
      </c>
      <c r="C86" t="s">
        <v>6</v>
      </c>
      <c r="D86" s="12" t="s">
        <v>6</v>
      </c>
      <c r="E86" s="11" t="s">
        <v>6</v>
      </c>
      <c r="F86" s="16" t="s">
        <v>6</v>
      </c>
      <c r="G86" t="s">
        <v>6</v>
      </c>
      <c r="H86" t="s">
        <v>6</v>
      </c>
      <c r="I86">
        <f t="shared" si="3"/>
        <v>1</v>
      </c>
      <c r="J86" t="str">
        <f t="shared" ca="1" si="4"/>
        <v/>
      </c>
      <c r="K86" t="e">
        <f t="shared" ca="1" si="5"/>
        <v>#VALUE!</v>
      </c>
      <c r="L86">
        <f>IF($A86="","",IF($E86&lt;&gt;"",0,IF(COUNTIFS(個体台帳!$A:$A,$B86,個体台帳!$E:$E,"&lt;&gt;貸出中")&gt;0,1,0)))</f>
        <v>1</v>
      </c>
      <c r="M86">
        <f>IF($A86="","",IF($E86&lt;&gt;"",0,IF(COUNTIFS(個体台帳!$A:$A,$B86,個体台帳!$E:$E,"廃棄")&gt;0,1,0)))</f>
        <v>0</v>
      </c>
    </row>
    <row r="87" spans="1:13">
      <c r="A87" t="s">
        <v>638</v>
      </c>
      <c r="B87" t="s">
        <v>6</v>
      </c>
      <c r="C87" t="s">
        <v>6</v>
      </c>
      <c r="D87" s="12" t="s">
        <v>6</v>
      </c>
      <c r="E87" s="11" t="s">
        <v>6</v>
      </c>
      <c r="F87" s="16" t="s">
        <v>6</v>
      </c>
      <c r="G87" t="s">
        <v>6</v>
      </c>
      <c r="H87" t="s">
        <v>6</v>
      </c>
      <c r="I87">
        <f t="shared" si="3"/>
        <v>1</v>
      </c>
      <c r="J87" t="str">
        <f t="shared" ca="1" si="4"/>
        <v/>
      </c>
      <c r="K87" t="e">
        <f t="shared" ca="1" si="5"/>
        <v>#VALUE!</v>
      </c>
      <c r="L87">
        <f>IF($A87="","",IF($E87&lt;&gt;"",0,IF(COUNTIFS(個体台帳!$A:$A,$B87,個体台帳!$E:$E,"&lt;&gt;貸出中")&gt;0,1,0)))</f>
        <v>1</v>
      </c>
      <c r="M87">
        <f>IF($A87="","",IF($E87&lt;&gt;"",0,IF(COUNTIFS(個体台帳!$A:$A,$B87,個体台帳!$E:$E,"廃棄")&gt;0,1,0)))</f>
        <v>0</v>
      </c>
    </row>
    <row r="88" spans="1:13">
      <c r="A88" t="s">
        <v>639</v>
      </c>
      <c r="B88" t="s">
        <v>6</v>
      </c>
      <c r="C88" t="s">
        <v>6</v>
      </c>
      <c r="D88" s="12" t="s">
        <v>6</v>
      </c>
      <c r="E88" s="11" t="s">
        <v>6</v>
      </c>
      <c r="F88" s="16" t="s">
        <v>6</v>
      </c>
      <c r="G88" t="s">
        <v>6</v>
      </c>
      <c r="H88" t="s">
        <v>6</v>
      </c>
      <c r="I88">
        <f t="shared" si="3"/>
        <v>1</v>
      </c>
      <c r="J88" t="str">
        <f t="shared" ca="1" si="4"/>
        <v/>
      </c>
      <c r="K88" t="e">
        <f t="shared" ca="1" si="5"/>
        <v>#VALUE!</v>
      </c>
      <c r="L88">
        <f>IF($A88="","",IF($E88&lt;&gt;"",0,IF(COUNTIFS(個体台帳!$A:$A,$B88,個体台帳!$E:$E,"&lt;&gt;貸出中")&gt;0,1,0)))</f>
        <v>1</v>
      </c>
      <c r="M88">
        <f>IF($A88="","",IF($E88&lt;&gt;"",0,IF(COUNTIFS(個体台帳!$A:$A,$B88,個体台帳!$E:$E,"廃棄")&gt;0,1,0)))</f>
        <v>0</v>
      </c>
    </row>
    <row r="89" spans="1:13">
      <c r="A89" t="s">
        <v>640</v>
      </c>
      <c r="B89" t="s">
        <v>6</v>
      </c>
      <c r="C89" t="s">
        <v>6</v>
      </c>
      <c r="D89" s="12" t="s">
        <v>6</v>
      </c>
      <c r="E89" s="11" t="s">
        <v>6</v>
      </c>
      <c r="F89" s="16" t="s">
        <v>6</v>
      </c>
      <c r="G89" t="s">
        <v>6</v>
      </c>
      <c r="H89" t="s">
        <v>6</v>
      </c>
      <c r="I89">
        <f t="shared" si="3"/>
        <v>1</v>
      </c>
      <c r="J89" t="str">
        <f t="shared" ca="1" si="4"/>
        <v/>
      </c>
      <c r="K89" t="e">
        <f t="shared" ca="1" si="5"/>
        <v>#VALUE!</v>
      </c>
      <c r="L89">
        <f>IF($A89="","",IF($E89&lt;&gt;"",0,IF(COUNTIFS(個体台帳!$A:$A,$B89,個体台帳!$E:$E,"&lt;&gt;貸出中")&gt;0,1,0)))</f>
        <v>1</v>
      </c>
      <c r="M89">
        <f>IF($A89="","",IF($E89&lt;&gt;"",0,IF(COUNTIFS(個体台帳!$A:$A,$B89,個体台帳!$E:$E,"廃棄")&gt;0,1,0)))</f>
        <v>0</v>
      </c>
    </row>
    <row r="90" spans="1:13">
      <c r="A90" t="s">
        <v>641</v>
      </c>
      <c r="B90" t="s">
        <v>6</v>
      </c>
      <c r="C90" t="s">
        <v>6</v>
      </c>
      <c r="D90" s="12" t="s">
        <v>6</v>
      </c>
      <c r="E90" s="11" t="s">
        <v>6</v>
      </c>
      <c r="F90" s="16" t="s">
        <v>6</v>
      </c>
      <c r="G90" t="s">
        <v>6</v>
      </c>
      <c r="H90" t="s">
        <v>6</v>
      </c>
      <c r="I90">
        <f t="shared" si="3"/>
        <v>1</v>
      </c>
      <c r="J90" t="str">
        <f t="shared" ca="1" si="4"/>
        <v/>
      </c>
      <c r="K90" t="e">
        <f t="shared" ca="1" si="5"/>
        <v>#VALUE!</v>
      </c>
      <c r="L90">
        <f>IF($A90="","",IF($E90&lt;&gt;"",0,IF(COUNTIFS(個体台帳!$A:$A,$B90,個体台帳!$E:$E,"&lt;&gt;貸出中")&gt;0,1,0)))</f>
        <v>1</v>
      </c>
      <c r="M90">
        <f>IF($A90="","",IF($E90&lt;&gt;"",0,IF(COUNTIFS(個体台帳!$A:$A,$B90,個体台帳!$E:$E,"廃棄")&gt;0,1,0)))</f>
        <v>0</v>
      </c>
    </row>
    <row r="91" spans="1:13">
      <c r="A91" t="s">
        <v>642</v>
      </c>
      <c r="B91" t="s">
        <v>6</v>
      </c>
      <c r="C91" t="s">
        <v>6</v>
      </c>
      <c r="D91" s="12" t="s">
        <v>6</v>
      </c>
      <c r="E91" s="11" t="s">
        <v>6</v>
      </c>
      <c r="F91" s="16" t="s">
        <v>6</v>
      </c>
      <c r="G91" t="s">
        <v>6</v>
      </c>
      <c r="H91" t="s">
        <v>6</v>
      </c>
      <c r="I91">
        <f t="shared" si="3"/>
        <v>1</v>
      </c>
      <c r="J91" t="str">
        <f t="shared" ca="1" si="4"/>
        <v/>
      </c>
      <c r="K91" t="e">
        <f t="shared" ca="1" si="5"/>
        <v>#VALUE!</v>
      </c>
      <c r="L91">
        <f>IF($A91="","",IF($E91&lt;&gt;"",0,IF(COUNTIFS(個体台帳!$A:$A,$B91,個体台帳!$E:$E,"&lt;&gt;貸出中")&gt;0,1,0)))</f>
        <v>1</v>
      </c>
      <c r="M91">
        <f>IF($A91="","",IF($E91&lt;&gt;"",0,IF(COUNTIFS(個体台帳!$A:$A,$B91,個体台帳!$E:$E,"廃棄")&gt;0,1,0)))</f>
        <v>0</v>
      </c>
    </row>
    <row r="92" spans="1:13">
      <c r="A92" t="s">
        <v>643</v>
      </c>
      <c r="B92" t="s">
        <v>6</v>
      </c>
      <c r="C92" t="s">
        <v>6</v>
      </c>
      <c r="D92" s="12" t="s">
        <v>6</v>
      </c>
      <c r="E92" s="11" t="s">
        <v>6</v>
      </c>
      <c r="F92" s="16" t="s">
        <v>6</v>
      </c>
      <c r="G92" t="s">
        <v>6</v>
      </c>
      <c r="H92" t="s">
        <v>6</v>
      </c>
      <c r="I92">
        <f t="shared" si="3"/>
        <v>1</v>
      </c>
      <c r="J92" t="str">
        <f t="shared" ca="1" si="4"/>
        <v/>
      </c>
      <c r="K92" t="e">
        <f t="shared" ca="1" si="5"/>
        <v>#VALUE!</v>
      </c>
      <c r="L92">
        <f>IF($A92="","",IF($E92&lt;&gt;"",0,IF(COUNTIFS(個体台帳!$A:$A,$B92,個体台帳!$E:$E,"&lt;&gt;貸出中")&gt;0,1,0)))</f>
        <v>1</v>
      </c>
      <c r="M92">
        <f>IF($A92="","",IF($E92&lt;&gt;"",0,IF(COUNTIFS(個体台帳!$A:$A,$B92,個体台帳!$E:$E,"廃棄")&gt;0,1,0)))</f>
        <v>0</v>
      </c>
    </row>
    <row r="93" spans="1:13">
      <c r="A93" t="s">
        <v>644</v>
      </c>
      <c r="B93" t="s">
        <v>6</v>
      </c>
      <c r="C93" t="s">
        <v>6</v>
      </c>
      <c r="D93" s="12" t="s">
        <v>6</v>
      </c>
      <c r="E93" s="11" t="s">
        <v>6</v>
      </c>
      <c r="F93" s="16" t="s">
        <v>6</v>
      </c>
      <c r="G93" t="s">
        <v>6</v>
      </c>
      <c r="H93" t="s">
        <v>6</v>
      </c>
      <c r="I93">
        <f t="shared" si="3"/>
        <v>1</v>
      </c>
      <c r="J93" t="str">
        <f t="shared" ca="1" si="4"/>
        <v/>
      </c>
      <c r="K93" t="e">
        <f t="shared" ca="1" si="5"/>
        <v>#VALUE!</v>
      </c>
      <c r="L93">
        <f>IF($A93="","",IF($E93&lt;&gt;"",0,IF(COUNTIFS(個体台帳!$A:$A,$B93,個体台帳!$E:$E,"&lt;&gt;貸出中")&gt;0,1,0)))</f>
        <v>1</v>
      </c>
      <c r="M93">
        <f>IF($A93="","",IF($E93&lt;&gt;"",0,IF(COUNTIFS(個体台帳!$A:$A,$B93,個体台帳!$E:$E,"廃棄")&gt;0,1,0)))</f>
        <v>0</v>
      </c>
    </row>
    <row r="94" spans="1:13">
      <c r="A94" t="s">
        <v>645</v>
      </c>
      <c r="B94" t="s">
        <v>6</v>
      </c>
      <c r="C94" t="s">
        <v>6</v>
      </c>
      <c r="D94" s="12" t="s">
        <v>6</v>
      </c>
      <c r="E94" s="11" t="s">
        <v>6</v>
      </c>
      <c r="F94" s="16" t="s">
        <v>6</v>
      </c>
      <c r="G94" t="s">
        <v>6</v>
      </c>
      <c r="H94" t="s">
        <v>6</v>
      </c>
      <c r="I94">
        <f t="shared" si="3"/>
        <v>1</v>
      </c>
      <c r="J94" t="str">
        <f t="shared" ca="1" si="4"/>
        <v/>
      </c>
      <c r="K94" t="e">
        <f t="shared" ca="1" si="5"/>
        <v>#VALUE!</v>
      </c>
      <c r="L94">
        <f>IF($A94="","",IF($E94&lt;&gt;"",0,IF(COUNTIFS(個体台帳!$A:$A,$B94,個体台帳!$E:$E,"&lt;&gt;貸出中")&gt;0,1,0)))</f>
        <v>1</v>
      </c>
      <c r="M94">
        <f>IF($A94="","",IF($E94&lt;&gt;"",0,IF(COUNTIFS(個体台帳!$A:$A,$B94,個体台帳!$E:$E,"廃棄")&gt;0,1,0)))</f>
        <v>0</v>
      </c>
    </row>
    <row r="95" spans="1:13">
      <c r="A95" t="s">
        <v>646</v>
      </c>
      <c r="B95" t="s">
        <v>6</v>
      </c>
      <c r="C95" t="s">
        <v>6</v>
      </c>
      <c r="D95" s="12" t="s">
        <v>6</v>
      </c>
      <c r="E95" s="11" t="s">
        <v>6</v>
      </c>
      <c r="F95" s="16" t="s">
        <v>6</v>
      </c>
      <c r="G95" t="s">
        <v>6</v>
      </c>
      <c r="H95" t="s">
        <v>6</v>
      </c>
      <c r="I95">
        <f t="shared" si="3"/>
        <v>1</v>
      </c>
      <c r="J95" t="str">
        <f t="shared" ca="1" si="4"/>
        <v/>
      </c>
      <c r="K95" t="e">
        <f t="shared" ca="1" si="5"/>
        <v>#VALUE!</v>
      </c>
      <c r="L95">
        <f>IF($A95="","",IF($E95&lt;&gt;"",0,IF(COUNTIFS(個体台帳!$A:$A,$B95,個体台帳!$E:$E,"&lt;&gt;貸出中")&gt;0,1,0)))</f>
        <v>1</v>
      </c>
      <c r="M95">
        <f>IF($A95="","",IF($E95&lt;&gt;"",0,IF(COUNTIFS(個体台帳!$A:$A,$B95,個体台帳!$E:$E,"廃棄")&gt;0,1,0)))</f>
        <v>0</v>
      </c>
    </row>
    <row r="96" spans="1:13">
      <c r="A96" t="s">
        <v>647</v>
      </c>
      <c r="B96" t="s">
        <v>6</v>
      </c>
      <c r="C96" t="s">
        <v>6</v>
      </c>
      <c r="D96" s="12" t="s">
        <v>6</v>
      </c>
      <c r="E96" s="11" t="s">
        <v>6</v>
      </c>
      <c r="F96" s="16" t="s">
        <v>6</v>
      </c>
      <c r="G96" t="s">
        <v>6</v>
      </c>
      <c r="H96" t="s">
        <v>6</v>
      </c>
      <c r="I96">
        <f t="shared" si="3"/>
        <v>1</v>
      </c>
      <c r="J96" t="str">
        <f t="shared" ca="1" si="4"/>
        <v/>
      </c>
      <c r="K96" t="e">
        <f t="shared" ca="1" si="5"/>
        <v>#VALUE!</v>
      </c>
      <c r="L96">
        <f>IF($A96="","",IF($E96&lt;&gt;"",0,IF(COUNTIFS(個体台帳!$A:$A,$B96,個体台帳!$E:$E,"&lt;&gt;貸出中")&gt;0,1,0)))</f>
        <v>1</v>
      </c>
      <c r="M96">
        <f>IF($A96="","",IF($E96&lt;&gt;"",0,IF(COUNTIFS(個体台帳!$A:$A,$B96,個体台帳!$E:$E,"廃棄")&gt;0,1,0)))</f>
        <v>0</v>
      </c>
    </row>
    <row r="97" spans="1:13">
      <c r="A97" t="s">
        <v>648</v>
      </c>
      <c r="B97" t="s">
        <v>6</v>
      </c>
      <c r="C97" t="s">
        <v>6</v>
      </c>
      <c r="D97" s="12" t="s">
        <v>6</v>
      </c>
      <c r="E97" s="11" t="s">
        <v>6</v>
      </c>
      <c r="F97" s="16" t="s">
        <v>6</v>
      </c>
      <c r="G97" t="s">
        <v>6</v>
      </c>
      <c r="H97" t="s">
        <v>6</v>
      </c>
      <c r="I97">
        <f t="shared" si="3"/>
        <v>1</v>
      </c>
      <c r="J97" t="str">
        <f t="shared" ca="1" si="4"/>
        <v/>
      </c>
      <c r="K97" t="e">
        <f t="shared" ca="1" si="5"/>
        <v>#VALUE!</v>
      </c>
      <c r="L97">
        <f>IF($A97="","",IF($E97&lt;&gt;"",0,IF(COUNTIFS(個体台帳!$A:$A,$B97,個体台帳!$E:$E,"&lt;&gt;貸出中")&gt;0,1,0)))</f>
        <v>1</v>
      </c>
      <c r="M97">
        <f>IF($A97="","",IF($E97&lt;&gt;"",0,IF(COUNTIFS(個体台帳!$A:$A,$B97,個体台帳!$E:$E,"廃棄")&gt;0,1,0)))</f>
        <v>0</v>
      </c>
    </row>
    <row r="98" spans="1:13">
      <c r="A98" t="s">
        <v>649</v>
      </c>
      <c r="B98" t="s">
        <v>6</v>
      </c>
      <c r="C98" t="s">
        <v>6</v>
      </c>
      <c r="D98" s="12" t="s">
        <v>6</v>
      </c>
      <c r="E98" s="11" t="s">
        <v>6</v>
      </c>
      <c r="F98" s="16" t="s">
        <v>6</v>
      </c>
      <c r="G98" t="s">
        <v>6</v>
      </c>
      <c r="H98" t="s">
        <v>6</v>
      </c>
      <c r="I98">
        <f t="shared" si="3"/>
        <v>1</v>
      </c>
      <c r="J98" t="str">
        <f t="shared" ca="1" si="4"/>
        <v/>
      </c>
      <c r="K98" t="e">
        <f t="shared" ca="1" si="5"/>
        <v>#VALUE!</v>
      </c>
      <c r="L98">
        <f>IF($A98="","",IF($E98&lt;&gt;"",0,IF(COUNTIFS(個体台帳!$A:$A,$B98,個体台帳!$E:$E,"&lt;&gt;貸出中")&gt;0,1,0)))</f>
        <v>1</v>
      </c>
      <c r="M98">
        <f>IF($A98="","",IF($E98&lt;&gt;"",0,IF(COUNTIFS(個体台帳!$A:$A,$B98,個体台帳!$E:$E,"廃棄")&gt;0,1,0)))</f>
        <v>0</v>
      </c>
    </row>
    <row r="99" spans="1:13">
      <c r="A99" t="s">
        <v>650</v>
      </c>
      <c r="B99" t="s">
        <v>6</v>
      </c>
      <c r="C99" t="s">
        <v>6</v>
      </c>
      <c r="D99" s="12" t="s">
        <v>6</v>
      </c>
      <c r="E99" s="11" t="s">
        <v>6</v>
      </c>
      <c r="F99" s="16" t="s">
        <v>6</v>
      </c>
      <c r="G99" t="s">
        <v>6</v>
      </c>
      <c r="H99" t="s">
        <v>6</v>
      </c>
      <c r="I99">
        <f t="shared" si="3"/>
        <v>1</v>
      </c>
      <c r="J99" t="str">
        <f t="shared" ca="1" si="4"/>
        <v/>
      </c>
      <c r="K99" t="e">
        <f t="shared" ca="1" si="5"/>
        <v>#VALUE!</v>
      </c>
      <c r="L99">
        <f>IF($A99="","",IF($E99&lt;&gt;"",0,IF(COUNTIFS(個体台帳!$A:$A,$B99,個体台帳!$E:$E,"&lt;&gt;貸出中")&gt;0,1,0)))</f>
        <v>1</v>
      </c>
      <c r="M99">
        <f>IF($A99="","",IF($E99&lt;&gt;"",0,IF(COUNTIFS(個体台帳!$A:$A,$B99,個体台帳!$E:$E,"廃棄")&gt;0,1,0)))</f>
        <v>0</v>
      </c>
    </row>
    <row r="100" spans="1:13">
      <c r="A100" t="s">
        <v>651</v>
      </c>
      <c r="B100" t="s">
        <v>6</v>
      </c>
      <c r="C100" t="s">
        <v>6</v>
      </c>
      <c r="D100" s="12" t="s">
        <v>6</v>
      </c>
      <c r="E100" s="11" t="s">
        <v>6</v>
      </c>
      <c r="F100" s="16" t="s">
        <v>6</v>
      </c>
      <c r="G100" t="s">
        <v>6</v>
      </c>
      <c r="H100" t="s">
        <v>6</v>
      </c>
      <c r="I100">
        <f t="shared" si="3"/>
        <v>1</v>
      </c>
      <c r="J100" t="str">
        <f t="shared" ca="1" si="4"/>
        <v/>
      </c>
      <c r="K100" t="e">
        <f t="shared" ca="1" si="5"/>
        <v>#VALUE!</v>
      </c>
      <c r="L100">
        <f>IF($A100="","",IF($E100&lt;&gt;"",0,IF(COUNTIFS(個体台帳!$A:$A,$B100,個体台帳!$E:$E,"&lt;&gt;貸出中")&gt;0,1,0)))</f>
        <v>1</v>
      </c>
      <c r="M100">
        <f>IF($A100="","",IF($E100&lt;&gt;"",0,IF(COUNTIFS(個体台帳!$A:$A,$B100,個体台帳!$E:$E,"廃棄")&gt;0,1,0)))</f>
        <v>0</v>
      </c>
    </row>
    <row r="101" spans="1:13">
      <c r="A101" t="s">
        <v>652</v>
      </c>
      <c r="B101" t="s">
        <v>6</v>
      </c>
      <c r="C101" t="s">
        <v>6</v>
      </c>
      <c r="D101" s="12" t="s">
        <v>6</v>
      </c>
      <c r="E101" s="11" t="s">
        <v>6</v>
      </c>
      <c r="F101" s="16" t="s">
        <v>6</v>
      </c>
      <c r="G101" t="s">
        <v>6</v>
      </c>
      <c r="H101" t="s">
        <v>6</v>
      </c>
      <c r="I101">
        <f t="shared" si="3"/>
        <v>1</v>
      </c>
      <c r="J101" t="str">
        <f t="shared" ca="1" si="4"/>
        <v/>
      </c>
      <c r="K101" t="e">
        <f t="shared" ca="1" si="5"/>
        <v>#VALUE!</v>
      </c>
      <c r="L101">
        <f>IF($A101="","",IF($E101&lt;&gt;"",0,IF(COUNTIFS(個体台帳!$A:$A,$B101,個体台帳!$E:$E,"&lt;&gt;貸出中")&gt;0,1,0)))</f>
        <v>1</v>
      </c>
      <c r="M101">
        <f>IF($A101="","",IF($E101&lt;&gt;"",0,IF(COUNTIFS(個体台帳!$A:$A,$B101,個体台帳!$E:$E,"廃棄")&gt;0,1,0)))</f>
        <v>0</v>
      </c>
    </row>
    <row r="102" spans="1:13">
      <c r="A102" t="s">
        <v>653</v>
      </c>
      <c r="B102" t="s">
        <v>6</v>
      </c>
      <c r="C102" t="s">
        <v>6</v>
      </c>
      <c r="D102" s="12" t="s">
        <v>6</v>
      </c>
      <c r="E102" s="11" t="s">
        <v>6</v>
      </c>
      <c r="F102" s="16" t="s">
        <v>6</v>
      </c>
      <c r="G102" t="s">
        <v>6</v>
      </c>
      <c r="H102" t="s">
        <v>6</v>
      </c>
      <c r="I102">
        <f t="shared" si="3"/>
        <v>1</v>
      </c>
      <c r="J102" t="str">
        <f t="shared" ca="1" si="4"/>
        <v/>
      </c>
      <c r="K102" t="e">
        <f t="shared" ca="1" si="5"/>
        <v>#VALUE!</v>
      </c>
      <c r="L102">
        <f>IF($A102="","",IF($E102&lt;&gt;"",0,IF(COUNTIFS(個体台帳!$A:$A,$B102,個体台帳!$E:$E,"&lt;&gt;貸出中")&gt;0,1,0)))</f>
        <v>1</v>
      </c>
      <c r="M102">
        <f>IF($A102="","",IF($E102&lt;&gt;"",0,IF(COUNTIFS(個体台帳!$A:$A,$B102,個体台帳!$E:$E,"廃棄")&gt;0,1,0)))</f>
        <v>0</v>
      </c>
    </row>
    <row r="103" spans="1:13">
      <c r="A103" t="s">
        <v>654</v>
      </c>
      <c r="B103" t="s">
        <v>6</v>
      </c>
      <c r="C103" t="s">
        <v>6</v>
      </c>
      <c r="D103" s="12" t="s">
        <v>6</v>
      </c>
      <c r="E103" s="11" t="s">
        <v>6</v>
      </c>
      <c r="F103" s="16" t="s">
        <v>6</v>
      </c>
      <c r="G103" t="s">
        <v>6</v>
      </c>
      <c r="H103" t="s">
        <v>6</v>
      </c>
      <c r="I103">
        <f t="shared" si="3"/>
        <v>1</v>
      </c>
      <c r="J103" t="str">
        <f t="shared" ca="1" si="4"/>
        <v/>
      </c>
      <c r="K103" t="e">
        <f t="shared" ca="1" si="5"/>
        <v>#VALUE!</v>
      </c>
      <c r="L103">
        <f>IF($A103="","",IF($E103&lt;&gt;"",0,IF(COUNTIFS(個体台帳!$A:$A,$B103,個体台帳!$E:$E,"&lt;&gt;貸出中")&gt;0,1,0)))</f>
        <v>1</v>
      </c>
      <c r="M103">
        <f>IF($A103="","",IF($E103&lt;&gt;"",0,IF(COUNTIFS(個体台帳!$A:$A,$B103,個体台帳!$E:$E,"廃棄")&gt;0,1,0)))</f>
        <v>0</v>
      </c>
    </row>
    <row r="104" spans="1:13">
      <c r="A104" t="s">
        <v>655</v>
      </c>
      <c r="B104" t="s">
        <v>6</v>
      </c>
      <c r="C104" t="s">
        <v>6</v>
      </c>
      <c r="D104" s="12" t="s">
        <v>6</v>
      </c>
      <c r="E104" s="11" t="s">
        <v>6</v>
      </c>
      <c r="F104" s="16" t="s">
        <v>6</v>
      </c>
      <c r="G104" t="s">
        <v>6</v>
      </c>
      <c r="H104" t="s">
        <v>6</v>
      </c>
      <c r="I104">
        <f t="shared" si="3"/>
        <v>1</v>
      </c>
      <c r="J104" t="str">
        <f t="shared" ca="1" si="4"/>
        <v/>
      </c>
      <c r="K104" t="e">
        <f t="shared" ca="1" si="5"/>
        <v>#VALUE!</v>
      </c>
      <c r="L104">
        <f>IF($A104="","",IF($E104&lt;&gt;"",0,IF(COUNTIFS(個体台帳!$A:$A,$B104,個体台帳!$E:$E,"&lt;&gt;貸出中")&gt;0,1,0)))</f>
        <v>1</v>
      </c>
      <c r="M104">
        <f>IF($A104="","",IF($E104&lt;&gt;"",0,IF(COUNTIFS(個体台帳!$A:$A,$B104,個体台帳!$E:$E,"廃棄")&gt;0,1,0)))</f>
        <v>0</v>
      </c>
    </row>
    <row r="105" spans="1:13">
      <c r="A105" t="s">
        <v>656</v>
      </c>
      <c r="B105" t="s">
        <v>6</v>
      </c>
      <c r="C105" t="s">
        <v>6</v>
      </c>
      <c r="D105" s="12" t="s">
        <v>6</v>
      </c>
      <c r="E105" s="11" t="s">
        <v>6</v>
      </c>
      <c r="F105" s="16" t="s">
        <v>6</v>
      </c>
      <c r="G105" t="s">
        <v>6</v>
      </c>
      <c r="H105" t="s">
        <v>6</v>
      </c>
      <c r="I105">
        <f t="shared" si="3"/>
        <v>1</v>
      </c>
      <c r="J105" t="str">
        <f t="shared" ca="1" si="4"/>
        <v/>
      </c>
      <c r="K105" t="e">
        <f t="shared" ca="1" si="5"/>
        <v>#VALUE!</v>
      </c>
      <c r="L105">
        <f>IF($A105="","",IF($E105&lt;&gt;"",0,IF(COUNTIFS(個体台帳!$A:$A,$B105,個体台帳!$E:$E,"&lt;&gt;貸出中")&gt;0,1,0)))</f>
        <v>1</v>
      </c>
      <c r="M105">
        <f>IF($A105="","",IF($E105&lt;&gt;"",0,IF(COUNTIFS(個体台帳!$A:$A,$B105,個体台帳!$E:$E,"廃棄")&gt;0,1,0)))</f>
        <v>0</v>
      </c>
    </row>
    <row r="106" spans="1:13">
      <c r="A106" t="s">
        <v>657</v>
      </c>
      <c r="B106" t="s">
        <v>6</v>
      </c>
      <c r="C106" t="s">
        <v>6</v>
      </c>
      <c r="D106" s="12" t="s">
        <v>6</v>
      </c>
      <c r="E106" s="11" t="s">
        <v>6</v>
      </c>
      <c r="F106" s="16" t="s">
        <v>6</v>
      </c>
      <c r="G106" t="s">
        <v>6</v>
      </c>
      <c r="H106" t="s">
        <v>6</v>
      </c>
      <c r="I106">
        <f t="shared" si="3"/>
        <v>1</v>
      </c>
      <c r="J106" t="str">
        <f t="shared" ca="1" si="4"/>
        <v/>
      </c>
      <c r="K106" t="e">
        <f t="shared" ca="1" si="5"/>
        <v>#VALUE!</v>
      </c>
      <c r="L106">
        <f>IF($A106="","",IF($E106&lt;&gt;"",0,IF(COUNTIFS(個体台帳!$A:$A,$B106,個体台帳!$E:$E,"&lt;&gt;貸出中")&gt;0,1,0)))</f>
        <v>1</v>
      </c>
      <c r="M106">
        <f>IF($A106="","",IF($E106&lt;&gt;"",0,IF(COUNTIFS(個体台帳!$A:$A,$B106,個体台帳!$E:$E,"廃棄")&gt;0,1,0)))</f>
        <v>0</v>
      </c>
    </row>
    <row r="107" spans="1:13">
      <c r="A107" t="s">
        <v>658</v>
      </c>
      <c r="B107" t="s">
        <v>6</v>
      </c>
      <c r="C107" t="s">
        <v>6</v>
      </c>
      <c r="D107" s="12" t="s">
        <v>6</v>
      </c>
      <c r="E107" s="11" t="s">
        <v>6</v>
      </c>
      <c r="F107" s="16" t="s">
        <v>6</v>
      </c>
      <c r="G107" t="s">
        <v>6</v>
      </c>
      <c r="H107" t="s">
        <v>6</v>
      </c>
      <c r="I107">
        <f t="shared" si="3"/>
        <v>1</v>
      </c>
      <c r="J107" t="str">
        <f t="shared" ca="1" si="4"/>
        <v/>
      </c>
      <c r="K107" t="e">
        <f t="shared" ca="1" si="5"/>
        <v>#VALUE!</v>
      </c>
      <c r="L107">
        <f>IF($A107="","",IF($E107&lt;&gt;"",0,IF(COUNTIFS(個体台帳!$A:$A,$B107,個体台帳!$E:$E,"&lt;&gt;貸出中")&gt;0,1,0)))</f>
        <v>1</v>
      </c>
      <c r="M107">
        <f>IF($A107="","",IF($E107&lt;&gt;"",0,IF(COUNTIFS(個体台帳!$A:$A,$B107,個体台帳!$E:$E,"廃棄")&gt;0,1,0)))</f>
        <v>0</v>
      </c>
    </row>
    <row r="108" spans="1:13">
      <c r="A108" t="s">
        <v>659</v>
      </c>
      <c r="B108" t="s">
        <v>6</v>
      </c>
      <c r="C108" t="s">
        <v>6</v>
      </c>
      <c r="D108" s="12" t="s">
        <v>6</v>
      </c>
      <c r="E108" s="11" t="s">
        <v>6</v>
      </c>
      <c r="F108" s="16" t="s">
        <v>6</v>
      </c>
      <c r="G108" t="s">
        <v>6</v>
      </c>
      <c r="H108" t="s">
        <v>6</v>
      </c>
      <c r="I108">
        <f t="shared" si="3"/>
        <v>1</v>
      </c>
      <c r="J108" t="str">
        <f t="shared" ca="1" si="4"/>
        <v/>
      </c>
      <c r="K108" t="e">
        <f t="shared" ca="1" si="5"/>
        <v>#VALUE!</v>
      </c>
      <c r="L108">
        <f>IF($A108="","",IF($E108&lt;&gt;"",0,IF(COUNTIFS(個体台帳!$A:$A,$B108,個体台帳!$E:$E,"&lt;&gt;貸出中")&gt;0,1,0)))</f>
        <v>1</v>
      </c>
      <c r="M108">
        <f>IF($A108="","",IF($E108&lt;&gt;"",0,IF(COUNTIFS(個体台帳!$A:$A,$B108,個体台帳!$E:$E,"廃棄")&gt;0,1,0)))</f>
        <v>0</v>
      </c>
    </row>
    <row r="109" spans="1:13">
      <c r="A109" t="s">
        <v>660</v>
      </c>
      <c r="B109" t="s">
        <v>6</v>
      </c>
      <c r="C109" t="s">
        <v>6</v>
      </c>
      <c r="D109" s="12" t="s">
        <v>6</v>
      </c>
      <c r="E109" s="11" t="s">
        <v>6</v>
      </c>
      <c r="F109" s="16" t="s">
        <v>6</v>
      </c>
      <c r="G109" t="s">
        <v>6</v>
      </c>
      <c r="H109" t="s">
        <v>6</v>
      </c>
      <c r="I109">
        <f t="shared" si="3"/>
        <v>1</v>
      </c>
      <c r="J109" t="str">
        <f t="shared" ca="1" si="4"/>
        <v/>
      </c>
      <c r="K109" t="e">
        <f t="shared" ca="1" si="5"/>
        <v>#VALUE!</v>
      </c>
      <c r="L109">
        <f>IF($A109="","",IF($E109&lt;&gt;"",0,IF(COUNTIFS(個体台帳!$A:$A,$B109,個体台帳!$E:$E,"&lt;&gt;貸出中")&gt;0,1,0)))</f>
        <v>1</v>
      </c>
      <c r="M109">
        <f>IF($A109="","",IF($E109&lt;&gt;"",0,IF(COUNTIFS(個体台帳!$A:$A,$B109,個体台帳!$E:$E,"廃棄")&gt;0,1,0)))</f>
        <v>0</v>
      </c>
    </row>
    <row r="110" spans="1:13">
      <c r="A110" t="s">
        <v>661</v>
      </c>
      <c r="B110" t="s">
        <v>6</v>
      </c>
      <c r="C110" t="s">
        <v>6</v>
      </c>
      <c r="D110" s="12" t="s">
        <v>6</v>
      </c>
      <c r="E110" s="11" t="s">
        <v>6</v>
      </c>
      <c r="F110" s="16" t="s">
        <v>6</v>
      </c>
      <c r="G110" t="s">
        <v>6</v>
      </c>
      <c r="H110" t="s">
        <v>6</v>
      </c>
      <c r="I110">
        <f t="shared" si="3"/>
        <v>1</v>
      </c>
      <c r="J110" t="str">
        <f t="shared" ca="1" si="4"/>
        <v/>
      </c>
      <c r="K110" t="e">
        <f t="shared" ca="1" si="5"/>
        <v>#VALUE!</v>
      </c>
      <c r="L110">
        <f>IF($A110="","",IF($E110&lt;&gt;"",0,IF(COUNTIFS(個体台帳!$A:$A,$B110,個体台帳!$E:$E,"&lt;&gt;貸出中")&gt;0,1,0)))</f>
        <v>1</v>
      </c>
      <c r="M110">
        <f>IF($A110="","",IF($E110&lt;&gt;"",0,IF(COUNTIFS(個体台帳!$A:$A,$B110,個体台帳!$E:$E,"廃棄")&gt;0,1,0)))</f>
        <v>0</v>
      </c>
    </row>
    <row r="111" spans="1:13">
      <c r="A111" t="s">
        <v>662</v>
      </c>
      <c r="B111" t="s">
        <v>6</v>
      </c>
      <c r="C111" t="s">
        <v>6</v>
      </c>
      <c r="D111" s="12" t="s">
        <v>6</v>
      </c>
      <c r="E111" s="11" t="s">
        <v>6</v>
      </c>
      <c r="F111" s="16" t="s">
        <v>6</v>
      </c>
      <c r="G111" t="s">
        <v>6</v>
      </c>
      <c r="H111" t="s">
        <v>6</v>
      </c>
      <c r="I111">
        <f t="shared" si="3"/>
        <v>1</v>
      </c>
      <c r="J111" t="str">
        <f t="shared" ca="1" si="4"/>
        <v/>
      </c>
      <c r="K111" t="e">
        <f t="shared" ca="1" si="5"/>
        <v>#VALUE!</v>
      </c>
      <c r="L111">
        <f>IF($A111="","",IF($E111&lt;&gt;"",0,IF(COUNTIFS(個体台帳!$A:$A,$B111,個体台帳!$E:$E,"&lt;&gt;貸出中")&gt;0,1,0)))</f>
        <v>1</v>
      </c>
      <c r="M111">
        <f>IF($A111="","",IF($E111&lt;&gt;"",0,IF(COUNTIFS(個体台帳!$A:$A,$B111,個体台帳!$E:$E,"廃棄")&gt;0,1,0)))</f>
        <v>0</v>
      </c>
    </row>
    <row r="112" spans="1:13">
      <c r="A112" t="s">
        <v>663</v>
      </c>
      <c r="B112" t="s">
        <v>6</v>
      </c>
      <c r="C112" t="s">
        <v>6</v>
      </c>
      <c r="D112" s="12" t="s">
        <v>6</v>
      </c>
      <c r="E112" s="11" t="s">
        <v>6</v>
      </c>
      <c r="F112" s="16" t="s">
        <v>6</v>
      </c>
      <c r="G112" t="s">
        <v>6</v>
      </c>
      <c r="H112" t="s">
        <v>6</v>
      </c>
      <c r="I112">
        <f t="shared" si="3"/>
        <v>1</v>
      </c>
      <c r="J112" t="str">
        <f t="shared" ca="1" si="4"/>
        <v/>
      </c>
      <c r="K112" t="e">
        <f t="shared" ca="1" si="5"/>
        <v>#VALUE!</v>
      </c>
      <c r="L112">
        <f>IF($A112="","",IF($E112&lt;&gt;"",0,IF(COUNTIFS(個体台帳!$A:$A,$B112,個体台帳!$E:$E,"&lt;&gt;貸出中")&gt;0,1,0)))</f>
        <v>1</v>
      </c>
      <c r="M112">
        <f>IF($A112="","",IF($E112&lt;&gt;"",0,IF(COUNTIFS(個体台帳!$A:$A,$B112,個体台帳!$E:$E,"廃棄")&gt;0,1,0)))</f>
        <v>0</v>
      </c>
    </row>
    <row r="113" spans="1:13">
      <c r="A113" t="s">
        <v>664</v>
      </c>
      <c r="B113" t="s">
        <v>6</v>
      </c>
      <c r="C113" t="s">
        <v>6</v>
      </c>
      <c r="D113" s="12" t="s">
        <v>6</v>
      </c>
      <c r="E113" s="11" t="s">
        <v>6</v>
      </c>
      <c r="F113" s="16" t="s">
        <v>6</v>
      </c>
      <c r="G113" t="s">
        <v>6</v>
      </c>
      <c r="H113" t="s">
        <v>6</v>
      </c>
      <c r="I113">
        <f t="shared" si="3"/>
        <v>1</v>
      </c>
      <c r="J113" t="str">
        <f t="shared" ca="1" si="4"/>
        <v/>
      </c>
      <c r="K113" t="e">
        <f t="shared" ca="1" si="5"/>
        <v>#VALUE!</v>
      </c>
      <c r="L113">
        <f>IF($A113="","",IF($E113&lt;&gt;"",0,IF(COUNTIFS(個体台帳!$A:$A,$B113,個体台帳!$E:$E,"&lt;&gt;貸出中")&gt;0,1,0)))</f>
        <v>1</v>
      </c>
      <c r="M113">
        <f>IF($A113="","",IF($E113&lt;&gt;"",0,IF(COUNTIFS(個体台帳!$A:$A,$B113,個体台帳!$E:$E,"廃棄")&gt;0,1,0)))</f>
        <v>0</v>
      </c>
    </row>
    <row r="114" spans="1:13">
      <c r="A114" t="s">
        <v>665</v>
      </c>
      <c r="B114" t="s">
        <v>6</v>
      </c>
      <c r="C114" t="s">
        <v>6</v>
      </c>
      <c r="D114" s="12" t="s">
        <v>6</v>
      </c>
      <c r="E114" s="11" t="s">
        <v>6</v>
      </c>
      <c r="F114" s="16" t="s">
        <v>6</v>
      </c>
      <c r="G114" t="s">
        <v>6</v>
      </c>
      <c r="H114" t="s">
        <v>6</v>
      </c>
      <c r="I114">
        <f t="shared" si="3"/>
        <v>1</v>
      </c>
      <c r="J114" t="str">
        <f t="shared" ca="1" si="4"/>
        <v/>
      </c>
      <c r="K114" t="e">
        <f t="shared" ca="1" si="5"/>
        <v>#VALUE!</v>
      </c>
      <c r="L114">
        <f>IF($A114="","",IF($E114&lt;&gt;"",0,IF(COUNTIFS(個体台帳!$A:$A,$B114,個体台帳!$E:$E,"&lt;&gt;貸出中")&gt;0,1,0)))</f>
        <v>1</v>
      </c>
      <c r="M114">
        <f>IF($A114="","",IF($E114&lt;&gt;"",0,IF(COUNTIFS(個体台帳!$A:$A,$B114,個体台帳!$E:$E,"廃棄")&gt;0,1,0)))</f>
        <v>0</v>
      </c>
    </row>
    <row r="115" spans="1:13">
      <c r="A115" t="s">
        <v>666</v>
      </c>
      <c r="B115" t="s">
        <v>6</v>
      </c>
      <c r="C115" t="s">
        <v>6</v>
      </c>
      <c r="D115" s="12" t="s">
        <v>6</v>
      </c>
      <c r="E115" s="11" t="s">
        <v>6</v>
      </c>
      <c r="F115" s="16" t="s">
        <v>6</v>
      </c>
      <c r="G115" t="s">
        <v>6</v>
      </c>
      <c r="H115" t="s">
        <v>6</v>
      </c>
      <c r="I115">
        <f t="shared" si="3"/>
        <v>1</v>
      </c>
      <c r="J115" t="str">
        <f t="shared" ca="1" si="4"/>
        <v/>
      </c>
      <c r="K115" t="e">
        <f t="shared" ca="1" si="5"/>
        <v>#VALUE!</v>
      </c>
      <c r="L115">
        <f>IF($A115="","",IF($E115&lt;&gt;"",0,IF(COUNTIFS(個体台帳!$A:$A,$B115,個体台帳!$E:$E,"&lt;&gt;貸出中")&gt;0,1,0)))</f>
        <v>1</v>
      </c>
      <c r="M115">
        <f>IF($A115="","",IF($E115&lt;&gt;"",0,IF(COUNTIFS(個体台帳!$A:$A,$B115,個体台帳!$E:$E,"廃棄")&gt;0,1,0)))</f>
        <v>0</v>
      </c>
    </row>
    <row r="116" spans="1:13">
      <c r="A116" t="s">
        <v>667</v>
      </c>
      <c r="B116" t="s">
        <v>6</v>
      </c>
      <c r="C116" t="s">
        <v>6</v>
      </c>
      <c r="D116" s="12" t="s">
        <v>6</v>
      </c>
      <c r="E116" s="11" t="s">
        <v>6</v>
      </c>
      <c r="F116" s="16" t="s">
        <v>6</v>
      </c>
      <c r="G116" t="s">
        <v>6</v>
      </c>
      <c r="H116" t="s">
        <v>6</v>
      </c>
      <c r="I116">
        <f t="shared" si="3"/>
        <v>1</v>
      </c>
      <c r="J116" t="str">
        <f t="shared" ca="1" si="4"/>
        <v/>
      </c>
      <c r="K116" t="e">
        <f t="shared" ca="1" si="5"/>
        <v>#VALUE!</v>
      </c>
      <c r="L116">
        <f>IF($A116="","",IF($E116&lt;&gt;"",0,IF(COUNTIFS(個体台帳!$A:$A,$B116,個体台帳!$E:$E,"&lt;&gt;貸出中")&gt;0,1,0)))</f>
        <v>1</v>
      </c>
      <c r="M116">
        <f>IF($A116="","",IF($E116&lt;&gt;"",0,IF(COUNTIFS(個体台帳!$A:$A,$B116,個体台帳!$E:$E,"廃棄")&gt;0,1,0)))</f>
        <v>0</v>
      </c>
    </row>
    <row r="117" spans="1:13">
      <c r="A117" t="s">
        <v>668</v>
      </c>
      <c r="B117" t="s">
        <v>6</v>
      </c>
      <c r="C117" t="s">
        <v>6</v>
      </c>
      <c r="D117" s="12" t="s">
        <v>6</v>
      </c>
      <c r="E117" s="11" t="s">
        <v>6</v>
      </c>
      <c r="F117" s="16" t="s">
        <v>6</v>
      </c>
      <c r="G117" t="s">
        <v>6</v>
      </c>
      <c r="H117" t="s">
        <v>6</v>
      </c>
      <c r="I117">
        <f t="shared" si="3"/>
        <v>1</v>
      </c>
      <c r="J117" t="str">
        <f t="shared" ca="1" si="4"/>
        <v/>
      </c>
      <c r="K117" t="e">
        <f t="shared" ca="1" si="5"/>
        <v>#VALUE!</v>
      </c>
      <c r="L117">
        <f>IF($A117="","",IF($E117&lt;&gt;"",0,IF(COUNTIFS(個体台帳!$A:$A,$B117,個体台帳!$E:$E,"&lt;&gt;貸出中")&gt;0,1,0)))</f>
        <v>1</v>
      </c>
      <c r="M117">
        <f>IF($A117="","",IF($E117&lt;&gt;"",0,IF(COUNTIFS(個体台帳!$A:$A,$B117,個体台帳!$E:$E,"廃棄")&gt;0,1,0)))</f>
        <v>0</v>
      </c>
    </row>
    <row r="118" spans="1:13">
      <c r="A118" t="s">
        <v>669</v>
      </c>
      <c r="B118" t="s">
        <v>6</v>
      </c>
      <c r="C118" t="s">
        <v>6</v>
      </c>
      <c r="D118" s="12" t="s">
        <v>6</v>
      </c>
      <c r="E118" s="11" t="s">
        <v>6</v>
      </c>
      <c r="F118" s="16" t="s">
        <v>6</v>
      </c>
      <c r="G118" t="s">
        <v>6</v>
      </c>
      <c r="H118" t="s">
        <v>6</v>
      </c>
      <c r="I118">
        <f t="shared" si="3"/>
        <v>1</v>
      </c>
      <c r="J118" t="str">
        <f t="shared" ca="1" si="4"/>
        <v/>
      </c>
      <c r="K118" t="e">
        <f t="shared" ca="1" si="5"/>
        <v>#VALUE!</v>
      </c>
      <c r="L118">
        <f>IF($A118="","",IF($E118&lt;&gt;"",0,IF(COUNTIFS(個体台帳!$A:$A,$B118,個体台帳!$E:$E,"&lt;&gt;貸出中")&gt;0,1,0)))</f>
        <v>1</v>
      </c>
      <c r="M118">
        <f>IF($A118="","",IF($E118&lt;&gt;"",0,IF(COUNTIFS(個体台帳!$A:$A,$B118,個体台帳!$E:$E,"廃棄")&gt;0,1,0)))</f>
        <v>0</v>
      </c>
    </row>
    <row r="119" spans="1:13">
      <c r="A119" t="s">
        <v>670</v>
      </c>
      <c r="B119" t="s">
        <v>6</v>
      </c>
      <c r="C119" t="s">
        <v>6</v>
      </c>
      <c r="D119" s="12" t="s">
        <v>6</v>
      </c>
      <c r="E119" s="11" t="s">
        <v>6</v>
      </c>
      <c r="F119" s="16" t="s">
        <v>6</v>
      </c>
      <c r="G119" t="s">
        <v>6</v>
      </c>
      <c r="H119" t="s">
        <v>6</v>
      </c>
      <c r="I119">
        <f t="shared" si="3"/>
        <v>1</v>
      </c>
      <c r="J119" t="str">
        <f t="shared" ca="1" si="4"/>
        <v/>
      </c>
      <c r="K119" t="e">
        <f t="shared" ca="1" si="5"/>
        <v>#VALUE!</v>
      </c>
      <c r="L119">
        <f>IF($A119="","",IF($E119&lt;&gt;"",0,IF(COUNTIFS(個体台帳!$A:$A,$B119,個体台帳!$E:$E,"&lt;&gt;貸出中")&gt;0,1,0)))</f>
        <v>1</v>
      </c>
      <c r="M119">
        <f>IF($A119="","",IF($E119&lt;&gt;"",0,IF(COUNTIFS(個体台帳!$A:$A,$B119,個体台帳!$E:$E,"廃棄")&gt;0,1,0)))</f>
        <v>0</v>
      </c>
    </row>
    <row r="120" spans="1:13">
      <c r="A120" t="s">
        <v>671</v>
      </c>
      <c r="B120" t="s">
        <v>6</v>
      </c>
      <c r="C120" t="s">
        <v>6</v>
      </c>
      <c r="D120" s="12" t="s">
        <v>6</v>
      </c>
      <c r="E120" s="11" t="s">
        <v>6</v>
      </c>
      <c r="F120" s="16" t="s">
        <v>6</v>
      </c>
      <c r="G120" t="s">
        <v>6</v>
      </c>
      <c r="H120" t="s">
        <v>6</v>
      </c>
      <c r="I120">
        <f t="shared" si="3"/>
        <v>1</v>
      </c>
      <c r="J120" t="str">
        <f t="shared" ca="1" si="4"/>
        <v/>
      </c>
      <c r="K120" t="e">
        <f t="shared" ca="1" si="5"/>
        <v>#VALUE!</v>
      </c>
      <c r="L120">
        <f>IF($A120="","",IF($E120&lt;&gt;"",0,IF(COUNTIFS(個体台帳!$A:$A,$B120,個体台帳!$E:$E,"&lt;&gt;貸出中")&gt;0,1,0)))</f>
        <v>1</v>
      </c>
      <c r="M120">
        <f>IF($A120="","",IF($E120&lt;&gt;"",0,IF(COUNTIFS(個体台帳!$A:$A,$B120,個体台帳!$E:$E,"廃棄")&gt;0,1,0)))</f>
        <v>0</v>
      </c>
    </row>
    <row r="121" spans="1:13">
      <c r="A121" t="s">
        <v>672</v>
      </c>
      <c r="B121" t="s">
        <v>6</v>
      </c>
      <c r="C121" t="s">
        <v>6</v>
      </c>
      <c r="D121" s="12" t="s">
        <v>6</v>
      </c>
      <c r="E121" s="11" t="s">
        <v>6</v>
      </c>
      <c r="F121" s="16" t="s">
        <v>6</v>
      </c>
      <c r="G121" t="s">
        <v>6</v>
      </c>
      <c r="H121" t="s">
        <v>6</v>
      </c>
      <c r="I121">
        <f t="shared" si="3"/>
        <v>1</v>
      </c>
      <c r="J121" t="str">
        <f t="shared" ca="1" si="4"/>
        <v/>
      </c>
      <c r="K121" t="e">
        <f t="shared" ca="1" si="5"/>
        <v>#VALUE!</v>
      </c>
      <c r="L121">
        <f>IF($A121="","",IF($E121&lt;&gt;"",0,IF(COUNTIFS(個体台帳!$A:$A,$B121,個体台帳!$E:$E,"&lt;&gt;貸出中")&gt;0,1,0)))</f>
        <v>1</v>
      </c>
      <c r="M121">
        <f>IF($A121="","",IF($E121&lt;&gt;"",0,IF(COUNTIFS(個体台帳!$A:$A,$B121,個体台帳!$E:$E,"廃棄")&gt;0,1,0)))</f>
        <v>0</v>
      </c>
    </row>
    <row r="122" spans="1:13">
      <c r="A122" t="s">
        <v>673</v>
      </c>
      <c r="B122" t="s">
        <v>6</v>
      </c>
      <c r="C122" t="s">
        <v>6</v>
      </c>
      <c r="D122" s="12" t="s">
        <v>6</v>
      </c>
      <c r="E122" s="11" t="s">
        <v>6</v>
      </c>
      <c r="F122" s="16" t="s">
        <v>6</v>
      </c>
      <c r="G122" t="s">
        <v>6</v>
      </c>
      <c r="H122" t="s">
        <v>6</v>
      </c>
      <c r="I122">
        <f t="shared" si="3"/>
        <v>1</v>
      </c>
      <c r="J122" t="str">
        <f t="shared" ca="1" si="4"/>
        <v/>
      </c>
      <c r="K122" t="e">
        <f t="shared" ca="1" si="5"/>
        <v>#VALUE!</v>
      </c>
      <c r="L122">
        <f>IF($A122="","",IF($E122&lt;&gt;"",0,IF(COUNTIFS(個体台帳!$A:$A,$B122,個体台帳!$E:$E,"&lt;&gt;貸出中")&gt;0,1,0)))</f>
        <v>1</v>
      </c>
      <c r="M122">
        <f>IF($A122="","",IF($E122&lt;&gt;"",0,IF(COUNTIFS(個体台帳!$A:$A,$B122,個体台帳!$E:$E,"廃棄")&gt;0,1,0)))</f>
        <v>0</v>
      </c>
    </row>
    <row r="123" spans="1:13">
      <c r="A123" t="s">
        <v>674</v>
      </c>
      <c r="B123" t="s">
        <v>6</v>
      </c>
      <c r="C123" t="s">
        <v>6</v>
      </c>
      <c r="D123" s="12" t="s">
        <v>6</v>
      </c>
      <c r="E123" s="11" t="s">
        <v>6</v>
      </c>
      <c r="F123" s="16" t="s">
        <v>6</v>
      </c>
      <c r="G123" t="s">
        <v>6</v>
      </c>
      <c r="H123" t="s">
        <v>6</v>
      </c>
      <c r="I123">
        <f t="shared" si="3"/>
        <v>1</v>
      </c>
      <c r="J123" t="str">
        <f t="shared" ca="1" si="4"/>
        <v/>
      </c>
      <c r="K123" t="e">
        <f t="shared" ca="1" si="5"/>
        <v>#VALUE!</v>
      </c>
      <c r="L123">
        <f>IF($A123="","",IF($E123&lt;&gt;"",0,IF(COUNTIFS(個体台帳!$A:$A,$B123,個体台帳!$E:$E,"&lt;&gt;貸出中")&gt;0,1,0)))</f>
        <v>1</v>
      </c>
      <c r="M123">
        <f>IF($A123="","",IF($E123&lt;&gt;"",0,IF(COUNTIFS(個体台帳!$A:$A,$B123,個体台帳!$E:$E,"廃棄")&gt;0,1,0)))</f>
        <v>0</v>
      </c>
    </row>
    <row r="124" spans="1:13">
      <c r="A124" t="s">
        <v>675</v>
      </c>
      <c r="B124" t="s">
        <v>6</v>
      </c>
      <c r="C124" t="s">
        <v>6</v>
      </c>
      <c r="D124" s="12" t="s">
        <v>6</v>
      </c>
      <c r="E124" s="11" t="s">
        <v>6</v>
      </c>
      <c r="F124" s="16" t="s">
        <v>6</v>
      </c>
      <c r="G124" t="s">
        <v>6</v>
      </c>
      <c r="H124" t="s">
        <v>6</v>
      </c>
      <c r="I124">
        <f t="shared" si="3"/>
        <v>1</v>
      </c>
      <c r="J124" t="str">
        <f t="shared" ca="1" si="4"/>
        <v/>
      </c>
      <c r="K124" t="e">
        <f t="shared" ca="1" si="5"/>
        <v>#VALUE!</v>
      </c>
      <c r="L124">
        <f>IF($A124="","",IF($E124&lt;&gt;"",0,IF(COUNTIFS(個体台帳!$A:$A,$B124,個体台帳!$E:$E,"&lt;&gt;貸出中")&gt;0,1,0)))</f>
        <v>1</v>
      </c>
      <c r="M124">
        <f>IF($A124="","",IF($E124&lt;&gt;"",0,IF(COUNTIFS(個体台帳!$A:$A,$B124,個体台帳!$E:$E,"廃棄")&gt;0,1,0)))</f>
        <v>0</v>
      </c>
    </row>
    <row r="125" spans="1:13">
      <c r="A125" t="s">
        <v>676</v>
      </c>
      <c r="B125" t="s">
        <v>6</v>
      </c>
      <c r="C125" t="s">
        <v>6</v>
      </c>
      <c r="D125" s="12" t="s">
        <v>6</v>
      </c>
      <c r="E125" s="11" t="s">
        <v>6</v>
      </c>
      <c r="F125" s="16" t="s">
        <v>6</v>
      </c>
      <c r="G125" t="s">
        <v>6</v>
      </c>
      <c r="H125" t="s">
        <v>6</v>
      </c>
      <c r="I125">
        <f t="shared" si="3"/>
        <v>1</v>
      </c>
      <c r="J125" t="str">
        <f t="shared" ca="1" si="4"/>
        <v/>
      </c>
      <c r="K125" t="e">
        <f t="shared" ca="1" si="5"/>
        <v>#VALUE!</v>
      </c>
      <c r="L125">
        <f>IF($A125="","",IF($E125&lt;&gt;"",0,IF(COUNTIFS(個体台帳!$A:$A,$B125,個体台帳!$E:$E,"&lt;&gt;貸出中")&gt;0,1,0)))</f>
        <v>1</v>
      </c>
      <c r="M125">
        <f>IF($A125="","",IF($E125&lt;&gt;"",0,IF(COUNTIFS(個体台帳!$A:$A,$B125,個体台帳!$E:$E,"廃棄")&gt;0,1,0)))</f>
        <v>0</v>
      </c>
    </row>
    <row r="126" spans="1:13">
      <c r="A126" t="s">
        <v>677</v>
      </c>
      <c r="B126" t="s">
        <v>6</v>
      </c>
      <c r="C126" t="s">
        <v>6</v>
      </c>
      <c r="D126" s="12" t="s">
        <v>6</v>
      </c>
      <c r="E126" s="11" t="s">
        <v>6</v>
      </c>
      <c r="F126" s="16" t="s">
        <v>6</v>
      </c>
      <c r="G126" t="s">
        <v>6</v>
      </c>
      <c r="H126" t="s">
        <v>6</v>
      </c>
      <c r="I126">
        <f t="shared" si="3"/>
        <v>1</v>
      </c>
      <c r="J126" t="str">
        <f t="shared" ca="1" si="4"/>
        <v/>
      </c>
      <c r="K126" t="e">
        <f t="shared" ca="1" si="5"/>
        <v>#VALUE!</v>
      </c>
      <c r="L126">
        <f>IF($A126="","",IF($E126&lt;&gt;"",0,IF(COUNTIFS(個体台帳!$A:$A,$B126,個体台帳!$E:$E,"&lt;&gt;貸出中")&gt;0,1,0)))</f>
        <v>1</v>
      </c>
      <c r="M126">
        <f>IF($A126="","",IF($E126&lt;&gt;"",0,IF(COUNTIFS(個体台帳!$A:$A,$B126,個体台帳!$E:$E,"廃棄")&gt;0,1,0)))</f>
        <v>0</v>
      </c>
    </row>
    <row r="127" spans="1:13">
      <c r="A127" t="s">
        <v>678</v>
      </c>
      <c r="B127" t="s">
        <v>6</v>
      </c>
      <c r="C127" t="s">
        <v>6</v>
      </c>
      <c r="D127" s="12" t="s">
        <v>6</v>
      </c>
      <c r="E127" s="11" t="s">
        <v>6</v>
      </c>
      <c r="F127" s="16" t="s">
        <v>6</v>
      </c>
      <c r="G127" t="s">
        <v>6</v>
      </c>
      <c r="H127" t="s">
        <v>6</v>
      </c>
      <c r="I127">
        <f t="shared" si="3"/>
        <v>1</v>
      </c>
      <c r="J127" t="str">
        <f t="shared" ca="1" si="4"/>
        <v/>
      </c>
      <c r="K127" t="e">
        <f t="shared" ca="1" si="5"/>
        <v>#VALUE!</v>
      </c>
      <c r="L127">
        <f>IF($A127="","",IF($E127&lt;&gt;"",0,IF(COUNTIFS(個体台帳!$A:$A,$B127,個体台帳!$E:$E,"&lt;&gt;貸出中")&gt;0,1,0)))</f>
        <v>1</v>
      </c>
      <c r="M127">
        <f>IF($A127="","",IF($E127&lt;&gt;"",0,IF(COUNTIFS(個体台帳!$A:$A,$B127,個体台帳!$E:$E,"廃棄")&gt;0,1,0)))</f>
        <v>0</v>
      </c>
    </row>
    <row r="128" spans="1:13">
      <c r="A128" t="s">
        <v>679</v>
      </c>
      <c r="B128" t="s">
        <v>6</v>
      </c>
      <c r="C128" t="s">
        <v>6</v>
      </c>
      <c r="D128" s="12" t="s">
        <v>6</v>
      </c>
      <c r="E128" s="11" t="s">
        <v>6</v>
      </c>
      <c r="F128" s="16" t="s">
        <v>6</v>
      </c>
      <c r="G128" t="s">
        <v>6</v>
      </c>
      <c r="H128" t="s">
        <v>6</v>
      </c>
      <c r="I128">
        <f t="shared" si="3"/>
        <v>1</v>
      </c>
      <c r="J128" t="str">
        <f t="shared" ca="1" si="4"/>
        <v/>
      </c>
      <c r="K128" t="e">
        <f t="shared" ca="1" si="5"/>
        <v>#VALUE!</v>
      </c>
      <c r="L128">
        <f>IF($A128="","",IF($E128&lt;&gt;"",0,IF(COUNTIFS(個体台帳!$A:$A,$B128,個体台帳!$E:$E,"&lt;&gt;貸出中")&gt;0,1,0)))</f>
        <v>1</v>
      </c>
      <c r="M128">
        <f>IF($A128="","",IF($E128&lt;&gt;"",0,IF(COUNTIFS(個体台帳!$A:$A,$B128,個体台帳!$E:$E,"廃棄")&gt;0,1,0)))</f>
        <v>0</v>
      </c>
    </row>
    <row r="129" spans="1:13">
      <c r="A129" t="s">
        <v>680</v>
      </c>
      <c r="B129" t="s">
        <v>6</v>
      </c>
      <c r="C129" t="s">
        <v>6</v>
      </c>
      <c r="D129" s="12" t="s">
        <v>6</v>
      </c>
      <c r="E129" s="11" t="s">
        <v>6</v>
      </c>
      <c r="F129" s="16" t="s">
        <v>6</v>
      </c>
      <c r="G129" t="s">
        <v>6</v>
      </c>
      <c r="H129" t="s">
        <v>6</v>
      </c>
      <c r="I129">
        <f t="shared" si="3"/>
        <v>1</v>
      </c>
      <c r="J129" t="str">
        <f t="shared" ca="1" si="4"/>
        <v/>
      </c>
      <c r="K129" t="e">
        <f t="shared" ca="1" si="5"/>
        <v>#VALUE!</v>
      </c>
      <c r="L129">
        <f>IF($A129="","",IF($E129&lt;&gt;"",0,IF(COUNTIFS(個体台帳!$A:$A,$B129,個体台帳!$E:$E,"&lt;&gt;貸出中")&gt;0,1,0)))</f>
        <v>1</v>
      </c>
      <c r="M129">
        <f>IF($A129="","",IF($E129&lt;&gt;"",0,IF(COUNTIFS(個体台帳!$A:$A,$B129,個体台帳!$E:$E,"廃棄")&gt;0,1,0)))</f>
        <v>0</v>
      </c>
    </row>
    <row r="130" spans="1:13">
      <c r="A130" t="s">
        <v>681</v>
      </c>
      <c r="B130" t="s">
        <v>6</v>
      </c>
      <c r="C130" t="s">
        <v>6</v>
      </c>
      <c r="D130" s="12" t="s">
        <v>6</v>
      </c>
      <c r="E130" s="11" t="s">
        <v>6</v>
      </c>
      <c r="F130" s="16" t="s">
        <v>6</v>
      </c>
      <c r="G130" t="s">
        <v>6</v>
      </c>
      <c r="H130" t="s">
        <v>6</v>
      </c>
      <c r="I130">
        <f t="shared" ref="I130:I193" si="6">IF($A130="","",--($E130=""))</f>
        <v>1</v>
      </c>
      <c r="J130" t="str">
        <f t="shared" ref="J130:J193" ca="1" si="7">IF($D130="","",TODAY()-$D130)</f>
        <v/>
      </c>
      <c r="K130" t="e">
        <f t="shared" ref="K130:K193" ca="1" si="8">IF($A130="","",IF(AND($E130="", $D130&lt;&gt;"", TODAY()-$D130&gt;=31),1,0))</f>
        <v>#VALUE!</v>
      </c>
      <c r="L130">
        <f>IF($A130="","",IF($E130&lt;&gt;"",0,IF(COUNTIFS(個体台帳!$A:$A,$B130,個体台帳!$E:$E,"&lt;&gt;貸出中")&gt;0,1,0)))</f>
        <v>1</v>
      </c>
      <c r="M130">
        <f>IF($A130="","",IF($E130&lt;&gt;"",0,IF(COUNTIFS(個体台帳!$A:$A,$B130,個体台帳!$E:$E,"廃棄")&gt;0,1,0)))</f>
        <v>0</v>
      </c>
    </row>
    <row r="131" spans="1:13">
      <c r="A131" t="s">
        <v>682</v>
      </c>
      <c r="B131" t="s">
        <v>6</v>
      </c>
      <c r="C131" t="s">
        <v>6</v>
      </c>
      <c r="D131" s="12" t="s">
        <v>6</v>
      </c>
      <c r="E131" s="11" t="s">
        <v>6</v>
      </c>
      <c r="F131" s="16" t="s">
        <v>6</v>
      </c>
      <c r="G131" t="s">
        <v>6</v>
      </c>
      <c r="H131" t="s">
        <v>6</v>
      </c>
      <c r="I131">
        <f t="shared" si="6"/>
        <v>1</v>
      </c>
      <c r="J131" t="str">
        <f t="shared" ca="1" si="7"/>
        <v/>
      </c>
      <c r="K131" t="e">
        <f t="shared" ca="1" si="8"/>
        <v>#VALUE!</v>
      </c>
      <c r="L131">
        <f>IF($A131="","",IF($E131&lt;&gt;"",0,IF(COUNTIFS(個体台帳!$A:$A,$B131,個体台帳!$E:$E,"&lt;&gt;貸出中")&gt;0,1,0)))</f>
        <v>1</v>
      </c>
      <c r="M131">
        <f>IF($A131="","",IF($E131&lt;&gt;"",0,IF(COUNTIFS(個体台帳!$A:$A,$B131,個体台帳!$E:$E,"廃棄")&gt;0,1,0)))</f>
        <v>0</v>
      </c>
    </row>
    <row r="132" spans="1:13">
      <c r="A132" t="s">
        <v>683</v>
      </c>
      <c r="B132" t="s">
        <v>6</v>
      </c>
      <c r="C132" t="s">
        <v>6</v>
      </c>
      <c r="D132" s="12" t="s">
        <v>6</v>
      </c>
      <c r="E132" s="11" t="s">
        <v>6</v>
      </c>
      <c r="F132" s="16" t="s">
        <v>6</v>
      </c>
      <c r="G132" t="s">
        <v>6</v>
      </c>
      <c r="H132" t="s">
        <v>6</v>
      </c>
      <c r="I132">
        <f t="shared" si="6"/>
        <v>1</v>
      </c>
      <c r="J132" t="str">
        <f t="shared" ca="1" si="7"/>
        <v/>
      </c>
      <c r="K132" t="e">
        <f t="shared" ca="1" si="8"/>
        <v>#VALUE!</v>
      </c>
      <c r="L132">
        <f>IF($A132="","",IF($E132&lt;&gt;"",0,IF(COUNTIFS(個体台帳!$A:$A,$B132,個体台帳!$E:$E,"&lt;&gt;貸出中")&gt;0,1,0)))</f>
        <v>1</v>
      </c>
      <c r="M132">
        <f>IF($A132="","",IF($E132&lt;&gt;"",0,IF(COUNTIFS(個体台帳!$A:$A,$B132,個体台帳!$E:$E,"廃棄")&gt;0,1,0)))</f>
        <v>0</v>
      </c>
    </row>
    <row r="133" spans="1:13">
      <c r="A133" t="s">
        <v>684</v>
      </c>
      <c r="B133" t="s">
        <v>6</v>
      </c>
      <c r="C133" t="s">
        <v>6</v>
      </c>
      <c r="D133" s="12" t="s">
        <v>6</v>
      </c>
      <c r="E133" s="11" t="s">
        <v>6</v>
      </c>
      <c r="F133" s="16" t="s">
        <v>6</v>
      </c>
      <c r="G133" t="s">
        <v>6</v>
      </c>
      <c r="H133" t="s">
        <v>6</v>
      </c>
      <c r="I133">
        <f t="shared" si="6"/>
        <v>1</v>
      </c>
      <c r="J133" t="str">
        <f t="shared" ca="1" si="7"/>
        <v/>
      </c>
      <c r="K133" t="e">
        <f t="shared" ca="1" si="8"/>
        <v>#VALUE!</v>
      </c>
      <c r="L133">
        <f>IF($A133="","",IF($E133&lt;&gt;"",0,IF(COUNTIFS(個体台帳!$A:$A,$B133,個体台帳!$E:$E,"&lt;&gt;貸出中")&gt;0,1,0)))</f>
        <v>1</v>
      </c>
      <c r="M133">
        <f>IF($A133="","",IF($E133&lt;&gt;"",0,IF(COUNTIFS(個体台帳!$A:$A,$B133,個体台帳!$E:$E,"廃棄")&gt;0,1,0)))</f>
        <v>0</v>
      </c>
    </row>
    <row r="134" spans="1:13">
      <c r="A134" t="s">
        <v>685</v>
      </c>
      <c r="B134" t="s">
        <v>6</v>
      </c>
      <c r="C134" t="s">
        <v>6</v>
      </c>
      <c r="D134" s="12" t="s">
        <v>6</v>
      </c>
      <c r="E134" s="11" t="s">
        <v>6</v>
      </c>
      <c r="F134" s="16" t="s">
        <v>6</v>
      </c>
      <c r="G134" t="s">
        <v>6</v>
      </c>
      <c r="H134" t="s">
        <v>6</v>
      </c>
      <c r="I134">
        <f t="shared" si="6"/>
        <v>1</v>
      </c>
      <c r="J134" t="str">
        <f t="shared" ca="1" si="7"/>
        <v/>
      </c>
      <c r="K134" t="e">
        <f t="shared" ca="1" si="8"/>
        <v>#VALUE!</v>
      </c>
      <c r="L134">
        <f>IF($A134="","",IF($E134&lt;&gt;"",0,IF(COUNTIFS(個体台帳!$A:$A,$B134,個体台帳!$E:$E,"&lt;&gt;貸出中")&gt;0,1,0)))</f>
        <v>1</v>
      </c>
      <c r="M134">
        <f>IF($A134="","",IF($E134&lt;&gt;"",0,IF(COUNTIFS(個体台帳!$A:$A,$B134,個体台帳!$E:$E,"廃棄")&gt;0,1,0)))</f>
        <v>0</v>
      </c>
    </row>
    <row r="135" spans="1:13">
      <c r="A135" t="s">
        <v>686</v>
      </c>
      <c r="B135" t="s">
        <v>6</v>
      </c>
      <c r="C135" t="s">
        <v>6</v>
      </c>
      <c r="D135" s="12" t="s">
        <v>6</v>
      </c>
      <c r="E135" s="11" t="s">
        <v>6</v>
      </c>
      <c r="F135" s="16" t="s">
        <v>6</v>
      </c>
      <c r="G135" t="s">
        <v>6</v>
      </c>
      <c r="H135" t="s">
        <v>6</v>
      </c>
      <c r="I135">
        <f t="shared" si="6"/>
        <v>1</v>
      </c>
      <c r="J135" t="str">
        <f t="shared" ca="1" si="7"/>
        <v/>
      </c>
      <c r="K135" t="e">
        <f t="shared" ca="1" si="8"/>
        <v>#VALUE!</v>
      </c>
      <c r="L135">
        <f>IF($A135="","",IF($E135&lt;&gt;"",0,IF(COUNTIFS(個体台帳!$A:$A,$B135,個体台帳!$E:$E,"&lt;&gt;貸出中")&gt;0,1,0)))</f>
        <v>1</v>
      </c>
      <c r="M135">
        <f>IF($A135="","",IF($E135&lt;&gt;"",0,IF(COUNTIFS(個体台帳!$A:$A,$B135,個体台帳!$E:$E,"廃棄")&gt;0,1,0)))</f>
        <v>0</v>
      </c>
    </row>
    <row r="136" spans="1:13">
      <c r="A136" t="s">
        <v>687</v>
      </c>
      <c r="B136" t="s">
        <v>6</v>
      </c>
      <c r="C136" t="s">
        <v>6</v>
      </c>
      <c r="D136" s="12" t="s">
        <v>6</v>
      </c>
      <c r="E136" s="11" t="s">
        <v>6</v>
      </c>
      <c r="F136" s="16" t="s">
        <v>6</v>
      </c>
      <c r="G136" t="s">
        <v>6</v>
      </c>
      <c r="H136" t="s">
        <v>6</v>
      </c>
      <c r="I136">
        <f t="shared" si="6"/>
        <v>1</v>
      </c>
      <c r="J136" t="str">
        <f t="shared" ca="1" si="7"/>
        <v/>
      </c>
      <c r="K136" t="e">
        <f t="shared" ca="1" si="8"/>
        <v>#VALUE!</v>
      </c>
      <c r="L136">
        <f>IF($A136="","",IF($E136&lt;&gt;"",0,IF(COUNTIFS(個体台帳!$A:$A,$B136,個体台帳!$E:$E,"&lt;&gt;貸出中")&gt;0,1,0)))</f>
        <v>1</v>
      </c>
      <c r="M136">
        <f>IF($A136="","",IF($E136&lt;&gt;"",0,IF(COUNTIFS(個体台帳!$A:$A,$B136,個体台帳!$E:$E,"廃棄")&gt;0,1,0)))</f>
        <v>0</v>
      </c>
    </row>
    <row r="137" spans="1:13">
      <c r="A137" t="s">
        <v>688</v>
      </c>
      <c r="B137" t="s">
        <v>6</v>
      </c>
      <c r="C137" t="s">
        <v>6</v>
      </c>
      <c r="D137" s="12" t="s">
        <v>6</v>
      </c>
      <c r="E137" s="11" t="s">
        <v>6</v>
      </c>
      <c r="F137" s="16" t="s">
        <v>6</v>
      </c>
      <c r="G137" t="s">
        <v>6</v>
      </c>
      <c r="H137" t="s">
        <v>6</v>
      </c>
      <c r="I137">
        <f t="shared" si="6"/>
        <v>1</v>
      </c>
      <c r="J137" t="str">
        <f t="shared" ca="1" si="7"/>
        <v/>
      </c>
      <c r="K137" t="e">
        <f t="shared" ca="1" si="8"/>
        <v>#VALUE!</v>
      </c>
      <c r="L137">
        <f>IF($A137="","",IF($E137&lt;&gt;"",0,IF(COUNTIFS(個体台帳!$A:$A,$B137,個体台帳!$E:$E,"&lt;&gt;貸出中")&gt;0,1,0)))</f>
        <v>1</v>
      </c>
      <c r="M137">
        <f>IF($A137="","",IF($E137&lt;&gt;"",0,IF(COUNTIFS(個体台帳!$A:$A,$B137,個体台帳!$E:$E,"廃棄")&gt;0,1,0)))</f>
        <v>0</v>
      </c>
    </row>
    <row r="138" spans="1:13">
      <c r="A138" t="s">
        <v>689</v>
      </c>
      <c r="B138" t="s">
        <v>6</v>
      </c>
      <c r="C138" t="s">
        <v>6</v>
      </c>
      <c r="D138" s="12" t="s">
        <v>6</v>
      </c>
      <c r="E138" s="11" t="s">
        <v>6</v>
      </c>
      <c r="F138" s="16" t="s">
        <v>6</v>
      </c>
      <c r="G138" t="s">
        <v>6</v>
      </c>
      <c r="H138" t="s">
        <v>6</v>
      </c>
      <c r="I138">
        <f t="shared" si="6"/>
        <v>1</v>
      </c>
      <c r="J138" t="str">
        <f t="shared" ca="1" si="7"/>
        <v/>
      </c>
      <c r="K138" t="e">
        <f t="shared" ca="1" si="8"/>
        <v>#VALUE!</v>
      </c>
      <c r="L138">
        <f>IF($A138="","",IF($E138&lt;&gt;"",0,IF(COUNTIFS(個体台帳!$A:$A,$B138,個体台帳!$E:$E,"&lt;&gt;貸出中")&gt;0,1,0)))</f>
        <v>1</v>
      </c>
      <c r="M138">
        <f>IF($A138="","",IF($E138&lt;&gt;"",0,IF(COUNTIFS(個体台帳!$A:$A,$B138,個体台帳!$E:$E,"廃棄")&gt;0,1,0)))</f>
        <v>0</v>
      </c>
    </row>
    <row r="139" spans="1:13">
      <c r="A139" t="s">
        <v>690</v>
      </c>
      <c r="B139" t="s">
        <v>6</v>
      </c>
      <c r="C139" t="s">
        <v>6</v>
      </c>
      <c r="D139" s="12" t="s">
        <v>6</v>
      </c>
      <c r="E139" s="11" t="s">
        <v>6</v>
      </c>
      <c r="F139" s="16" t="s">
        <v>6</v>
      </c>
      <c r="G139" t="s">
        <v>6</v>
      </c>
      <c r="H139" t="s">
        <v>6</v>
      </c>
      <c r="I139">
        <f t="shared" si="6"/>
        <v>1</v>
      </c>
      <c r="J139" t="str">
        <f t="shared" ca="1" si="7"/>
        <v/>
      </c>
      <c r="K139" t="e">
        <f t="shared" ca="1" si="8"/>
        <v>#VALUE!</v>
      </c>
      <c r="L139">
        <f>IF($A139="","",IF($E139&lt;&gt;"",0,IF(COUNTIFS(個体台帳!$A:$A,$B139,個体台帳!$E:$E,"&lt;&gt;貸出中")&gt;0,1,0)))</f>
        <v>1</v>
      </c>
      <c r="M139">
        <f>IF($A139="","",IF($E139&lt;&gt;"",0,IF(COUNTIFS(個体台帳!$A:$A,$B139,個体台帳!$E:$E,"廃棄")&gt;0,1,0)))</f>
        <v>0</v>
      </c>
    </row>
    <row r="140" spans="1:13">
      <c r="A140" t="s">
        <v>691</v>
      </c>
      <c r="B140" t="s">
        <v>6</v>
      </c>
      <c r="C140" t="s">
        <v>6</v>
      </c>
      <c r="D140" s="12" t="s">
        <v>6</v>
      </c>
      <c r="E140" s="11" t="s">
        <v>6</v>
      </c>
      <c r="F140" s="16" t="s">
        <v>6</v>
      </c>
      <c r="G140" t="s">
        <v>6</v>
      </c>
      <c r="H140" t="s">
        <v>6</v>
      </c>
      <c r="I140">
        <f t="shared" si="6"/>
        <v>1</v>
      </c>
      <c r="J140" t="str">
        <f t="shared" ca="1" si="7"/>
        <v/>
      </c>
      <c r="K140" t="e">
        <f t="shared" ca="1" si="8"/>
        <v>#VALUE!</v>
      </c>
      <c r="L140">
        <f>IF($A140="","",IF($E140&lt;&gt;"",0,IF(COUNTIFS(個体台帳!$A:$A,$B140,個体台帳!$E:$E,"&lt;&gt;貸出中")&gt;0,1,0)))</f>
        <v>1</v>
      </c>
      <c r="M140">
        <f>IF($A140="","",IF($E140&lt;&gt;"",0,IF(COUNTIFS(個体台帳!$A:$A,$B140,個体台帳!$E:$E,"廃棄")&gt;0,1,0)))</f>
        <v>0</v>
      </c>
    </row>
    <row r="141" spans="1:13">
      <c r="A141" t="s">
        <v>692</v>
      </c>
      <c r="B141" t="s">
        <v>6</v>
      </c>
      <c r="C141" t="s">
        <v>6</v>
      </c>
      <c r="D141" s="12" t="s">
        <v>6</v>
      </c>
      <c r="E141" s="11" t="s">
        <v>6</v>
      </c>
      <c r="F141" s="16" t="s">
        <v>6</v>
      </c>
      <c r="G141" t="s">
        <v>6</v>
      </c>
      <c r="H141" t="s">
        <v>6</v>
      </c>
      <c r="I141">
        <f t="shared" si="6"/>
        <v>1</v>
      </c>
      <c r="J141" t="str">
        <f t="shared" ca="1" si="7"/>
        <v/>
      </c>
      <c r="K141" t="e">
        <f t="shared" ca="1" si="8"/>
        <v>#VALUE!</v>
      </c>
      <c r="L141">
        <f>IF($A141="","",IF($E141&lt;&gt;"",0,IF(COUNTIFS(個体台帳!$A:$A,$B141,個体台帳!$E:$E,"&lt;&gt;貸出中")&gt;0,1,0)))</f>
        <v>1</v>
      </c>
      <c r="M141">
        <f>IF($A141="","",IF($E141&lt;&gt;"",0,IF(COUNTIFS(個体台帳!$A:$A,$B141,個体台帳!$E:$E,"廃棄")&gt;0,1,0)))</f>
        <v>0</v>
      </c>
    </row>
    <row r="142" spans="1:13">
      <c r="A142" t="s">
        <v>693</v>
      </c>
      <c r="B142" t="s">
        <v>6</v>
      </c>
      <c r="C142" t="s">
        <v>6</v>
      </c>
      <c r="D142" s="12" t="s">
        <v>6</v>
      </c>
      <c r="E142" s="11" t="s">
        <v>6</v>
      </c>
      <c r="F142" s="16" t="s">
        <v>6</v>
      </c>
      <c r="G142" t="s">
        <v>6</v>
      </c>
      <c r="H142" t="s">
        <v>6</v>
      </c>
      <c r="I142">
        <f t="shared" si="6"/>
        <v>1</v>
      </c>
      <c r="J142" t="str">
        <f t="shared" ca="1" si="7"/>
        <v/>
      </c>
      <c r="K142" t="e">
        <f t="shared" ca="1" si="8"/>
        <v>#VALUE!</v>
      </c>
      <c r="L142">
        <f>IF($A142="","",IF($E142&lt;&gt;"",0,IF(COUNTIFS(個体台帳!$A:$A,$B142,個体台帳!$E:$E,"&lt;&gt;貸出中")&gt;0,1,0)))</f>
        <v>1</v>
      </c>
      <c r="M142">
        <f>IF($A142="","",IF($E142&lt;&gt;"",0,IF(COUNTIFS(個体台帳!$A:$A,$B142,個体台帳!$E:$E,"廃棄")&gt;0,1,0)))</f>
        <v>0</v>
      </c>
    </row>
    <row r="143" spans="1:13">
      <c r="A143" t="s">
        <v>694</v>
      </c>
      <c r="B143" t="s">
        <v>6</v>
      </c>
      <c r="C143" t="s">
        <v>6</v>
      </c>
      <c r="D143" s="12" t="s">
        <v>6</v>
      </c>
      <c r="E143" s="11" t="s">
        <v>6</v>
      </c>
      <c r="F143" s="16" t="s">
        <v>6</v>
      </c>
      <c r="G143" t="s">
        <v>6</v>
      </c>
      <c r="H143" t="s">
        <v>6</v>
      </c>
      <c r="I143">
        <f t="shared" si="6"/>
        <v>1</v>
      </c>
      <c r="J143" t="str">
        <f t="shared" ca="1" si="7"/>
        <v/>
      </c>
      <c r="K143" t="e">
        <f t="shared" ca="1" si="8"/>
        <v>#VALUE!</v>
      </c>
      <c r="L143">
        <f>IF($A143="","",IF($E143&lt;&gt;"",0,IF(COUNTIFS(個体台帳!$A:$A,$B143,個体台帳!$E:$E,"&lt;&gt;貸出中")&gt;0,1,0)))</f>
        <v>1</v>
      </c>
      <c r="M143">
        <f>IF($A143="","",IF($E143&lt;&gt;"",0,IF(COUNTIFS(個体台帳!$A:$A,$B143,個体台帳!$E:$E,"廃棄")&gt;0,1,0)))</f>
        <v>0</v>
      </c>
    </row>
    <row r="144" spans="1:13">
      <c r="A144" t="s">
        <v>695</v>
      </c>
      <c r="B144" t="s">
        <v>6</v>
      </c>
      <c r="C144" t="s">
        <v>6</v>
      </c>
      <c r="D144" s="12" t="s">
        <v>6</v>
      </c>
      <c r="E144" s="11" t="s">
        <v>6</v>
      </c>
      <c r="F144" s="16" t="s">
        <v>6</v>
      </c>
      <c r="G144" t="s">
        <v>6</v>
      </c>
      <c r="H144" t="s">
        <v>6</v>
      </c>
      <c r="I144">
        <f t="shared" si="6"/>
        <v>1</v>
      </c>
      <c r="J144" t="str">
        <f t="shared" ca="1" si="7"/>
        <v/>
      </c>
      <c r="K144" t="e">
        <f t="shared" ca="1" si="8"/>
        <v>#VALUE!</v>
      </c>
      <c r="L144">
        <f>IF($A144="","",IF($E144&lt;&gt;"",0,IF(COUNTIFS(個体台帳!$A:$A,$B144,個体台帳!$E:$E,"&lt;&gt;貸出中")&gt;0,1,0)))</f>
        <v>1</v>
      </c>
      <c r="M144">
        <f>IF($A144="","",IF($E144&lt;&gt;"",0,IF(COUNTIFS(個体台帳!$A:$A,$B144,個体台帳!$E:$E,"廃棄")&gt;0,1,0)))</f>
        <v>0</v>
      </c>
    </row>
    <row r="145" spans="1:13">
      <c r="A145" t="s">
        <v>696</v>
      </c>
      <c r="B145" t="s">
        <v>6</v>
      </c>
      <c r="C145" t="s">
        <v>6</v>
      </c>
      <c r="D145" s="12" t="s">
        <v>6</v>
      </c>
      <c r="E145" s="11" t="s">
        <v>6</v>
      </c>
      <c r="F145" s="16" t="s">
        <v>6</v>
      </c>
      <c r="G145" t="s">
        <v>6</v>
      </c>
      <c r="H145" t="s">
        <v>6</v>
      </c>
      <c r="I145">
        <f t="shared" si="6"/>
        <v>1</v>
      </c>
      <c r="J145" t="str">
        <f t="shared" ca="1" si="7"/>
        <v/>
      </c>
      <c r="K145" t="e">
        <f t="shared" ca="1" si="8"/>
        <v>#VALUE!</v>
      </c>
      <c r="L145">
        <f>IF($A145="","",IF($E145&lt;&gt;"",0,IF(COUNTIFS(個体台帳!$A:$A,$B145,個体台帳!$E:$E,"&lt;&gt;貸出中")&gt;0,1,0)))</f>
        <v>1</v>
      </c>
      <c r="M145">
        <f>IF($A145="","",IF($E145&lt;&gt;"",0,IF(COUNTIFS(個体台帳!$A:$A,$B145,個体台帳!$E:$E,"廃棄")&gt;0,1,0)))</f>
        <v>0</v>
      </c>
    </row>
    <row r="146" spans="1:13">
      <c r="A146" t="s">
        <v>697</v>
      </c>
      <c r="B146" t="s">
        <v>6</v>
      </c>
      <c r="C146" t="s">
        <v>6</v>
      </c>
      <c r="D146" s="12" t="s">
        <v>6</v>
      </c>
      <c r="E146" s="11" t="s">
        <v>6</v>
      </c>
      <c r="F146" s="16" t="s">
        <v>6</v>
      </c>
      <c r="G146" t="s">
        <v>6</v>
      </c>
      <c r="H146" t="s">
        <v>6</v>
      </c>
      <c r="I146">
        <f t="shared" si="6"/>
        <v>1</v>
      </c>
      <c r="J146" t="str">
        <f t="shared" ca="1" si="7"/>
        <v/>
      </c>
      <c r="K146" t="e">
        <f t="shared" ca="1" si="8"/>
        <v>#VALUE!</v>
      </c>
      <c r="L146">
        <f>IF($A146="","",IF($E146&lt;&gt;"",0,IF(COUNTIFS(個体台帳!$A:$A,$B146,個体台帳!$E:$E,"&lt;&gt;貸出中")&gt;0,1,0)))</f>
        <v>1</v>
      </c>
      <c r="M146">
        <f>IF($A146="","",IF($E146&lt;&gt;"",0,IF(COUNTIFS(個体台帳!$A:$A,$B146,個体台帳!$E:$E,"廃棄")&gt;0,1,0)))</f>
        <v>0</v>
      </c>
    </row>
    <row r="147" spans="1:13">
      <c r="A147" t="s">
        <v>698</v>
      </c>
      <c r="B147" t="s">
        <v>6</v>
      </c>
      <c r="C147" t="s">
        <v>6</v>
      </c>
      <c r="D147" s="12" t="s">
        <v>6</v>
      </c>
      <c r="E147" s="11" t="s">
        <v>6</v>
      </c>
      <c r="F147" s="16" t="s">
        <v>6</v>
      </c>
      <c r="G147" t="s">
        <v>6</v>
      </c>
      <c r="H147" t="s">
        <v>6</v>
      </c>
      <c r="I147">
        <f t="shared" si="6"/>
        <v>1</v>
      </c>
      <c r="J147" t="str">
        <f t="shared" ca="1" si="7"/>
        <v/>
      </c>
      <c r="K147" t="e">
        <f t="shared" ca="1" si="8"/>
        <v>#VALUE!</v>
      </c>
      <c r="L147">
        <f>IF($A147="","",IF($E147&lt;&gt;"",0,IF(COUNTIFS(個体台帳!$A:$A,$B147,個体台帳!$E:$E,"&lt;&gt;貸出中")&gt;0,1,0)))</f>
        <v>1</v>
      </c>
      <c r="M147">
        <f>IF($A147="","",IF($E147&lt;&gt;"",0,IF(COUNTIFS(個体台帳!$A:$A,$B147,個体台帳!$E:$E,"廃棄")&gt;0,1,0)))</f>
        <v>0</v>
      </c>
    </row>
    <row r="148" spans="1:13">
      <c r="A148" t="s">
        <v>699</v>
      </c>
      <c r="B148" t="s">
        <v>6</v>
      </c>
      <c r="C148" t="s">
        <v>6</v>
      </c>
      <c r="D148" s="12" t="s">
        <v>6</v>
      </c>
      <c r="E148" s="11" t="s">
        <v>6</v>
      </c>
      <c r="F148" s="16" t="s">
        <v>6</v>
      </c>
      <c r="G148" t="s">
        <v>6</v>
      </c>
      <c r="H148" t="s">
        <v>6</v>
      </c>
      <c r="I148">
        <f t="shared" si="6"/>
        <v>1</v>
      </c>
      <c r="J148" t="str">
        <f t="shared" ca="1" si="7"/>
        <v/>
      </c>
      <c r="K148" t="e">
        <f t="shared" ca="1" si="8"/>
        <v>#VALUE!</v>
      </c>
      <c r="L148">
        <f>IF($A148="","",IF($E148&lt;&gt;"",0,IF(COUNTIFS(個体台帳!$A:$A,$B148,個体台帳!$E:$E,"&lt;&gt;貸出中")&gt;0,1,0)))</f>
        <v>1</v>
      </c>
      <c r="M148">
        <f>IF($A148="","",IF($E148&lt;&gt;"",0,IF(COUNTIFS(個体台帳!$A:$A,$B148,個体台帳!$E:$E,"廃棄")&gt;0,1,0)))</f>
        <v>0</v>
      </c>
    </row>
    <row r="149" spans="1:13">
      <c r="A149" t="s">
        <v>700</v>
      </c>
      <c r="B149" t="s">
        <v>6</v>
      </c>
      <c r="C149" t="s">
        <v>6</v>
      </c>
      <c r="D149" s="12" t="s">
        <v>6</v>
      </c>
      <c r="E149" s="11" t="s">
        <v>6</v>
      </c>
      <c r="F149" s="16" t="s">
        <v>6</v>
      </c>
      <c r="G149" t="s">
        <v>6</v>
      </c>
      <c r="H149" t="s">
        <v>6</v>
      </c>
      <c r="I149">
        <f t="shared" si="6"/>
        <v>1</v>
      </c>
      <c r="J149" t="str">
        <f t="shared" ca="1" si="7"/>
        <v/>
      </c>
      <c r="K149" t="e">
        <f t="shared" ca="1" si="8"/>
        <v>#VALUE!</v>
      </c>
      <c r="L149">
        <f>IF($A149="","",IF($E149&lt;&gt;"",0,IF(COUNTIFS(個体台帳!$A:$A,$B149,個体台帳!$E:$E,"&lt;&gt;貸出中")&gt;0,1,0)))</f>
        <v>1</v>
      </c>
      <c r="M149">
        <f>IF($A149="","",IF($E149&lt;&gt;"",0,IF(COUNTIFS(個体台帳!$A:$A,$B149,個体台帳!$E:$E,"廃棄")&gt;0,1,0)))</f>
        <v>0</v>
      </c>
    </row>
    <row r="150" spans="1:13">
      <c r="A150" t="s">
        <v>701</v>
      </c>
      <c r="B150" t="s">
        <v>6</v>
      </c>
      <c r="C150" t="s">
        <v>6</v>
      </c>
      <c r="D150" s="12" t="s">
        <v>6</v>
      </c>
      <c r="E150" s="11" t="s">
        <v>6</v>
      </c>
      <c r="F150" s="16" t="s">
        <v>6</v>
      </c>
      <c r="G150" t="s">
        <v>6</v>
      </c>
      <c r="H150" t="s">
        <v>6</v>
      </c>
      <c r="I150">
        <f t="shared" si="6"/>
        <v>1</v>
      </c>
      <c r="J150" t="str">
        <f t="shared" ca="1" si="7"/>
        <v/>
      </c>
      <c r="K150" t="e">
        <f t="shared" ca="1" si="8"/>
        <v>#VALUE!</v>
      </c>
      <c r="L150">
        <f>IF($A150="","",IF($E150&lt;&gt;"",0,IF(COUNTIFS(個体台帳!$A:$A,$B150,個体台帳!$E:$E,"&lt;&gt;貸出中")&gt;0,1,0)))</f>
        <v>1</v>
      </c>
      <c r="M150">
        <f>IF($A150="","",IF($E150&lt;&gt;"",0,IF(COUNTIFS(個体台帳!$A:$A,$B150,個体台帳!$E:$E,"廃棄")&gt;0,1,0)))</f>
        <v>0</v>
      </c>
    </row>
    <row r="151" spans="1:13">
      <c r="A151" t="s">
        <v>702</v>
      </c>
      <c r="B151" t="s">
        <v>6</v>
      </c>
      <c r="C151" t="s">
        <v>6</v>
      </c>
      <c r="D151" s="12" t="s">
        <v>6</v>
      </c>
      <c r="E151" s="11" t="s">
        <v>6</v>
      </c>
      <c r="F151" s="16" t="s">
        <v>6</v>
      </c>
      <c r="G151" t="s">
        <v>6</v>
      </c>
      <c r="H151" t="s">
        <v>6</v>
      </c>
      <c r="I151">
        <f t="shared" si="6"/>
        <v>1</v>
      </c>
      <c r="J151" t="str">
        <f t="shared" ca="1" si="7"/>
        <v/>
      </c>
      <c r="K151" t="e">
        <f t="shared" ca="1" si="8"/>
        <v>#VALUE!</v>
      </c>
      <c r="L151">
        <f>IF($A151="","",IF($E151&lt;&gt;"",0,IF(COUNTIFS(個体台帳!$A:$A,$B151,個体台帳!$E:$E,"&lt;&gt;貸出中")&gt;0,1,0)))</f>
        <v>1</v>
      </c>
      <c r="M151">
        <f>IF($A151="","",IF($E151&lt;&gt;"",0,IF(COUNTIFS(個体台帳!$A:$A,$B151,個体台帳!$E:$E,"廃棄")&gt;0,1,0)))</f>
        <v>0</v>
      </c>
    </row>
    <row r="152" spans="1:13">
      <c r="A152" t="s">
        <v>703</v>
      </c>
      <c r="B152" t="s">
        <v>6</v>
      </c>
      <c r="C152" t="s">
        <v>6</v>
      </c>
      <c r="D152" s="12" t="s">
        <v>6</v>
      </c>
      <c r="E152" s="11" t="s">
        <v>6</v>
      </c>
      <c r="F152" s="16" t="s">
        <v>6</v>
      </c>
      <c r="G152" t="s">
        <v>6</v>
      </c>
      <c r="H152" t="s">
        <v>6</v>
      </c>
      <c r="I152">
        <f t="shared" si="6"/>
        <v>1</v>
      </c>
      <c r="J152" t="str">
        <f t="shared" ca="1" si="7"/>
        <v/>
      </c>
      <c r="K152" t="e">
        <f t="shared" ca="1" si="8"/>
        <v>#VALUE!</v>
      </c>
      <c r="L152">
        <f>IF($A152="","",IF($E152&lt;&gt;"",0,IF(COUNTIFS(個体台帳!$A:$A,$B152,個体台帳!$E:$E,"&lt;&gt;貸出中")&gt;0,1,0)))</f>
        <v>1</v>
      </c>
      <c r="M152">
        <f>IF($A152="","",IF($E152&lt;&gt;"",0,IF(COUNTIFS(個体台帳!$A:$A,$B152,個体台帳!$E:$E,"廃棄")&gt;0,1,0)))</f>
        <v>0</v>
      </c>
    </row>
    <row r="153" spans="1:13">
      <c r="A153" t="s">
        <v>704</v>
      </c>
      <c r="B153" t="s">
        <v>6</v>
      </c>
      <c r="C153" t="s">
        <v>6</v>
      </c>
      <c r="D153" s="12" t="s">
        <v>6</v>
      </c>
      <c r="E153" s="11" t="s">
        <v>6</v>
      </c>
      <c r="F153" s="16" t="s">
        <v>6</v>
      </c>
      <c r="G153" t="s">
        <v>6</v>
      </c>
      <c r="H153" t="s">
        <v>6</v>
      </c>
      <c r="I153">
        <f t="shared" si="6"/>
        <v>1</v>
      </c>
      <c r="J153" t="str">
        <f t="shared" ca="1" si="7"/>
        <v/>
      </c>
      <c r="K153" t="e">
        <f t="shared" ca="1" si="8"/>
        <v>#VALUE!</v>
      </c>
      <c r="L153">
        <f>IF($A153="","",IF($E153&lt;&gt;"",0,IF(COUNTIFS(個体台帳!$A:$A,$B153,個体台帳!$E:$E,"&lt;&gt;貸出中")&gt;0,1,0)))</f>
        <v>1</v>
      </c>
      <c r="M153">
        <f>IF($A153="","",IF($E153&lt;&gt;"",0,IF(COUNTIFS(個体台帳!$A:$A,$B153,個体台帳!$E:$E,"廃棄")&gt;0,1,0)))</f>
        <v>0</v>
      </c>
    </row>
    <row r="154" spans="1:13">
      <c r="A154" t="s">
        <v>705</v>
      </c>
      <c r="B154" t="s">
        <v>6</v>
      </c>
      <c r="C154" t="s">
        <v>6</v>
      </c>
      <c r="D154" s="12" t="s">
        <v>6</v>
      </c>
      <c r="E154" s="11" t="s">
        <v>6</v>
      </c>
      <c r="F154" s="16" t="s">
        <v>6</v>
      </c>
      <c r="G154" t="s">
        <v>6</v>
      </c>
      <c r="H154" t="s">
        <v>6</v>
      </c>
      <c r="I154">
        <f t="shared" si="6"/>
        <v>1</v>
      </c>
      <c r="J154" t="str">
        <f t="shared" ca="1" si="7"/>
        <v/>
      </c>
      <c r="K154" t="e">
        <f t="shared" ca="1" si="8"/>
        <v>#VALUE!</v>
      </c>
      <c r="L154">
        <f>IF($A154="","",IF($E154&lt;&gt;"",0,IF(COUNTIFS(個体台帳!$A:$A,$B154,個体台帳!$E:$E,"&lt;&gt;貸出中")&gt;0,1,0)))</f>
        <v>1</v>
      </c>
      <c r="M154">
        <f>IF($A154="","",IF($E154&lt;&gt;"",0,IF(COUNTIFS(個体台帳!$A:$A,$B154,個体台帳!$E:$E,"廃棄")&gt;0,1,0)))</f>
        <v>0</v>
      </c>
    </row>
    <row r="155" spans="1:13">
      <c r="A155" t="s">
        <v>706</v>
      </c>
      <c r="B155" t="s">
        <v>6</v>
      </c>
      <c r="C155" t="s">
        <v>6</v>
      </c>
      <c r="D155" s="12" t="s">
        <v>6</v>
      </c>
      <c r="E155" s="11" t="s">
        <v>6</v>
      </c>
      <c r="F155" s="16" t="s">
        <v>6</v>
      </c>
      <c r="G155" t="s">
        <v>6</v>
      </c>
      <c r="H155" t="s">
        <v>6</v>
      </c>
      <c r="I155">
        <f t="shared" si="6"/>
        <v>1</v>
      </c>
      <c r="J155" t="str">
        <f t="shared" ca="1" si="7"/>
        <v/>
      </c>
      <c r="K155" t="e">
        <f t="shared" ca="1" si="8"/>
        <v>#VALUE!</v>
      </c>
      <c r="L155">
        <f>IF($A155="","",IF($E155&lt;&gt;"",0,IF(COUNTIFS(個体台帳!$A:$A,$B155,個体台帳!$E:$E,"&lt;&gt;貸出中")&gt;0,1,0)))</f>
        <v>1</v>
      </c>
      <c r="M155">
        <f>IF($A155="","",IF($E155&lt;&gt;"",0,IF(COUNTIFS(個体台帳!$A:$A,$B155,個体台帳!$E:$E,"廃棄")&gt;0,1,0)))</f>
        <v>0</v>
      </c>
    </row>
    <row r="156" spans="1:13">
      <c r="A156" t="s">
        <v>707</v>
      </c>
      <c r="B156" t="s">
        <v>6</v>
      </c>
      <c r="C156" t="s">
        <v>6</v>
      </c>
      <c r="D156" s="12" t="s">
        <v>6</v>
      </c>
      <c r="E156" s="11" t="s">
        <v>6</v>
      </c>
      <c r="F156" s="16" t="s">
        <v>6</v>
      </c>
      <c r="G156" t="s">
        <v>6</v>
      </c>
      <c r="H156" t="s">
        <v>6</v>
      </c>
      <c r="I156">
        <f t="shared" si="6"/>
        <v>1</v>
      </c>
      <c r="J156" t="str">
        <f t="shared" ca="1" si="7"/>
        <v/>
      </c>
      <c r="K156" t="e">
        <f t="shared" ca="1" si="8"/>
        <v>#VALUE!</v>
      </c>
      <c r="L156">
        <f>IF($A156="","",IF($E156&lt;&gt;"",0,IF(COUNTIFS(個体台帳!$A:$A,$B156,個体台帳!$E:$E,"&lt;&gt;貸出中")&gt;0,1,0)))</f>
        <v>1</v>
      </c>
      <c r="M156">
        <f>IF($A156="","",IF($E156&lt;&gt;"",0,IF(COUNTIFS(個体台帳!$A:$A,$B156,個体台帳!$E:$E,"廃棄")&gt;0,1,0)))</f>
        <v>0</v>
      </c>
    </row>
    <row r="157" spans="1:13">
      <c r="A157" t="s">
        <v>708</v>
      </c>
      <c r="B157" t="s">
        <v>6</v>
      </c>
      <c r="C157" t="s">
        <v>6</v>
      </c>
      <c r="D157" s="12" t="s">
        <v>6</v>
      </c>
      <c r="E157" s="11" t="s">
        <v>6</v>
      </c>
      <c r="F157" s="16" t="s">
        <v>6</v>
      </c>
      <c r="G157" t="s">
        <v>6</v>
      </c>
      <c r="H157" t="s">
        <v>6</v>
      </c>
      <c r="I157">
        <f t="shared" si="6"/>
        <v>1</v>
      </c>
      <c r="J157" t="str">
        <f t="shared" ca="1" si="7"/>
        <v/>
      </c>
      <c r="K157" t="e">
        <f t="shared" ca="1" si="8"/>
        <v>#VALUE!</v>
      </c>
      <c r="L157">
        <f>IF($A157="","",IF($E157&lt;&gt;"",0,IF(COUNTIFS(個体台帳!$A:$A,$B157,個体台帳!$E:$E,"&lt;&gt;貸出中")&gt;0,1,0)))</f>
        <v>1</v>
      </c>
      <c r="M157">
        <f>IF($A157="","",IF($E157&lt;&gt;"",0,IF(COUNTIFS(個体台帳!$A:$A,$B157,個体台帳!$E:$E,"廃棄")&gt;0,1,0)))</f>
        <v>0</v>
      </c>
    </row>
    <row r="158" spans="1:13">
      <c r="A158" t="s">
        <v>709</v>
      </c>
      <c r="B158" t="s">
        <v>6</v>
      </c>
      <c r="C158" t="s">
        <v>6</v>
      </c>
      <c r="D158" s="12" t="s">
        <v>6</v>
      </c>
      <c r="E158" s="11" t="s">
        <v>6</v>
      </c>
      <c r="F158" s="16" t="s">
        <v>6</v>
      </c>
      <c r="G158" t="s">
        <v>6</v>
      </c>
      <c r="H158" t="s">
        <v>6</v>
      </c>
      <c r="I158">
        <f t="shared" si="6"/>
        <v>1</v>
      </c>
      <c r="J158" t="str">
        <f t="shared" ca="1" si="7"/>
        <v/>
      </c>
      <c r="K158" t="e">
        <f t="shared" ca="1" si="8"/>
        <v>#VALUE!</v>
      </c>
      <c r="L158">
        <f>IF($A158="","",IF($E158&lt;&gt;"",0,IF(COUNTIFS(個体台帳!$A:$A,$B158,個体台帳!$E:$E,"&lt;&gt;貸出中")&gt;0,1,0)))</f>
        <v>1</v>
      </c>
      <c r="M158">
        <f>IF($A158="","",IF($E158&lt;&gt;"",0,IF(COUNTIFS(個体台帳!$A:$A,$B158,個体台帳!$E:$E,"廃棄")&gt;0,1,0)))</f>
        <v>0</v>
      </c>
    </row>
    <row r="159" spans="1:13">
      <c r="A159" t="s">
        <v>710</v>
      </c>
      <c r="B159" t="s">
        <v>6</v>
      </c>
      <c r="C159" t="s">
        <v>6</v>
      </c>
      <c r="D159" s="12" t="s">
        <v>6</v>
      </c>
      <c r="E159" s="11" t="s">
        <v>6</v>
      </c>
      <c r="F159" s="16" t="s">
        <v>6</v>
      </c>
      <c r="G159" t="s">
        <v>6</v>
      </c>
      <c r="H159" t="s">
        <v>6</v>
      </c>
      <c r="I159">
        <f t="shared" si="6"/>
        <v>1</v>
      </c>
      <c r="J159" t="str">
        <f t="shared" ca="1" si="7"/>
        <v/>
      </c>
      <c r="K159" t="e">
        <f t="shared" ca="1" si="8"/>
        <v>#VALUE!</v>
      </c>
      <c r="L159">
        <f>IF($A159="","",IF($E159&lt;&gt;"",0,IF(COUNTIFS(個体台帳!$A:$A,$B159,個体台帳!$E:$E,"&lt;&gt;貸出中")&gt;0,1,0)))</f>
        <v>1</v>
      </c>
      <c r="M159">
        <f>IF($A159="","",IF($E159&lt;&gt;"",0,IF(COUNTIFS(個体台帳!$A:$A,$B159,個体台帳!$E:$E,"廃棄")&gt;0,1,0)))</f>
        <v>0</v>
      </c>
    </row>
    <row r="160" spans="1:13">
      <c r="A160" t="s">
        <v>711</v>
      </c>
      <c r="B160" t="s">
        <v>6</v>
      </c>
      <c r="C160" t="s">
        <v>6</v>
      </c>
      <c r="D160" s="12" t="s">
        <v>6</v>
      </c>
      <c r="E160" s="11" t="s">
        <v>6</v>
      </c>
      <c r="F160" s="16" t="s">
        <v>6</v>
      </c>
      <c r="G160" t="s">
        <v>6</v>
      </c>
      <c r="H160" t="s">
        <v>6</v>
      </c>
      <c r="I160">
        <f t="shared" si="6"/>
        <v>1</v>
      </c>
      <c r="J160" t="str">
        <f t="shared" ca="1" si="7"/>
        <v/>
      </c>
      <c r="K160" t="e">
        <f t="shared" ca="1" si="8"/>
        <v>#VALUE!</v>
      </c>
      <c r="L160">
        <f>IF($A160="","",IF($E160&lt;&gt;"",0,IF(COUNTIFS(個体台帳!$A:$A,$B160,個体台帳!$E:$E,"&lt;&gt;貸出中")&gt;0,1,0)))</f>
        <v>1</v>
      </c>
      <c r="M160">
        <f>IF($A160="","",IF($E160&lt;&gt;"",0,IF(COUNTIFS(個体台帳!$A:$A,$B160,個体台帳!$E:$E,"廃棄")&gt;0,1,0)))</f>
        <v>0</v>
      </c>
    </row>
    <row r="161" spans="1:13">
      <c r="A161" t="s">
        <v>712</v>
      </c>
      <c r="B161" t="s">
        <v>6</v>
      </c>
      <c r="C161" t="s">
        <v>6</v>
      </c>
      <c r="D161" s="12" t="s">
        <v>6</v>
      </c>
      <c r="E161" s="11" t="s">
        <v>6</v>
      </c>
      <c r="F161" s="16" t="s">
        <v>6</v>
      </c>
      <c r="G161" t="s">
        <v>6</v>
      </c>
      <c r="H161" t="s">
        <v>6</v>
      </c>
      <c r="I161">
        <f t="shared" si="6"/>
        <v>1</v>
      </c>
      <c r="J161" t="str">
        <f t="shared" ca="1" si="7"/>
        <v/>
      </c>
      <c r="K161" t="e">
        <f t="shared" ca="1" si="8"/>
        <v>#VALUE!</v>
      </c>
      <c r="L161">
        <f>IF($A161="","",IF($E161&lt;&gt;"",0,IF(COUNTIFS(個体台帳!$A:$A,$B161,個体台帳!$E:$E,"&lt;&gt;貸出中")&gt;0,1,0)))</f>
        <v>1</v>
      </c>
      <c r="M161">
        <f>IF($A161="","",IF($E161&lt;&gt;"",0,IF(COUNTIFS(個体台帳!$A:$A,$B161,個体台帳!$E:$E,"廃棄")&gt;0,1,0)))</f>
        <v>0</v>
      </c>
    </row>
    <row r="162" spans="1:13">
      <c r="A162" t="s">
        <v>713</v>
      </c>
      <c r="B162" t="s">
        <v>6</v>
      </c>
      <c r="C162" t="s">
        <v>6</v>
      </c>
      <c r="D162" s="12" t="s">
        <v>6</v>
      </c>
      <c r="E162" s="11" t="s">
        <v>6</v>
      </c>
      <c r="F162" s="16" t="s">
        <v>6</v>
      </c>
      <c r="G162" t="s">
        <v>6</v>
      </c>
      <c r="H162" t="s">
        <v>6</v>
      </c>
      <c r="I162">
        <f t="shared" si="6"/>
        <v>1</v>
      </c>
      <c r="J162" t="str">
        <f t="shared" ca="1" si="7"/>
        <v/>
      </c>
      <c r="K162" t="e">
        <f t="shared" ca="1" si="8"/>
        <v>#VALUE!</v>
      </c>
      <c r="L162">
        <f>IF($A162="","",IF($E162&lt;&gt;"",0,IF(COUNTIFS(個体台帳!$A:$A,$B162,個体台帳!$E:$E,"&lt;&gt;貸出中")&gt;0,1,0)))</f>
        <v>1</v>
      </c>
      <c r="M162">
        <f>IF($A162="","",IF($E162&lt;&gt;"",0,IF(COUNTIFS(個体台帳!$A:$A,$B162,個体台帳!$E:$E,"廃棄")&gt;0,1,0)))</f>
        <v>0</v>
      </c>
    </row>
    <row r="163" spans="1:13">
      <c r="A163" t="s">
        <v>714</v>
      </c>
      <c r="B163" t="s">
        <v>6</v>
      </c>
      <c r="C163" t="s">
        <v>6</v>
      </c>
      <c r="D163" s="12" t="s">
        <v>6</v>
      </c>
      <c r="E163" s="11" t="s">
        <v>6</v>
      </c>
      <c r="F163" s="16" t="s">
        <v>6</v>
      </c>
      <c r="G163" t="s">
        <v>6</v>
      </c>
      <c r="H163" t="s">
        <v>6</v>
      </c>
      <c r="I163">
        <f t="shared" si="6"/>
        <v>1</v>
      </c>
      <c r="J163" t="str">
        <f t="shared" ca="1" si="7"/>
        <v/>
      </c>
      <c r="K163" t="e">
        <f t="shared" ca="1" si="8"/>
        <v>#VALUE!</v>
      </c>
      <c r="L163">
        <f>IF($A163="","",IF($E163&lt;&gt;"",0,IF(COUNTIFS(個体台帳!$A:$A,$B163,個体台帳!$E:$E,"&lt;&gt;貸出中")&gt;0,1,0)))</f>
        <v>1</v>
      </c>
      <c r="M163">
        <f>IF($A163="","",IF($E163&lt;&gt;"",0,IF(COUNTIFS(個体台帳!$A:$A,$B163,個体台帳!$E:$E,"廃棄")&gt;0,1,0)))</f>
        <v>0</v>
      </c>
    </row>
    <row r="164" spans="1:13">
      <c r="A164" t="s">
        <v>715</v>
      </c>
      <c r="B164" t="s">
        <v>6</v>
      </c>
      <c r="C164" t="s">
        <v>6</v>
      </c>
      <c r="D164" s="12" t="s">
        <v>6</v>
      </c>
      <c r="E164" s="11" t="s">
        <v>6</v>
      </c>
      <c r="F164" s="16" t="s">
        <v>6</v>
      </c>
      <c r="G164" t="s">
        <v>6</v>
      </c>
      <c r="H164" t="s">
        <v>6</v>
      </c>
      <c r="I164">
        <f t="shared" si="6"/>
        <v>1</v>
      </c>
      <c r="J164" t="str">
        <f t="shared" ca="1" si="7"/>
        <v/>
      </c>
      <c r="K164" t="e">
        <f t="shared" ca="1" si="8"/>
        <v>#VALUE!</v>
      </c>
      <c r="L164">
        <f>IF($A164="","",IF($E164&lt;&gt;"",0,IF(COUNTIFS(個体台帳!$A:$A,$B164,個体台帳!$E:$E,"&lt;&gt;貸出中")&gt;0,1,0)))</f>
        <v>1</v>
      </c>
      <c r="M164">
        <f>IF($A164="","",IF($E164&lt;&gt;"",0,IF(COUNTIFS(個体台帳!$A:$A,$B164,個体台帳!$E:$E,"廃棄")&gt;0,1,0)))</f>
        <v>0</v>
      </c>
    </row>
    <row r="165" spans="1:13">
      <c r="A165" t="s">
        <v>716</v>
      </c>
      <c r="B165" t="s">
        <v>6</v>
      </c>
      <c r="C165" t="s">
        <v>6</v>
      </c>
      <c r="D165" s="12" t="s">
        <v>6</v>
      </c>
      <c r="E165" s="11" t="s">
        <v>6</v>
      </c>
      <c r="F165" s="16" t="s">
        <v>6</v>
      </c>
      <c r="G165" t="s">
        <v>6</v>
      </c>
      <c r="H165" t="s">
        <v>6</v>
      </c>
      <c r="I165">
        <f t="shared" si="6"/>
        <v>1</v>
      </c>
      <c r="J165" t="str">
        <f t="shared" ca="1" si="7"/>
        <v/>
      </c>
      <c r="K165" t="e">
        <f t="shared" ca="1" si="8"/>
        <v>#VALUE!</v>
      </c>
      <c r="L165">
        <f>IF($A165="","",IF($E165&lt;&gt;"",0,IF(COUNTIFS(個体台帳!$A:$A,$B165,個体台帳!$E:$E,"&lt;&gt;貸出中")&gt;0,1,0)))</f>
        <v>1</v>
      </c>
      <c r="M165">
        <f>IF($A165="","",IF($E165&lt;&gt;"",0,IF(COUNTIFS(個体台帳!$A:$A,$B165,個体台帳!$E:$E,"廃棄")&gt;0,1,0)))</f>
        <v>0</v>
      </c>
    </row>
    <row r="166" spans="1:13">
      <c r="A166" t="s">
        <v>717</v>
      </c>
      <c r="B166" t="s">
        <v>6</v>
      </c>
      <c r="C166" t="s">
        <v>6</v>
      </c>
      <c r="D166" s="12" t="s">
        <v>6</v>
      </c>
      <c r="E166" s="11" t="s">
        <v>6</v>
      </c>
      <c r="F166" s="16" t="s">
        <v>6</v>
      </c>
      <c r="G166" t="s">
        <v>6</v>
      </c>
      <c r="H166" t="s">
        <v>6</v>
      </c>
      <c r="I166">
        <f t="shared" si="6"/>
        <v>1</v>
      </c>
      <c r="J166" t="str">
        <f t="shared" ca="1" si="7"/>
        <v/>
      </c>
      <c r="K166" t="e">
        <f t="shared" ca="1" si="8"/>
        <v>#VALUE!</v>
      </c>
      <c r="L166">
        <f>IF($A166="","",IF($E166&lt;&gt;"",0,IF(COUNTIFS(個体台帳!$A:$A,$B166,個体台帳!$E:$E,"&lt;&gt;貸出中")&gt;0,1,0)))</f>
        <v>1</v>
      </c>
      <c r="M166">
        <f>IF($A166="","",IF($E166&lt;&gt;"",0,IF(COUNTIFS(個体台帳!$A:$A,$B166,個体台帳!$E:$E,"廃棄")&gt;0,1,0)))</f>
        <v>0</v>
      </c>
    </row>
    <row r="167" spans="1:13">
      <c r="A167" t="s">
        <v>718</v>
      </c>
      <c r="B167" t="s">
        <v>6</v>
      </c>
      <c r="C167" t="s">
        <v>6</v>
      </c>
      <c r="D167" s="12" t="s">
        <v>6</v>
      </c>
      <c r="E167" s="11" t="s">
        <v>6</v>
      </c>
      <c r="F167" s="16" t="s">
        <v>6</v>
      </c>
      <c r="G167" t="s">
        <v>6</v>
      </c>
      <c r="H167" t="s">
        <v>6</v>
      </c>
      <c r="I167">
        <f t="shared" si="6"/>
        <v>1</v>
      </c>
      <c r="J167" t="str">
        <f t="shared" ca="1" si="7"/>
        <v/>
      </c>
      <c r="K167" t="e">
        <f t="shared" ca="1" si="8"/>
        <v>#VALUE!</v>
      </c>
      <c r="L167">
        <f>IF($A167="","",IF($E167&lt;&gt;"",0,IF(COUNTIFS(個体台帳!$A:$A,$B167,個体台帳!$E:$E,"&lt;&gt;貸出中")&gt;0,1,0)))</f>
        <v>1</v>
      </c>
      <c r="M167">
        <f>IF($A167="","",IF($E167&lt;&gt;"",0,IF(COUNTIFS(個体台帳!$A:$A,$B167,個体台帳!$E:$E,"廃棄")&gt;0,1,0)))</f>
        <v>0</v>
      </c>
    </row>
    <row r="168" spans="1:13">
      <c r="A168" t="s">
        <v>719</v>
      </c>
      <c r="B168" t="s">
        <v>6</v>
      </c>
      <c r="C168" t="s">
        <v>6</v>
      </c>
      <c r="D168" s="12" t="s">
        <v>6</v>
      </c>
      <c r="E168" s="11" t="s">
        <v>6</v>
      </c>
      <c r="F168" s="16" t="s">
        <v>6</v>
      </c>
      <c r="G168" t="s">
        <v>6</v>
      </c>
      <c r="H168" t="s">
        <v>6</v>
      </c>
      <c r="I168">
        <f t="shared" si="6"/>
        <v>1</v>
      </c>
      <c r="J168" t="str">
        <f t="shared" ca="1" si="7"/>
        <v/>
      </c>
      <c r="K168" t="e">
        <f t="shared" ca="1" si="8"/>
        <v>#VALUE!</v>
      </c>
      <c r="L168">
        <f>IF($A168="","",IF($E168&lt;&gt;"",0,IF(COUNTIFS(個体台帳!$A:$A,$B168,個体台帳!$E:$E,"&lt;&gt;貸出中")&gt;0,1,0)))</f>
        <v>1</v>
      </c>
      <c r="M168">
        <f>IF($A168="","",IF($E168&lt;&gt;"",0,IF(COUNTIFS(個体台帳!$A:$A,$B168,個体台帳!$E:$E,"廃棄")&gt;0,1,0)))</f>
        <v>0</v>
      </c>
    </row>
    <row r="169" spans="1:13">
      <c r="A169" t="s">
        <v>720</v>
      </c>
      <c r="B169" t="s">
        <v>6</v>
      </c>
      <c r="C169" t="s">
        <v>6</v>
      </c>
      <c r="D169" s="12" t="s">
        <v>6</v>
      </c>
      <c r="E169" s="11" t="s">
        <v>6</v>
      </c>
      <c r="F169" s="16" t="s">
        <v>6</v>
      </c>
      <c r="G169" t="s">
        <v>6</v>
      </c>
      <c r="H169" t="s">
        <v>6</v>
      </c>
      <c r="I169">
        <f t="shared" si="6"/>
        <v>1</v>
      </c>
      <c r="J169" t="str">
        <f t="shared" ca="1" si="7"/>
        <v/>
      </c>
      <c r="K169" t="e">
        <f t="shared" ca="1" si="8"/>
        <v>#VALUE!</v>
      </c>
      <c r="L169">
        <f>IF($A169="","",IF($E169&lt;&gt;"",0,IF(COUNTIFS(個体台帳!$A:$A,$B169,個体台帳!$E:$E,"&lt;&gt;貸出中")&gt;0,1,0)))</f>
        <v>1</v>
      </c>
      <c r="M169">
        <f>IF($A169="","",IF($E169&lt;&gt;"",0,IF(COUNTIFS(個体台帳!$A:$A,$B169,個体台帳!$E:$E,"廃棄")&gt;0,1,0)))</f>
        <v>0</v>
      </c>
    </row>
    <row r="170" spans="1:13">
      <c r="A170" t="s">
        <v>721</v>
      </c>
      <c r="B170" t="s">
        <v>6</v>
      </c>
      <c r="C170" t="s">
        <v>6</v>
      </c>
      <c r="D170" s="12" t="s">
        <v>6</v>
      </c>
      <c r="E170" s="11" t="s">
        <v>6</v>
      </c>
      <c r="F170" s="16" t="s">
        <v>6</v>
      </c>
      <c r="G170" t="s">
        <v>6</v>
      </c>
      <c r="H170" t="s">
        <v>6</v>
      </c>
      <c r="I170">
        <f t="shared" si="6"/>
        <v>1</v>
      </c>
      <c r="J170" t="str">
        <f t="shared" ca="1" si="7"/>
        <v/>
      </c>
      <c r="K170" t="e">
        <f t="shared" ca="1" si="8"/>
        <v>#VALUE!</v>
      </c>
      <c r="L170">
        <f>IF($A170="","",IF($E170&lt;&gt;"",0,IF(COUNTIFS(個体台帳!$A:$A,$B170,個体台帳!$E:$E,"&lt;&gt;貸出中")&gt;0,1,0)))</f>
        <v>1</v>
      </c>
      <c r="M170">
        <f>IF($A170="","",IF($E170&lt;&gt;"",0,IF(COUNTIFS(個体台帳!$A:$A,$B170,個体台帳!$E:$E,"廃棄")&gt;0,1,0)))</f>
        <v>0</v>
      </c>
    </row>
    <row r="171" spans="1:13">
      <c r="A171" t="s">
        <v>722</v>
      </c>
      <c r="B171" t="s">
        <v>6</v>
      </c>
      <c r="C171" t="s">
        <v>6</v>
      </c>
      <c r="D171" s="12" t="s">
        <v>6</v>
      </c>
      <c r="E171" s="11" t="s">
        <v>6</v>
      </c>
      <c r="F171" s="16" t="s">
        <v>6</v>
      </c>
      <c r="G171" t="s">
        <v>6</v>
      </c>
      <c r="H171" t="s">
        <v>6</v>
      </c>
      <c r="I171">
        <f t="shared" si="6"/>
        <v>1</v>
      </c>
      <c r="J171" t="str">
        <f t="shared" ca="1" si="7"/>
        <v/>
      </c>
      <c r="K171" t="e">
        <f t="shared" ca="1" si="8"/>
        <v>#VALUE!</v>
      </c>
      <c r="L171">
        <f>IF($A171="","",IF($E171&lt;&gt;"",0,IF(COUNTIFS(個体台帳!$A:$A,$B171,個体台帳!$E:$E,"&lt;&gt;貸出中")&gt;0,1,0)))</f>
        <v>1</v>
      </c>
      <c r="M171">
        <f>IF($A171="","",IF($E171&lt;&gt;"",0,IF(COUNTIFS(個体台帳!$A:$A,$B171,個体台帳!$E:$E,"廃棄")&gt;0,1,0)))</f>
        <v>0</v>
      </c>
    </row>
    <row r="172" spans="1:13">
      <c r="A172" t="s">
        <v>723</v>
      </c>
      <c r="B172" t="s">
        <v>6</v>
      </c>
      <c r="C172" t="s">
        <v>6</v>
      </c>
      <c r="D172" s="12" t="s">
        <v>6</v>
      </c>
      <c r="E172" s="11" t="s">
        <v>6</v>
      </c>
      <c r="F172" s="16" t="s">
        <v>6</v>
      </c>
      <c r="G172" t="s">
        <v>6</v>
      </c>
      <c r="H172" t="s">
        <v>6</v>
      </c>
      <c r="I172">
        <f t="shared" si="6"/>
        <v>1</v>
      </c>
      <c r="J172" t="str">
        <f t="shared" ca="1" si="7"/>
        <v/>
      </c>
      <c r="K172" t="e">
        <f t="shared" ca="1" si="8"/>
        <v>#VALUE!</v>
      </c>
      <c r="L172">
        <f>IF($A172="","",IF($E172&lt;&gt;"",0,IF(COUNTIFS(個体台帳!$A:$A,$B172,個体台帳!$E:$E,"&lt;&gt;貸出中")&gt;0,1,0)))</f>
        <v>1</v>
      </c>
      <c r="M172">
        <f>IF($A172="","",IF($E172&lt;&gt;"",0,IF(COUNTIFS(個体台帳!$A:$A,$B172,個体台帳!$E:$E,"廃棄")&gt;0,1,0)))</f>
        <v>0</v>
      </c>
    </row>
    <row r="173" spans="1:13">
      <c r="A173" t="s">
        <v>724</v>
      </c>
      <c r="B173" t="s">
        <v>6</v>
      </c>
      <c r="C173" t="s">
        <v>6</v>
      </c>
      <c r="D173" s="12" t="s">
        <v>6</v>
      </c>
      <c r="E173" s="11" t="s">
        <v>6</v>
      </c>
      <c r="F173" s="16" t="s">
        <v>6</v>
      </c>
      <c r="G173" t="s">
        <v>6</v>
      </c>
      <c r="H173" t="s">
        <v>6</v>
      </c>
      <c r="I173">
        <f t="shared" si="6"/>
        <v>1</v>
      </c>
      <c r="J173" t="str">
        <f t="shared" ca="1" si="7"/>
        <v/>
      </c>
      <c r="K173" t="e">
        <f t="shared" ca="1" si="8"/>
        <v>#VALUE!</v>
      </c>
      <c r="L173">
        <f>IF($A173="","",IF($E173&lt;&gt;"",0,IF(COUNTIFS(個体台帳!$A:$A,$B173,個体台帳!$E:$E,"&lt;&gt;貸出中")&gt;0,1,0)))</f>
        <v>1</v>
      </c>
      <c r="M173">
        <f>IF($A173="","",IF($E173&lt;&gt;"",0,IF(COUNTIFS(個体台帳!$A:$A,$B173,個体台帳!$E:$E,"廃棄")&gt;0,1,0)))</f>
        <v>0</v>
      </c>
    </row>
    <row r="174" spans="1:13">
      <c r="A174" t="s">
        <v>725</v>
      </c>
      <c r="B174" t="s">
        <v>6</v>
      </c>
      <c r="C174" t="s">
        <v>6</v>
      </c>
      <c r="D174" s="12" t="s">
        <v>6</v>
      </c>
      <c r="E174" s="11" t="s">
        <v>6</v>
      </c>
      <c r="F174" s="16" t="s">
        <v>6</v>
      </c>
      <c r="G174" t="s">
        <v>6</v>
      </c>
      <c r="H174" t="s">
        <v>6</v>
      </c>
      <c r="I174">
        <f t="shared" si="6"/>
        <v>1</v>
      </c>
      <c r="J174" t="str">
        <f t="shared" ca="1" si="7"/>
        <v/>
      </c>
      <c r="K174" t="e">
        <f t="shared" ca="1" si="8"/>
        <v>#VALUE!</v>
      </c>
      <c r="L174">
        <f>IF($A174="","",IF($E174&lt;&gt;"",0,IF(COUNTIFS(個体台帳!$A:$A,$B174,個体台帳!$E:$E,"&lt;&gt;貸出中")&gt;0,1,0)))</f>
        <v>1</v>
      </c>
      <c r="M174">
        <f>IF($A174="","",IF($E174&lt;&gt;"",0,IF(COUNTIFS(個体台帳!$A:$A,$B174,個体台帳!$E:$E,"廃棄")&gt;0,1,0)))</f>
        <v>0</v>
      </c>
    </row>
    <row r="175" spans="1:13">
      <c r="A175" t="s">
        <v>726</v>
      </c>
      <c r="B175" t="s">
        <v>6</v>
      </c>
      <c r="C175" t="s">
        <v>6</v>
      </c>
      <c r="D175" s="12" t="s">
        <v>6</v>
      </c>
      <c r="E175" s="11" t="s">
        <v>6</v>
      </c>
      <c r="F175" s="16" t="s">
        <v>6</v>
      </c>
      <c r="G175" t="s">
        <v>6</v>
      </c>
      <c r="H175" t="s">
        <v>6</v>
      </c>
      <c r="I175">
        <f t="shared" si="6"/>
        <v>1</v>
      </c>
      <c r="J175" t="str">
        <f t="shared" ca="1" si="7"/>
        <v/>
      </c>
      <c r="K175" t="e">
        <f t="shared" ca="1" si="8"/>
        <v>#VALUE!</v>
      </c>
      <c r="L175">
        <f>IF($A175="","",IF($E175&lt;&gt;"",0,IF(COUNTIFS(個体台帳!$A:$A,$B175,個体台帳!$E:$E,"&lt;&gt;貸出中")&gt;0,1,0)))</f>
        <v>1</v>
      </c>
      <c r="M175">
        <f>IF($A175="","",IF($E175&lt;&gt;"",0,IF(COUNTIFS(個体台帳!$A:$A,$B175,個体台帳!$E:$E,"廃棄")&gt;0,1,0)))</f>
        <v>0</v>
      </c>
    </row>
    <row r="176" spans="1:13">
      <c r="A176" t="s">
        <v>727</v>
      </c>
      <c r="B176" t="s">
        <v>6</v>
      </c>
      <c r="C176" t="s">
        <v>6</v>
      </c>
      <c r="D176" s="12" t="s">
        <v>6</v>
      </c>
      <c r="E176" s="11" t="s">
        <v>6</v>
      </c>
      <c r="F176" s="16" t="s">
        <v>6</v>
      </c>
      <c r="G176" t="s">
        <v>6</v>
      </c>
      <c r="H176" t="s">
        <v>6</v>
      </c>
      <c r="I176">
        <f t="shared" si="6"/>
        <v>1</v>
      </c>
      <c r="J176" t="str">
        <f t="shared" ca="1" si="7"/>
        <v/>
      </c>
      <c r="K176" t="e">
        <f t="shared" ca="1" si="8"/>
        <v>#VALUE!</v>
      </c>
      <c r="L176">
        <f>IF($A176="","",IF($E176&lt;&gt;"",0,IF(COUNTIFS(個体台帳!$A:$A,$B176,個体台帳!$E:$E,"&lt;&gt;貸出中")&gt;0,1,0)))</f>
        <v>1</v>
      </c>
      <c r="M176">
        <f>IF($A176="","",IF($E176&lt;&gt;"",0,IF(COUNTIFS(個体台帳!$A:$A,$B176,個体台帳!$E:$E,"廃棄")&gt;0,1,0)))</f>
        <v>0</v>
      </c>
    </row>
    <row r="177" spans="1:13">
      <c r="A177" t="s">
        <v>728</v>
      </c>
      <c r="B177" t="s">
        <v>6</v>
      </c>
      <c r="C177" t="s">
        <v>6</v>
      </c>
      <c r="D177" s="12" t="s">
        <v>6</v>
      </c>
      <c r="E177" s="11" t="s">
        <v>6</v>
      </c>
      <c r="F177" s="16" t="s">
        <v>6</v>
      </c>
      <c r="G177" t="s">
        <v>6</v>
      </c>
      <c r="H177" t="s">
        <v>6</v>
      </c>
      <c r="I177">
        <f t="shared" si="6"/>
        <v>1</v>
      </c>
      <c r="J177" t="str">
        <f t="shared" ca="1" si="7"/>
        <v/>
      </c>
      <c r="K177" t="e">
        <f t="shared" ca="1" si="8"/>
        <v>#VALUE!</v>
      </c>
      <c r="L177">
        <f>IF($A177="","",IF($E177&lt;&gt;"",0,IF(COUNTIFS(個体台帳!$A:$A,$B177,個体台帳!$E:$E,"&lt;&gt;貸出中")&gt;0,1,0)))</f>
        <v>1</v>
      </c>
      <c r="M177">
        <f>IF($A177="","",IF($E177&lt;&gt;"",0,IF(COUNTIFS(個体台帳!$A:$A,$B177,個体台帳!$E:$E,"廃棄")&gt;0,1,0)))</f>
        <v>0</v>
      </c>
    </row>
    <row r="178" spans="1:13">
      <c r="A178" t="s">
        <v>729</v>
      </c>
      <c r="B178" t="s">
        <v>6</v>
      </c>
      <c r="C178" t="s">
        <v>6</v>
      </c>
      <c r="D178" s="12" t="s">
        <v>6</v>
      </c>
      <c r="E178" s="11" t="s">
        <v>6</v>
      </c>
      <c r="F178" s="16" t="s">
        <v>6</v>
      </c>
      <c r="G178" t="s">
        <v>6</v>
      </c>
      <c r="H178" t="s">
        <v>6</v>
      </c>
      <c r="I178">
        <f t="shared" si="6"/>
        <v>1</v>
      </c>
      <c r="J178" t="str">
        <f t="shared" ca="1" si="7"/>
        <v/>
      </c>
      <c r="K178" t="e">
        <f t="shared" ca="1" si="8"/>
        <v>#VALUE!</v>
      </c>
      <c r="L178">
        <f>IF($A178="","",IF($E178&lt;&gt;"",0,IF(COUNTIFS(個体台帳!$A:$A,$B178,個体台帳!$E:$E,"&lt;&gt;貸出中")&gt;0,1,0)))</f>
        <v>1</v>
      </c>
      <c r="M178">
        <f>IF($A178="","",IF($E178&lt;&gt;"",0,IF(COUNTIFS(個体台帳!$A:$A,$B178,個体台帳!$E:$E,"廃棄")&gt;0,1,0)))</f>
        <v>0</v>
      </c>
    </row>
    <row r="179" spans="1:13">
      <c r="A179" t="s">
        <v>730</v>
      </c>
      <c r="B179" t="s">
        <v>6</v>
      </c>
      <c r="C179" t="s">
        <v>6</v>
      </c>
      <c r="D179" s="12" t="s">
        <v>6</v>
      </c>
      <c r="E179" s="11" t="s">
        <v>6</v>
      </c>
      <c r="F179" s="16" t="s">
        <v>6</v>
      </c>
      <c r="G179" t="s">
        <v>6</v>
      </c>
      <c r="H179" t="s">
        <v>6</v>
      </c>
      <c r="I179">
        <f t="shared" si="6"/>
        <v>1</v>
      </c>
      <c r="J179" t="str">
        <f t="shared" ca="1" si="7"/>
        <v/>
      </c>
      <c r="K179" t="e">
        <f t="shared" ca="1" si="8"/>
        <v>#VALUE!</v>
      </c>
      <c r="L179">
        <f>IF($A179="","",IF($E179&lt;&gt;"",0,IF(COUNTIFS(個体台帳!$A:$A,$B179,個体台帳!$E:$E,"&lt;&gt;貸出中")&gt;0,1,0)))</f>
        <v>1</v>
      </c>
      <c r="M179">
        <f>IF($A179="","",IF($E179&lt;&gt;"",0,IF(COUNTIFS(個体台帳!$A:$A,$B179,個体台帳!$E:$E,"廃棄")&gt;0,1,0)))</f>
        <v>0</v>
      </c>
    </row>
    <row r="180" spans="1:13">
      <c r="A180" t="s">
        <v>731</v>
      </c>
      <c r="B180" t="s">
        <v>6</v>
      </c>
      <c r="C180" t="s">
        <v>6</v>
      </c>
      <c r="D180" s="12" t="s">
        <v>6</v>
      </c>
      <c r="E180" s="11" t="s">
        <v>6</v>
      </c>
      <c r="F180" s="16" t="s">
        <v>6</v>
      </c>
      <c r="G180" t="s">
        <v>6</v>
      </c>
      <c r="H180" t="s">
        <v>6</v>
      </c>
      <c r="I180">
        <f t="shared" si="6"/>
        <v>1</v>
      </c>
      <c r="J180" t="str">
        <f t="shared" ca="1" si="7"/>
        <v/>
      </c>
      <c r="K180" t="e">
        <f t="shared" ca="1" si="8"/>
        <v>#VALUE!</v>
      </c>
      <c r="L180">
        <f>IF($A180="","",IF($E180&lt;&gt;"",0,IF(COUNTIFS(個体台帳!$A:$A,$B180,個体台帳!$E:$E,"&lt;&gt;貸出中")&gt;0,1,0)))</f>
        <v>1</v>
      </c>
      <c r="M180">
        <f>IF($A180="","",IF($E180&lt;&gt;"",0,IF(COUNTIFS(個体台帳!$A:$A,$B180,個体台帳!$E:$E,"廃棄")&gt;0,1,0)))</f>
        <v>0</v>
      </c>
    </row>
    <row r="181" spans="1:13">
      <c r="A181" t="s">
        <v>732</v>
      </c>
      <c r="B181" t="s">
        <v>6</v>
      </c>
      <c r="C181" t="s">
        <v>6</v>
      </c>
      <c r="D181" s="12" t="s">
        <v>6</v>
      </c>
      <c r="E181" s="11" t="s">
        <v>6</v>
      </c>
      <c r="F181" s="16" t="s">
        <v>6</v>
      </c>
      <c r="G181" t="s">
        <v>6</v>
      </c>
      <c r="H181" t="s">
        <v>6</v>
      </c>
      <c r="I181">
        <f t="shared" si="6"/>
        <v>1</v>
      </c>
      <c r="J181" t="str">
        <f t="shared" ca="1" si="7"/>
        <v/>
      </c>
      <c r="K181" t="e">
        <f t="shared" ca="1" si="8"/>
        <v>#VALUE!</v>
      </c>
      <c r="L181">
        <f>IF($A181="","",IF($E181&lt;&gt;"",0,IF(COUNTIFS(個体台帳!$A:$A,$B181,個体台帳!$E:$E,"&lt;&gt;貸出中")&gt;0,1,0)))</f>
        <v>1</v>
      </c>
      <c r="M181">
        <f>IF($A181="","",IF($E181&lt;&gt;"",0,IF(COUNTIFS(個体台帳!$A:$A,$B181,個体台帳!$E:$E,"廃棄")&gt;0,1,0)))</f>
        <v>0</v>
      </c>
    </row>
    <row r="182" spans="1:13">
      <c r="A182" t="s">
        <v>733</v>
      </c>
      <c r="B182" t="s">
        <v>6</v>
      </c>
      <c r="C182" t="s">
        <v>6</v>
      </c>
      <c r="D182" s="12" t="s">
        <v>6</v>
      </c>
      <c r="E182" s="11" t="s">
        <v>6</v>
      </c>
      <c r="F182" s="16" t="s">
        <v>6</v>
      </c>
      <c r="G182" t="s">
        <v>6</v>
      </c>
      <c r="H182" t="s">
        <v>6</v>
      </c>
      <c r="I182">
        <f t="shared" si="6"/>
        <v>1</v>
      </c>
      <c r="J182" t="str">
        <f t="shared" ca="1" si="7"/>
        <v/>
      </c>
      <c r="K182" t="e">
        <f t="shared" ca="1" si="8"/>
        <v>#VALUE!</v>
      </c>
      <c r="L182">
        <f>IF($A182="","",IF($E182&lt;&gt;"",0,IF(COUNTIFS(個体台帳!$A:$A,$B182,個体台帳!$E:$E,"&lt;&gt;貸出中")&gt;0,1,0)))</f>
        <v>1</v>
      </c>
      <c r="M182">
        <f>IF($A182="","",IF($E182&lt;&gt;"",0,IF(COUNTIFS(個体台帳!$A:$A,$B182,個体台帳!$E:$E,"廃棄")&gt;0,1,0)))</f>
        <v>0</v>
      </c>
    </row>
    <row r="183" spans="1:13">
      <c r="A183" t="s">
        <v>734</v>
      </c>
      <c r="B183" t="s">
        <v>6</v>
      </c>
      <c r="C183" t="s">
        <v>6</v>
      </c>
      <c r="D183" s="12" t="s">
        <v>6</v>
      </c>
      <c r="E183" s="11" t="s">
        <v>6</v>
      </c>
      <c r="F183" s="16" t="s">
        <v>6</v>
      </c>
      <c r="G183" t="s">
        <v>6</v>
      </c>
      <c r="H183" t="s">
        <v>6</v>
      </c>
      <c r="I183">
        <f t="shared" si="6"/>
        <v>1</v>
      </c>
      <c r="J183" t="str">
        <f t="shared" ca="1" si="7"/>
        <v/>
      </c>
      <c r="K183" t="e">
        <f t="shared" ca="1" si="8"/>
        <v>#VALUE!</v>
      </c>
      <c r="L183">
        <f>IF($A183="","",IF($E183&lt;&gt;"",0,IF(COUNTIFS(個体台帳!$A:$A,$B183,個体台帳!$E:$E,"&lt;&gt;貸出中")&gt;0,1,0)))</f>
        <v>1</v>
      </c>
      <c r="M183">
        <f>IF($A183="","",IF($E183&lt;&gt;"",0,IF(COUNTIFS(個体台帳!$A:$A,$B183,個体台帳!$E:$E,"廃棄")&gt;0,1,0)))</f>
        <v>0</v>
      </c>
    </row>
    <row r="184" spans="1:13">
      <c r="A184" t="s">
        <v>735</v>
      </c>
      <c r="B184" t="s">
        <v>6</v>
      </c>
      <c r="C184" t="s">
        <v>6</v>
      </c>
      <c r="D184" s="12" t="s">
        <v>6</v>
      </c>
      <c r="E184" s="11" t="s">
        <v>6</v>
      </c>
      <c r="F184" s="16" t="s">
        <v>6</v>
      </c>
      <c r="G184" t="s">
        <v>6</v>
      </c>
      <c r="H184" t="s">
        <v>6</v>
      </c>
      <c r="I184">
        <f t="shared" si="6"/>
        <v>1</v>
      </c>
      <c r="J184" t="str">
        <f t="shared" ca="1" si="7"/>
        <v/>
      </c>
      <c r="K184" t="e">
        <f t="shared" ca="1" si="8"/>
        <v>#VALUE!</v>
      </c>
      <c r="L184">
        <f>IF($A184="","",IF($E184&lt;&gt;"",0,IF(COUNTIFS(個体台帳!$A:$A,$B184,個体台帳!$E:$E,"&lt;&gt;貸出中")&gt;0,1,0)))</f>
        <v>1</v>
      </c>
      <c r="M184">
        <f>IF($A184="","",IF($E184&lt;&gt;"",0,IF(COUNTIFS(個体台帳!$A:$A,$B184,個体台帳!$E:$E,"廃棄")&gt;0,1,0)))</f>
        <v>0</v>
      </c>
    </row>
    <row r="185" spans="1:13">
      <c r="A185" t="s">
        <v>736</v>
      </c>
      <c r="B185" t="s">
        <v>6</v>
      </c>
      <c r="C185" t="s">
        <v>6</v>
      </c>
      <c r="D185" s="12" t="s">
        <v>6</v>
      </c>
      <c r="E185" s="11" t="s">
        <v>6</v>
      </c>
      <c r="F185" s="16" t="s">
        <v>6</v>
      </c>
      <c r="G185" t="s">
        <v>6</v>
      </c>
      <c r="H185" t="s">
        <v>6</v>
      </c>
      <c r="I185">
        <f t="shared" si="6"/>
        <v>1</v>
      </c>
      <c r="J185" t="str">
        <f t="shared" ca="1" si="7"/>
        <v/>
      </c>
      <c r="K185" t="e">
        <f t="shared" ca="1" si="8"/>
        <v>#VALUE!</v>
      </c>
      <c r="L185">
        <f>IF($A185="","",IF($E185&lt;&gt;"",0,IF(COUNTIFS(個体台帳!$A:$A,$B185,個体台帳!$E:$E,"&lt;&gt;貸出中")&gt;0,1,0)))</f>
        <v>1</v>
      </c>
      <c r="M185">
        <f>IF($A185="","",IF($E185&lt;&gt;"",0,IF(COUNTIFS(個体台帳!$A:$A,$B185,個体台帳!$E:$E,"廃棄")&gt;0,1,0)))</f>
        <v>0</v>
      </c>
    </row>
    <row r="186" spans="1:13">
      <c r="A186" t="s">
        <v>737</v>
      </c>
      <c r="B186" t="s">
        <v>6</v>
      </c>
      <c r="C186" t="s">
        <v>6</v>
      </c>
      <c r="D186" s="12" t="s">
        <v>6</v>
      </c>
      <c r="E186" s="11" t="s">
        <v>6</v>
      </c>
      <c r="F186" s="16" t="s">
        <v>6</v>
      </c>
      <c r="G186" t="s">
        <v>6</v>
      </c>
      <c r="H186" t="s">
        <v>6</v>
      </c>
      <c r="I186">
        <f t="shared" si="6"/>
        <v>1</v>
      </c>
      <c r="J186" t="str">
        <f t="shared" ca="1" si="7"/>
        <v/>
      </c>
      <c r="K186" t="e">
        <f t="shared" ca="1" si="8"/>
        <v>#VALUE!</v>
      </c>
      <c r="L186">
        <f>IF($A186="","",IF($E186&lt;&gt;"",0,IF(COUNTIFS(個体台帳!$A:$A,$B186,個体台帳!$E:$E,"&lt;&gt;貸出中")&gt;0,1,0)))</f>
        <v>1</v>
      </c>
      <c r="M186">
        <f>IF($A186="","",IF($E186&lt;&gt;"",0,IF(COUNTIFS(個体台帳!$A:$A,$B186,個体台帳!$E:$E,"廃棄")&gt;0,1,0)))</f>
        <v>0</v>
      </c>
    </row>
    <row r="187" spans="1:13">
      <c r="A187" t="s">
        <v>738</v>
      </c>
      <c r="B187" t="s">
        <v>6</v>
      </c>
      <c r="C187" t="s">
        <v>6</v>
      </c>
      <c r="D187" s="12" t="s">
        <v>6</v>
      </c>
      <c r="E187" s="11" t="s">
        <v>6</v>
      </c>
      <c r="F187" s="16" t="s">
        <v>6</v>
      </c>
      <c r="G187" t="s">
        <v>6</v>
      </c>
      <c r="H187" t="s">
        <v>6</v>
      </c>
      <c r="I187">
        <f t="shared" si="6"/>
        <v>1</v>
      </c>
      <c r="J187" t="str">
        <f t="shared" ca="1" si="7"/>
        <v/>
      </c>
      <c r="K187" t="e">
        <f t="shared" ca="1" si="8"/>
        <v>#VALUE!</v>
      </c>
      <c r="L187">
        <f>IF($A187="","",IF($E187&lt;&gt;"",0,IF(COUNTIFS(個体台帳!$A:$A,$B187,個体台帳!$E:$E,"&lt;&gt;貸出中")&gt;0,1,0)))</f>
        <v>1</v>
      </c>
      <c r="M187">
        <f>IF($A187="","",IF($E187&lt;&gt;"",0,IF(COUNTIFS(個体台帳!$A:$A,$B187,個体台帳!$E:$E,"廃棄")&gt;0,1,0)))</f>
        <v>0</v>
      </c>
    </row>
    <row r="188" spans="1:13">
      <c r="A188" t="s">
        <v>739</v>
      </c>
      <c r="B188" t="s">
        <v>6</v>
      </c>
      <c r="C188" t="s">
        <v>6</v>
      </c>
      <c r="D188" s="12" t="s">
        <v>6</v>
      </c>
      <c r="E188" s="11" t="s">
        <v>6</v>
      </c>
      <c r="F188" s="16" t="s">
        <v>6</v>
      </c>
      <c r="G188" t="s">
        <v>6</v>
      </c>
      <c r="H188" t="s">
        <v>6</v>
      </c>
      <c r="I188">
        <f t="shared" si="6"/>
        <v>1</v>
      </c>
      <c r="J188" t="str">
        <f t="shared" ca="1" si="7"/>
        <v/>
      </c>
      <c r="K188" t="e">
        <f t="shared" ca="1" si="8"/>
        <v>#VALUE!</v>
      </c>
      <c r="L188">
        <f>IF($A188="","",IF($E188&lt;&gt;"",0,IF(COUNTIFS(個体台帳!$A:$A,$B188,個体台帳!$E:$E,"&lt;&gt;貸出中")&gt;0,1,0)))</f>
        <v>1</v>
      </c>
      <c r="M188">
        <f>IF($A188="","",IF($E188&lt;&gt;"",0,IF(COUNTIFS(個体台帳!$A:$A,$B188,個体台帳!$E:$E,"廃棄")&gt;0,1,0)))</f>
        <v>0</v>
      </c>
    </row>
    <row r="189" spans="1:13">
      <c r="A189" t="s">
        <v>740</v>
      </c>
      <c r="B189" t="s">
        <v>6</v>
      </c>
      <c r="C189" t="s">
        <v>6</v>
      </c>
      <c r="D189" s="12" t="s">
        <v>6</v>
      </c>
      <c r="E189" s="11" t="s">
        <v>6</v>
      </c>
      <c r="F189" s="16" t="s">
        <v>6</v>
      </c>
      <c r="G189" t="s">
        <v>6</v>
      </c>
      <c r="H189" t="s">
        <v>6</v>
      </c>
      <c r="I189">
        <f t="shared" si="6"/>
        <v>1</v>
      </c>
      <c r="J189" t="str">
        <f t="shared" ca="1" si="7"/>
        <v/>
      </c>
      <c r="K189" t="e">
        <f t="shared" ca="1" si="8"/>
        <v>#VALUE!</v>
      </c>
      <c r="L189">
        <f>IF($A189="","",IF($E189&lt;&gt;"",0,IF(COUNTIFS(個体台帳!$A:$A,$B189,個体台帳!$E:$E,"&lt;&gt;貸出中")&gt;0,1,0)))</f>
        <v>1</v>
      </c>
      <c r="M189">
        <f>IF($A189="","",IF($E189&lt;&gt;"",0,IF(COUNTIFS(個体台帳!$A:$A,$B189,個体台帳!$E:$E,"廃棄")&gt;0,1,0)))</f>
        <v>0</v>
      </c>
    </row>
    <row r="190" spans="1:13">
      <c r="A190" t="s">
        <v>741</v>
      </c>
      <c r="B190" t="s">
        <v>6</v>
      </c>
      <c r="C190" t="s">
        <v>6</v>
      </c>
      <c r="D190" s="12" t="s">
        <v>6</v>
      </c>
      <c r="E190" s="11" t="s">
        <v>6</v>
      </c>
      <c r="F190" s="16" t="s">
        <v>6</v>
      </c>
      <c r="G190" t="s">
        <v>6</v>
      </c>
      <c r="H190" t="s">
        <v>6</v>
      </c>
      <c r="I190">
        <f t="shared" si="6"/>
        <v>1</v>
      </c>
      <c r="J190" t="str">
        <f t="shared" ca="1" si="7"/>
        <v/>
      </c>
      <c r="K190" t="e">
        <f t="shared" ca="1" si="8"/>
        <v>#VALUE!</v>
      </c>
      <c r="L190">
        <f>IF($A190="","",IF($E190&lt;&gt;"",0,IF(COUNTIFS(個体台帳!$A:$A,$B190,個体台帳!$E:$E,"&lt;&gt;貸出中")&gt;0,1,0)))</f>
        <v>1</v>
      </c>
      <c r="M190">
        <f>IF($A190="","",IF($E190&lt;&gt;"",0,IF(COUNTIFS(個体台帳!$A:$A,$B190,個体台帳!$E:$E,"廃棄")&gt;0,1,0)))</f>
        <v>0</v>
      </c>
    </row>
    <row r="191" spans="1:13">
      <c r="A191" t="s">
        <v>742</v>
      </c>
      <c r="B191" t="s">
        <v>6</v>
      </c>
      <c r="C191" t="s">
        <v>6</v>
      </c>
      <c r="D191" s="12" t="s">
        <v>6</v>
      </c>
      <c r="E191" s="11" t="s">
        <v>6</v>
      </c>
      <c r="F191" s="16" t="s">
        <v>6</v>
      </c>
      <c r="G191" t="s">
        <v>6</v>
      </c>
      <c r="H191" t="s">
        <v>6</v>
      </c>
      <c r="I191">
        <f t="shared" si="6"/>
        <v>1</v>
      </c>
      <c r="J191" t="str">
        <f t="shared" ca="1" si="7"/>
        <v/>
      </c>
      <c r="K191" t="e">
        <f t="shared" ca="1" si="8"/>
        <v>#VALUE!</v>
      </c>
      <c r="L191">
        <f>IF($A191="","",IF($E191&lt;&gt;"",0,IF(COUNTIFS(個体台帳!$A:$A,$B191,個体台帳!$E:$E,"&lt;&gt;貸出中")&gt;0,1,0)))</f>
        <v>1</v>
      </c>
      <c r="M191">
        <f>IF($A191="","",IF($E191&lt;&gt;"",0,IF(COUNTIFS(個体台帳!$A:$A,$B191,個体台帳!$E:$E,"廃棄")&gt;0,1,0)))</f>
        <v>0</v>
      </c>
    </row>
    <row r="192" spans="1:13">
      <c r="A192" t="s">
        <v>743</v>
      </c>
      <c r="B192" t="s">
        <v>6</v>
      </c>
      <c r="C192" t="s">
        <v>6</v>
      </c>
      <c r="D192" s="12" t="s">
        <v>6</v>
      </c>
      <c r="E192" s="11" t="s">
        <v>6</v>
      </c>
      <c r="F192" s="16" t="s">
        <v>6</v>
      </c>
      <c r="G192" t="s">
        <v>6</v>
      </c>
      <c r="H192" t="s">
        <v>6</v>
      </c>
      <c r="I192">
        <f t="shared" si="6"/>
        <v>1</v>
      </c>
      <c r="J192" t="str">
        <f t="shared" ca="1" si="7"/>
        <v/>
      </c>
      <c r="K192" t="e">
        <f t="shared" ca="1" si="8"/>
        <v>#VALUE!</v>
      </c>
      <c r="L192">
        <f>IF($A192="","",IF($E192&lt;&gt;"",0,IF(COUNTIFS(個体台帳!$A:$A,$B192,個体台帳!$E:$E,"&lt;&gt;貸出中")&gt;0,1,0)))</f>
        <v>1</v>
      </c>
      <c r="M192">
        <f>IF($A192="","",IF($E192&lt;&gt;"",0,IF(COUNTIFS(個体台帳!$A:$A,$B192,個体台帳!$E:$E,"廃棄")&gt;0,1,0)))</f>
        <v>0</v>
      </c>
    </row>
    <row r="193" spans="1:13">
      <c r="A193" t="s">
        <v>744</v>
      </c>
      <c r="B193" t="s">
        <v>6</v>
      </c>
      <c r="C193" t="s">
        <v>6</v>
      </c>
      <c r="D193" s="12" t="s">
        <v>6</v>
      </c>
      <c r="E193" s="11" t="s">
        <v>6</v>
      </c>
      <c r="F193" s="16" t="s">
        <v>6</v>
      </c>
      <c r="G193" t="s">
        <v>6</v>
      </c>
      <c r="H193" t="s">
        <v>6</v>
      </c>
      <c r="I193">
        <f t="shared" si="6"/>
        <v>1</v>
      </c>
      <c r="J193" t="str">
        <f t="shared" ca="1" si="7"/>
        <v/>
      </c>
      <c r="K193" t="e">
        <f t="shared" ca="1" si="8"/>
        <v>#VALUE!</v>
      </c>
      <c r="L193">
        <f>IF($A193="","",IF($E193&lt;&gt;"",0,IF(COUNTIFS(個体台帳!$A:$A,$B193,個体台帳!$E:$E,"&lt;&gt;貸出中")&gt;0,1,0)))</f>
        <v>1</v>
      </c>
      <c r="M193">
        <f>IF($A193="","",IF($E193&lt;&gt;"",0,IF(COUNTIFS(個体台帳!$A:$A,$B193,個体台帳!$E:$E,"廃棄")&gt;0,1,0)))</f>
        <v>0</v>
      </c>
    </row>
    <row r="194" spans="1:13">
      <c r="A194" t="s">
        <v>745</v>
      </c>
      <c r="B194" t="s">
        <v>6</v>
      </c>
      <c r="C194" t="s">
        <v>6</v>
      </c>
      <c r="D194" s="12" t="s">
        <v>6</v>
      </c>
      <c r="E194" s="11" t="s">
        <v>6</v>
      </c>
      <c r="F194" s="16" t="s">
        <v>6</v>
      </c>
      <c r="G194" t="s">
        <v>6</v>
      </c>
      <c r="H194" t="s">
        <v>6</v>
      </c>
      <c r="I194">
        <f t="shared" ref="I194:I257" si="9">IF($A194="","",--($E194=""))</f>
        <v>1</v>
      </c>
      <c r="J194" t="str">
        <f t="shared" ref="J194:J257" ca="1" si="10">IF($D194="","",TODAY()-$D194)</f>
        <v/>
      </c>
      <c r="K194" t="e">
        <f t="shared" ref="K194:K257" ca="1" si="11">IF($A194="","",IF(AND($E194="", $D194&lt;&gt;"", TODAY()-$D194&gt;=31),1,0))</f>
        <v>#VALUE!</v>
      </c>
      <c r="L194">
        <f>IF($A194="","",IF($E194&lt;&gt;"",0,IF(COUNTIFS(個体台帳!$A:$A,$B194,個体台帳!$E:$E,"&lt;&gt;貸出中")&gt;0,1,0)))</f>
        <v>1</v>
      </c>
      <c r="M194">
        <f>IF($A194="","",IF($E194&lt;&gt;"",0,IF(COUNTIFS(個体台帳!$A:$A,$B194,個体台帳!$E:$E,"廃棄")&gt;0,1,0)))</f>
        <v>0</v>
      </c>
    </row>
    <row r="195" spans="1:13">
      <c r="A195" t="s">
        <v>746</v>
      </c>
      <c r="B195" t="s">
        <v>6</v>
      </c>
      <c r="C195" t="s">
        <v>6</v>
      </c>
      <c r="D195" s="12" t="s">
        <v>6</v>
      </c>
      <c r="E195" s="11" t="s">
        <v>6</v>
      </c>
      <c r="F195" s="16" t="s">
        <v>6</v>
      </c>
      <c r="G195" t="s">
        <v>6</v>
      </c>
      <c r="H195" t="s">
        <v>6</v>
      </c>
      <c r="I195">
        <f t="shared" si="9"/>
        <v>1</v>
      </c>
      <c r="J195" t="str">
        <f t="shared" ca="1" si="10"/>
        <v/>
      </c>
      <c r="K195" t="e">
        <f t="shared" ca="1" si="11"/>
        <v>#VALUE!</v>
      </c>
      <c r="L195">
        <f>IF($A195="","",IF($E195&lt;&gt;"",0,IF(COUNTIFS(個体台帳!$A:$A,$B195,個体台帳!$E:$E,"&lt;&gt;貸出中")&gt;0,1,0)))</f>
        <v>1</v>
      </c>
      <c r="M195">
        <f>IF($A195="","",IF($E195&lt;&gt;"",0,IF(COUNTIFS(個体台帳!$A:$A,$B195,個体台帳!$E:$E,"廃棄")&gt;0,1,0)))</f>
        <v>0</v>
      </c>
    </row>
    <row r="196" spans="1:13">
      <c r="A196" t="s">
        <v>747</v>
      </c>
      <c r="B196" t="s">
        <v>6</v>
      </c>
      <c r="C196" t="s">
        <v>6</v>
      </c>
      <c r="D196" s="12" t="s">
        <v>6</v>
      </c>
      <c r="E196" s="11" t="s">
        <v>6</v>
      </c>
      <c r="F196" s="16" t="s">
        <v>6</v>
      </c>
      <c r="G196" t="s">
        <v>6</v>
      </c>
      <c r="H196" t="s">
        <v>6</v>
      </c>
      <c r="I196">
        <f t="shared" si="9"/>
        <v>1</v>
      </c>
      <c r="J196" t="str">
        <f t="shared" ca="1" si="10"/>
        <v/>
      </c>
      <c r="K196" t="e">
        <f t="shared" ca="1" si="11"/>
        <v>#VALUE!</v>
      </c>
      <c r="L196">
        <f>IF($A196="","",IF($E196&lt;&gt;"",0,IF(COUNTIFS(個体台帳!$A:$A,$B196,個体台帳!$E:$E,"&lt;&gt;貸出中")&gt;0,1,0)))</f>
        <v>1</v>
      </c>
      <c r="M196">
        <f>IF($A196="","",IF($E196&lt;&gt;"",0,IF(COUNTIFS(個体台帳!$A:$A,$B196,個体台帳!$E:$E,"廃棄")&gt;0,1,0)))</f>
        <v>0</v>
      </c>
    </row>
    <row r="197" spans="1:13">
      <c r="A197" t="s">
        <v>748</v>
      </c>
      <c r="B197" t="s">
        <v>6</v>
      </c>
      <c r="C197" t="s">
        <v>6</v>
      </c>
      <c r="D197" s="12" t="s">
        <v>6</v>
      </c>
      <c r="E197" s="11" t="s">
        <v>6</v>
      </c>
      <c r="F197" s="16" t="s">
        <v>6</v>
      </c>
      <c r="G197" t="s">
        <v>6</v>
      </c>
      <c r="H197" t="s">
        <v>6</v>
      </c>
      <c r="I197">
        <f t="shared" si="9"/>
        <v>1</v>
      </c>
      <c r="J197" t="str">
        <f t="shared" ca="1" si="10"/>
        <v/>
      </c>
      <c r="K197" t="e">
        <f t="shared" ca="1" si="11"/>
        <v>#VALUE!</v>
      </c>
      <c r="L197">
        <f>IF($A197="","",IF($E197&lt;&gt;"",0,IF(COUNTIFS(個体台帳!$A:$A,$B197,個体台帳!$E:$E,"&lt;&gt;貸出中")&gt;0,1,0)))</f>
        <v>1</v>
      </c>
      <c r="M197">
        <f>IF($A197="","",IF($E197&lt;&gt;"",0,IF(COUNTIFS(個体台帳!$A:$A,$B197,個体台帳!$E:$E,"廃棄")&gt;0,1,0)))</f>
        <v>0</v>
      </c>
    </row>
    <row r="198" spans="1:13">
      <c r="A198" t="s">
        <v>749</v>
      </c>
      <c r="B198" t="s">
        <v>6</v>
      </c>
      <c r="C198" t="s">
        <v>6</v>
      </c>
      <c r="D198" s="12" t="s">
        <v>6</v>
      </c>
      <c r="E198" s="11" t="s">
        <v>6</v>
      </c>
      <c r="F198" s="16" t="s">
        <v>6</v>
      </c>
      <c r="G198" t="s">
        <v>6</v>
      </c>
      <c r="H198" t="s">
        <v>6</v>
      </c>
      <c r="I198">
        <f t="shared" si="9"/>
        <v>1</v>
      </c>
      <c r="J198" t="str">
        <f t="shared" ca="1" si="10"/>
        <v/>
      </c>
      <c r="K198" t="e">
        <f t="shared" ca="1" si="11"/>
        <v>#VALUE!</v>
      </c>
      <c r="L198">
        <f>IF($A198="","",IF($E198&lt;&gt;"",0,IF(COUNTIFS(個体台帳!$A:$A,$B198,個体台帳!$E:$E,"&lt;&gt;貸出中")&gt;0,1,0)))</f>
        <v>1</v>
      </c>
      <c r="M198">
        <f>IF($A198="","",IF($E198&lt;&gt;"",0,IF(COUNTIFS(個体台帳!$A:$A,$B198,個体台帳!$E:$E,"廃棄")&gt;0,1,0)))</f>
        <v>0</v>
      </c>
    </row>
    <row r="199" spans="1:13">
      <c r="A199" t="s">
        <v>750</v>
      </c>
      <c r="B199" t="s">
        <v>6</v>
      </c>
      <c r="C199" t="s">
        <v>6</v>
      </c>
      <c r="D199" s="12" t="s">
        <v>6</v>
      </c>
      <c r="E199" s="11" t="s">
        <v>6</v>
      </c>
      <c r="F199" s="16" t="s">
        <v>6</v>
      </c>
      <c r="G199" t="s">
        <v>6</v>
      </c>
      <c r="H199" t="s">
        <v>6</v>
      </c>
      <c r="I199">
        <f t="shared" si="9"/>
        <v>1</v>
      </c>
      <c r="J199" t="str">
        <f t="shared" ca="1" si="10"/>
        <v/>
      </c>
      <c r="K199" t="e">
        <f t="shared" ca="1" si="11"/>
        <v>#VALUE!</v>
      </c>
      <c r="L199">
        <f>IF($A199="","",IF($E199&lt;&gt;"",0,IF(COUNTIFS(個体台帳!$A:$A,$B199,個体台帳!$E:$E,"&lt;&gt;貸出中")&gt;0,1,0)))</f>
        <v>1</v>
      </c>
      <c r="M199">
        <f>IF($A199="","",IF($E199&lt;&gt;"",0,IF(COUNTIFS(個体台帳!$A:$A,$B199,個体台帳!$E:$E,"廃棄")&gt;0,1,0)))</f>
        <v>0</v>
      </c>
    </row>
    <row r="200" spans="1:13">
      <c r="A200" t="s">
        <v>751</v>
      </c>
      <c r="B200" t="s">
        <v>6</v>
      </c>
      <c r="C200" t="s">
        <v>6</v>
      </c>
      <c r="D200" s="12" t="s">
        <v>6</v>
      </c>
      <c r="E200" s="11" t="s">
        <v>6</v>
      </c>
      <c r="F200" s="16" t="s">
        <v>6</v>
      </c>
      <c r="G200" t="s">
        <v>6</v>
      </c>
      <c r="H200" t="s">
        <v>6</v>
      </c>
      <c r="I200">
        <f t="shared" si="9"/>
        <v>1</v>
      </c>
      <c r="J200" t="str">
        <f t="shared" ca="1" si="10"/>
        <v/>
      </c>
      <c r="K200" t="e">
        <f t="shared" ca="1" si="11"/>
        <v>#VALUE!</v>
      </c>
      <c r="L200">
        <f>IF($A200="","",IF($E200&lt;&gt;"",0,IF(COUNTIFS(個体台帳!$A:$A,$B200,個体台帳!$E:$E,"&lt;&gt;貸出中")&gt;0,1,0)))</f>
        <v>1</v>
      </c>
      <c r="M200">
        <f>IF($A200="","",IF($E200&lt;&gt;"",0,IF(COUNTIFS(個体台帳!$A:$A,$B200,個体台帳!$E:$E,"廃棄")&gt;0,1,0)))</f>
        <v>0</v>
      </c>
    </row>
    <row r="201" spans="1:13">
      <c r="A201" t="s">
        <v>752</v>
      </c>
      <c r="B201" t="s">
        <v>6</v>
      </c>
      <c r="C201" t="s">
        <v>6</v>
      </c>
      <c r="D201" s="12" t="s">
        <v>6</v>
      </c>
      <c r="E201" s="11" t="s">
        <v>6</v>
      </c>
      <c r="F201" s="16" t="s">
        <v>6</v>
      </c>
      <c r="G201" t="s">
        <v>6</v>
      </c>
      <c r="H201" t="s">
        <v>6</v>
      </c>
      <c r="I201">
        <f t="shared" si="9"/>
        <v>1</v>
      </c>
      <c r="J201" t="str">
        <f t="shared" ca="1" si="10"/>
        <v/>
      </c>
      <c r="K201" t="e">
        <f t="shared" ca="1" si="11"/>
        <v>#VALUE!</v>
      </c>
      <c r="L201">
        <f>IF($A201="","",IF($E201&lt;&gt;"",0,IF(COUNTIFS(個体台帳!$A:$A,$B201,個体台帳!$E:$E,"&lt;&gt;貸出中")&gt;0,1,0)))</f>
        <v>1</v>
      </c>
      <c r="M201">
        <f>IF($A201="","",IF($E201&lt;&gt;"",0,IF(COUNTIFS(個体台帳!$A:$A,$B201,個体台帳!$E:$E,"廃棄")&gt;0,1,0)))</f>
        <v>0</v>
      </c>
    </row>
    <row r="202" spans="1:13">
      <c r="A202" t="s">
        <v>753</v>
      </c>
      <c r="B202" t="s">
        <v>6</v>
      </c>
      <c r="C202" t="s">
        <v>6</v>
      </c>
      <c r="D202" s="12" t="s">
        <v>6</v>
      </c>
      <c r="E202" s="11" t="s">
        <v>6</v>
      </c>
      <c r="F202" s="16" t="s">
        <v>6</v>
      </c>
      <c r="G202" t="s">
        <v>6</v>
      </c>
      <c r="H202" t="s">
        <v>6</v>
      </c>
      <c r="I202">
        <f t="shared" si="9"/>
        <v>1</v>
      </c>
      <c r="J202" t="str">
        <f t="shared" ca="1" si="10"/>
        <v/>
      </c>
      <c r="K202" t="e">
        <f t="shared" ca="1" si="11"/>
        <v>#VALUE!</v>
      </c>
      <c r="L202">
        <f>IF($A202="","",IF($E202&lt;&gt;"",0,IF(COUNTIFS(個体台帳!$A:$A,$B202,個体台帳!$E:$E,"&lt;&gt;貸出中")&gt;0,1,0)))</f>
        <v>1</v>
      </c>
      <c r="M202">
        <f>IF($A202="","",IF($E202&lt;&gt;"",0,IF(COUNTIFS(個体台帳!$A:$A,$B202,個体台帳!$E:$E,"廃棄")&gt;0,1,0)))</f>
        <v>0</v>
      </c>
    </row>
    <row r="203" spans="1:13">
      <c r="A203" t="s">
        <v>754</v>
      </c>
      <c r="B203" t="s">
        <v>6</v>
      </c>
      <c r="C203" t="s">
        <v>6</v>
      </c>
      <c r="D203" s="12" t="s">
        <v>6</v>
      </c>
      <c r="E203" s="11" t="s">
        <v>6</v>
      </c>
      <c r="F203" s="16" t="s">
        <v>6</v>
      </c>
      <c r="G203" t="s">
        <v>6</v>
      </c>
      <c r="H203" t="s">
        <v>6</v>
      </c>
      <c r="I203">
        <f t="shared" si="9"/>
        <v>1</v>
      </c>
      <c r="J203" t="str">
        <f t="shared" ca="1" si="10"/>
        <v/>
      </c>
      <c r="K203" t="e">
        <f t="shared" ca="1" si="11"/>
        <v>#VALUE!</v>
      </c>
      <c r="L203">
        <f>IF($A203="","",IF($E203&lt;&gt;"",0,IF(COUNTIFS(個体台帳!$A:$A,$B203,個体台帳!$E:$E,"&lt;&gt;貸出中")&gt;0,1,0)))</f>
        <v>1</v>
      </c>
      <c r="M203">
        <f>IF($A203="","",IF($E203&lt;&gt;"",0,IF(COUNTIFS(個体台帳!$A:$A,$B203,個体台帳!$E:$E,"廃棄")&gt;0,1,0)))</f>
        <v>0</v>
      </c>
    </row>
    <row r="204" spans="1:13">
      <c r="A204" t="s">
        <v>755</v>
      </c>
      <c r="B204" t="s">
        <v>6</v>
      </c>
      <c r="C204" t="s">
        <v>6</v>
      </c>
      <c r="D204" s="12" t="s">
        <v>6</v>
      </c>
      <c r="E204" s="11" t="s">
        <v>6</v>
      </c>
      <c r="F204" s="16" t="s">
        <v>6</v>
      </c>
      <c r="G204" t="s">
        <v>6</v>
      </c>
      <c r="H204" t="s">
        <v>6</v>
      </c>
      <c r="I204">
        <f t="shared" si="9"/>
        <v>1</v>
      </c>
      <c r="J204" t="str">
        <f t="shared" ca="1" si="10"/>
        <v/>
      </c>
      <c r="K204" t="e">
        <f t="shared" ca="1" si="11"/>
        <v>#VALUE!</v>
      </c>
      <c r="L204">
        <f>IF($A204="","",IF($E204&lt;&gt;"",0,IF(COUNTIFS(個体台帳!$A:$A,$B204,個体台帳!$E:$E,"&lt;&gt;貸出中")&gt;0,1,0)))</f>
        <v>1</v>
      </c>
      <c r="M204">
        <f>IF($A204="","",IF($E204&lt;&gt;"",0,IF(COUNTIFS(個体台帳!$A:$A,$B204,個体台帳!$E:$E,"廃棄")&gt;0,1,0)))</f>
        <v>0</v>
      </c>
    </row>
    <row r="205" spans="1:13">
      <c r="A205" t="s">
        <v>756</v>
      </c>
      <c r="B205" t="s">
        <v>6</v>
      </c>
      <c r="C205" t="s">
        <v>6</v>
      </c>
      <c r="D205" s="12" t="s">
        <v>6</v>
      </c>
      <c r="E205" s="11" t="s">
        <v>6</v>
      </c>
      <c r="F205" s="16" t="s">
        <v>6</v>
      </c>
      <c r="G205" t="s">
        <v>6</v>
      </c>
      <c r="H205" t="s">
        <v>6</v>
      </c>
      <c r="I205">
        <f t="shared" si="9"/>
        <v>1</v>
      </c>
      <c r="J205" t="str">
        <f t="shared" ca="1" si="10"/>
        <v/>
      </c>
      <c r="K205" t="e">
        <f t="shared" ca="1" si="11"/>
        <v>#VALUE!</v>
      </c>
      <c r="L205">
        <f>IF($A205="","",IF($E205&lt;&gt;"",0,IF(COUNTIFS(個体台帳!$A:$A,$B205,個体台帳!$E:$E,"&lt;&gt;貸出中")&gt;0,1,0)))</f>
        <v>1</v>
      </c>
      <c r="M205">
        <f>IF($A205="","",IF($E205&lt;&gt;"",0,IF(COUNTIFS(個体台帳!$A:$A,$B205,個体台帳!$E:$E,"廃棄")&gt;0,1,0)))</f>
        <v>0</v>
      </c>
    </row>
    <row r="206" spans="1:13">
      <c r="A206" t="s">
        <v>757</v>
      </c>
      <c r="B206" t="s">
        <v>6</v>
      </c>
      <c r="C206" t="s">
        <v>6</v>
      </c>
      <c r="D206" s="12" t="s">
        <v>6</v>
      </c>
      <c r="E206" s="11" t="s">
        <v>6</v>
      </c>
      <c r="F206" s="16" t="s">
        <v>6</v>
      </c>
      <c r="G206" t="s">
        <v>6</v>
      </c>
      <c r="H206" t="s">
        <v>6</v>
      </c>
      <c r="I206">
        <f t="shared" si="9"/>
        <v>1</v>
      </c>
      <c r="J206" t="str">
        <f t="shared" ca="1" si="10"/>
        <v/>
      </c>
      <c r="K206" t="e">
        <f t="shared" ca="1" si="11"/>
        <v>#VALUE!</v>
      </c>
      <c r="L206">
        <f>IF($A206="","",IF($E206&lt;&gt;"",0,IF(COUNTIFS(個体台帳!$A:$A,$B206,個体台帳!$E:$E,"&lt;&gt;貸出中")&gt;0,1,0)))</f>
        <v>1</v>
      </c>
      <c r="M206">
        <f>IF($A206="","",IF($E206&lt;&gt;"",0,IF(COUNTIFS(個体台帳!$A:$A,$B206,個体台帳!$E:$E,"廃棄")&gt;0,1,0)))</f>
        <v>0</v>
      </c>
    </row>
    <row r="207" spans="1:13">
      <c r="A207" t="s">
        <v>758</v>
      </c>
      <c r="B207" t="s">
        <v>6</v>
      </c>
      <c r="C207" t="s">
        <v>6</v>
      </c>
      <c r="D207" s="12" t="s">
        <v>6</v>
      </c>
      <c r="E207" s="11" t="s">
        <v>6</v>
      </c>
      <c r="F207" s="16" t="s">
        <v>6</v>
      </c>
      <c r="G207" t="s">
        <v>6</v>
      </c>
      <c r="H207" t="s">
        <v>6</v>
      </c>
      <c r="I207">
        <f t="shared" si="9"/>
        <v>1</v>
      </c>
      <c r="J207" t="str">
        <f t="shared" ca="1" si="10"/>
        <v/>
      </c>
      <c r="K207" t="e">
        <f t="shared" ca="1" si="11"/>
        <v>#VALUE!</v>
      </c>
      <c r="L207">
        <f>IF($A207="","",IF($E207&lt;&gt;"",0,IF(COUNTIFS(個体台帳!$A:$A,$B207,個体台帳!$E:$E,"&lt;&gt;貸出中")&gt;0,1,0)))</f>
        <v>1</v>
      </c>
      <c r="M207">
        <f>IF($A207="","",IF($E207&lt;&gt;"",0,IF(COUNTIFS(個体台帳!$A:$A,$B207,個体台帳!$E:$E,"廃棄")&gt;0,1,0)))</f>
        <v>0</v>
      </c>
    </row>
    <row r="208" spans="1:13">
      <c r="A208" t="s">
        <v>759</v>
      </c>
      <c r="B208" t="s">
        <v>6</v>
      </c>
      <c r="C208" t="s">
        <v>6</v>
      </c>
      <c r="D208" s="12" t="s">
        <v>6</v>
      </c>
      <c r="E208" s="11" t="s">
        <v>6</v>
      </c>
      <c r="F208" s="16" t="s">
        <v>6</v>
      </c>
      <c r="G208" t="s">
        <v>6</v>
      </c>
      <c r="H208" t="s">
        <v>6</v>
      </c>
      <c r="I208">
        <f t="shared" si="9"/>
        <v>1</v>
      </c>
      <c r="J208" t="str">
        <f t="shared" ca="1" si="10"/>
        <v/>
      </c>
      <c r="K208" t="e">
        <f t="shared" ca="1" si="11"/>
        <v>#VALUE!</v>
      </c>
      <c r="L208">
        <f>IF($A208="","",IF($E208&lt;&gt;"",0,IF(COUNTIFS(個体台帳!$A:$A,$B208,個体台帳!$E:$E,"&lt;&gt;貸出中")&gt;0,1,0)))</f>
        <v>1</v>
      </c>
      <c r="M208">
        <f>IF($A208="","",IF($E208&lt;&gt;"",0,IF(COUNTIFS(個体台帳!$A:$A,$B208,個体台帳!$E:$E,"廃棄")&gt;0,1,0)))</f>
        <v>0</v>
      </c>
    </row>
    <row r="209" spans="1:13">
      <c r="A209" t="s">
        <v>760</v>
      </c>
      <c r="B209" t="s">
        <v>6</v>
      </c>
      <c r="C209" t="s">
        <v>6</v>
      </c>
      <c r="D209" s="12" t="s">
        <v>6</v>
      </c>
      <c r="E209" s="11" t="s">
        <v>6</v>
      </c>
      <c r="F209" s="16" t="s">
        <v>6</v>
      </c>
      <c r="G209" t="s">
        <v>6</v>
      </c>
      <c r="H209" t="s">
        <v>6</v>
      </c>
      <c r="I209">
        <f t="shared" si="9"/>
        <v>1</v>
      </c>
      <c r="J209" t="str">
        <f t="shared" ca="1" si="10"/>
        <v/>
      </c>
      <c r="K209" t="e">
        <f t="shared" ca="1" si="11"/>
        <v>#VALUE!</v>
      </c>
      <c r="L209">
        <f>IF($A209="","",IF($E209&lt;&gt;"",0,IF(COUNTIFS(個体台帳!$A:$A,$B209,個体台帳!$E:$E,"&lt;&gt;貸出中")&gt;0,1,0)))</f>
        <v>1</v>
      </c>
      <c r="M209">
        <f>IF($A209="","",IF($E209&lt;&gt;"",0,IF(COUNTIFS(個体台帳!$A:$A,$B209,個体台帳!$E:$E,"廃棄")&gt;0,1,0)))</f>
        <v>0</v>
      </c>
    </row>
    <row r="210" spans="1:13">
      <c r="A210" t="s">
        <v>761</v>
      </c>
      <c r="B210" t="s">
        <v>6</v>
      </c>
      <c r="C210" t="s">
        <v>6</v>
      </c>
      <c r="D210" s="12" t="s">
        <v>6</v>
      </c>
      <c r="E210" s="11" t="s">
        <v>6</v>
      </c>
      <c r="F210" s="16" t="s">
        <v>6</v>
      </c>
      <c r="G210" t="s">
        <v>6</v>
      </c>
      <c r="H210" t="s">
        <v>6</v>
      </c>
      <c r="I210">
        <f t="shared" si="9"/>
        <v>1</v>
      </c>
      <c r="J210" t="str">
        <f t="shared" ca="1" si="10"/>
        <v/>
      </c>
      <c r="K210" t="e">
        <f t="shared" ca="1" si="11"/>
        <v>#VALUE!</v>
      </c>
      <c r="L210">
        <f>IF($A210="","",IF($E210&lt;&gt;"",0,IF(COUNTIFS(個体台帳!$A:$A,$B210,個体台帳!$E:$E,"&lt;&gt;貸出中")&gt;0,1,0)))</f>
        <v>1</v>
      </c>
      <c r="M210">
        <f>IF($A210="","",IF($E210&lt;&gt;"",0,IF(COUNTIFS(個体台帳!$A:$A,$B210,個体台帳!$E:$E,"廃棄")&gt;0,1,0)))</f>
        <v>0</v>
      </c>
    </row>
    <row r="211" spans="1:13">
      <c r="A211" t="s">
        <v>762</v>
      </c>
      <c r="B211" t="s">
        <v>6</v>
      </c>
      <c r="C211" t="s">
        <v>6</v>
      </c>
      <c r="D211" s="12" t="s">
        <v>6</v>
      </c>
      <c r="E211" s="11" t="s">
        <v>6</v>
      </c>
      <c r="F211" s="16" t="s">
        <v>6</v>
      </c>
      <c r="G211" t="s">
        <v>6</v>
      </c>
      <c r="H211" t="s">
        <v>6</v>
      </c>
      <c r="I211">
        <f t="shared" si="9"/>
        <v>1</v>
      </c>
      <c r="J211" t="str">
        <f t="shared" ca="1" si="10"/>
        <v/>
      </c>
      <c r="K211" t="e">
        <f t="shared" ca="1" si="11"/>
        <v>#VALUE!</v>
      </c>
      <c r="L211">
        <f>IF($A211="","",IF($E211&lt;&gt;"",0,IF(COUNTIFS(個体台帳!$A:$A,$B211,個体台帳!$E:$E,"&lt;&gt;貸出中")&gt;0,1,0)))</f>
        <v>1</v>
      </c>
      <c r="M211">
        <f>IF($A211="","",IF($E211&lt;&gt;"",0,IF(COUNTIFS(個体台帳!$A:$A,$B211,個体台帳!$E:$E,"廃棄")&gt;0,1,0)))</f>
        <v>0</v>
      </c>
    </row>
    <row r="212" spans="1:13">
      <c r="A212" t="s">
        <v>763</v>
      </c>
      <c r="B212" t="s">
        <v>6</v>
      </c>
      <c r="C212" t="s">
        <v>6</v>
      </c>
      <c r="D212" s="12" t="s">
        <v>6</v>
      </c>
      <c r="E212" s="11" t="s">
        <v>6</v>
      </c>
      <c r="F212" s="16" t="s">
        <v>6</v>
      </c>
      <c r="G212" t="s">
        <v>6</v>
      </c>
      <c r="H212" t="s">
        <v>6</v>
      </c>
      <c r="I212">
        <f t="shared" si="9"/>
        <v>1</v>
      </c>
      <c r="J212" t="str">
        <f t="shared" ca="1" si="10"/>
        <v/>
      </c>
      <c r="K212" t="e">
        <f t="shared" ca="1" si="11"/>
        <v>#VALUE!</v>
      </c>
      <c r="L212">
        <f>IF($A212="","",IF($E212&lt;&gt;"",0,IF(COUNTIFS(個体台帳!$A:$A,$B212,個体台帳!$E:$E,"&lt;&gt;貸出中")&gt;0,1,0)))</f>
        <v>1</v>
      </c>
      <c r="M212">
        <f>IF($A212="","",IF($E212&lt;&gt;"",0,IF(COUNTIFS(個体台帳!$A:$A,$B212,個体台帳!$E:$E,"廃棄")&gt;0,1,0)))</f>
        <v>0</v>
      </c>
    </row>
    <row r="213" spans="1:13">
      <c r="A213" t="s">
        <v>764</v>
      </c>
      <c r="B213" t="s">
        <v>6</v>
      </c>
      <c r="C213" t="s">
        <v>6</v>
      </c>
      <c r="D213" s="12" t="s">
        <v>6</v>
      </c>
      <c r="E213" s="11" t="s">
        <v>6</v>
      </c>
      <c r="F213" s="16" t="s">
        <v>6</v>
      </c>
      <c r="G213" t="s">
        <v>6</v>
      </c>
      <c r="H213" t="s">
        <v>6</v>
      </c>
      <c r="I213">
        <f t="shared" si="9"/>
        <v>1</v>
      </c>
      <c r="J213" t="str">
        <f t="shared" ca="1" si="10"/>
        <v/>
      </c>
      <c r="K213" t="e">
        <f t="shared" ca="1" si="11"/>
        <v>#VALUE!</v>
      </c>
      <c r="L213">
        <f>IF($A213="","",IF($E213&lt;&gt;"",0,IF(COUNTIFS(個体台帳!$A:$A,$B213,個体台帳!$E:$E,"&lt;&gt;貸出中")&gt;0,1,0)))</f>
        <v>1</v>
      </c>
      <c r="M213">
        <f>IF($A213="","",IF($E213&lt;&gt;"",0,IF(COUNTIFS(個体台帳!$A:$A,$B213,個体台帳!$E:$E,"廃棄")&gt;0,1,0)))</f>
        <v>0</v>
      </c>
    </row>
    <row r="214" spans="1:13">
      <c r="A214" t="s">
        <v>765</v>
      </c>
      <c r="B214" t="s">
        <v>6</v>
      </c>
      <c r="C214" t="s">
        <v>6</v>
      </c>
      <c r="D214" s="12" t="s">
        <v>6</v>
      </c>
      <c r="E214" s="11" t="s">
        <v>6</v>
      </c>
      <c r="F214" s="16" t="s">
        <v>6</v>
      </c>
      <c r="G214" t="s">
        <v>6</v>
      </c>
      <c r="H214" t="s">
        <v>6</v>
      </c>
      <c r="I214">
        <f t="shared" si="9"/>
        <v>1</v>
      </c>
      <c r="J214" t="str">
        <f t="shared" ca="1" si="10"/>
        <v/>
      </c>
      <c r="K214" t="e">
        <f t="shared" ca="1" si="11"/>
        <v>#VALUE!</v>
      </c>
      <c r="L214">
        <f>IF($A214="","",IF($E214&lt;&gt;"",0,IF(COUNTIFS(個体台帳!$A:$A,$B214,個体台帳!$E:$E,"&lt;&gt;貸出中")&gt;0,1,0)))</f>
        <v>1</v>
      </c>
      <c r="M214">
        <f>IF($A214="","",IF($E214&lt;&gt;"",0,IF(COUNTIFS(個体台帳!$A:$A,$B214,個体台帳!$E:$E,"廃棄")&gt;0,1,0)))</f>
        <v>0</v>
      </c>
    </row>
    <row r="215" spans="1:13">
      <c r="A215" t="s">
        <v>766</v>
      </c>
      <c r="B215" t="s">
        <v>6</v>
      </c>
      <c r="C215" t="s">
        <v>6</v>
      </c>
      <c r="D215" s="12" t="s">
        <v>6</v>
      </c>
      <c r="E215" s="11" t="s">
        <v>6</v>
      </c>
      <c r="F215" s="16" t="s">
        <v>6</v>
      </c>
      <c r="G215" t="s">
        <v>6</v>
      </c>
      <c r="H215" t="s">
        <v>6</v>
      </c>
      <c r="I215">
        <f t="shared" si="9"/>
        <v>1</v>
      </c>
      <c r="J215" t="str">
        <f t="shared" ca="1" si="10"/>
        <v/>
      </c>
      <c r="K215" t="e">
        <f t="shared" ca="1" si="11"/>
        <v>#VALUE!</v>
      </c>
      <c r="L215">
        <f>IF($A215="","",IF($E215&lt;&gt;"",0,IF(COUNTIFS(個体台帳!$A:$A,$B215,個体台帳!$E:$E,"&lt;&gt;貸出中")&gt;0,1,0)))</f>
        <v>1</v>
      </c>
      <c r="M215">
        <f>IF($A215="","",IF($E215&lt;&gt;"",0,IF(COUNTIFS(個体台帳!$A:$A,$B215,個体台帳!$E:$E,"廃棄")&gt;0,1,0)))</f>
        <v>0</v>
      </c>
    </row>
    <row r="216" spans="1:13">
      <c r="A216" t="s">
        <v>767</v>
      </c>
      <c r="B216" t="s">
        <v>6</v>
      </c>
      <c r="C216" t="s">
        <v>6</v>
      </c>
      <c r="D216" s="12" t="s">
        <v>6</v>
      </c>
      <c r="E216" s="11" t="s">
        <v>6</v>
      </c>
      <c r="F216" s="16" t="s">
        <v>6</v>
      </c>
      <c r="G216" t="s">
        <v>6</v>
      </c>
      <c r="H216" t="s">
        <v>6</v>
      </c>
      <c r="I216">
        <f t="shared" si="9"/>
        <v>1</v>
      </c>
      <c r="J216" t="str">
        <f t="shared" ca="1" si="10"/>
        <v/>
      </c>
      <c r="K216" t="e">
        <f t="shared" ca="1" si="11"/>
        <v>#VALUE!</v>
      </c>
      <c r="L216">
        <f>IF($A216="","",IF($E216&lt;&gt;"",0,IF(COUNTIFS(個体台帳!$A:$A,$B216,個体台帳!$E:$E,"&lt;&gt;貸出中")&gt;0,1,0)))</f>
        <v>1</v>
      </c>
      <c r="M216">
        <f>IF($A216="","",IF($E216&lt;&gt;"",0,IF(COUNTIFS(個体台帳!$A:$A,$B216,個体台帳!$E:$E,"廃棄")&gt;0,1,0)))</f>
        <v>0</v>
      </c>
    </row>
    <row r="217" spans="1:13">
      <c r="A217" t="s">
        <v>768</v>
      </c>
      <c r="B217" t="s">
        <v>6</v>
      </c>
      <c r="C217" t="s">
        <v>6</v>
      </c>
      <c r="D217" s="12" t="s">
        <v>6</v>
      </c>
      <c r="E217" s="11" t="s">
        <v>6</v>
      </c>
      <c r="F217" s="16" t="s">
        <v>6</v>
      </c>
      <c r="G217" t="s">
        <v>6</v>
      </c>
      <c r="H217" t="s">
        <v>6</v>
      </c>
      <c r="I217">
        <f t="shared" si="9"/>
        <v>1</v>
      </c>
      <c r="J217" t="str">
        <f t="shared" ca="1" si="10"/>
        <v/>
      </c>
      <c r="K217" t="e">
        <f t="shared" ca="1" si="11"/>
        <v>#VALUE!</v>
      </c>
      <c r="L217">
        <f>IF($A217="","",IF($E217&lt;&gt;"",0,IF(COUNTIFS(個体台帳!$A:$A,$B217,個体台帳!$E:$E,"&lt;&gt;貸出中")&gt;0,1,0)))</f>
        <v>1</v>
      </c>
      <c r="M217">
        <f>IF($A217="","",IF($E217&lt;&gt;"",0,IF(COUNTIFS(個体台帳!$A:$A,$B217,個体台帳!$E:$E,"廃棄")&gt;0,1,0)))</f>
        <v>0</v>
      </c>
    </row>
    <row r="218" spans="1:13">
      <c r="A218" t="s">
        <v>769</v>
      </c>
      <c r="B218" t="s">
        <v>6</v>
      </c>
      <c r="C218" t="s">
        <v>6</v>
      </c>
      <c r="D218" s="12" t="s">
        <v>6</v>
      </c>
      <c r="E218" s="11" t="s">
        <v>6</v>
      </c>
      <c r="F218" s="16" t="s">
        <v>6</v>
      </c>
      <c r="G218" t="s">
        <v>6</v>
      </c>
      <c r="H218" t="s">
        <v>6</v>
      </c>
      <c r="I218">
        <f t="shared" si="9"/>
        <v>1</v>
      </c>
      <c r="J218" t="str">
        <f t="shared" ca="1" si="10"/>
        <v/>
      </c>
      <c r="K218" t="e">
        <f t="shared" ca="1" si="11"/>
        <v>#VALUE!</v>
      </c>
      <c r="L218">
        <f>IF($A218="","",IF($E218&lt;&gt;"",0,IF(COUNTIFS(個体台帳!$A:$A,$B218,個体台帳!$E:$E,"&lt;&gt;貸出中")&gt;0,1,0)))</f>
        <v>1</v>
      </c>
      <c r="M218">
        <f>IF($A218="","",IF($E218&lt;&gt;"",0,IF(COUNTIFS(個体台帳!$A:$A,$B218,個体台帳!$E:$E,"廃棄")&gt;0,1,0)))</f>
        <v>0</v>
      </c>
    </row>
    <row r="219" spans="1:13">
      <c r="A219" t="s">
        <v>770</v>
      </c>
      <c r="B219" t="s">
        <v>6</v>
      </c>
      <c r="C219" t="s">
        <v>6</v>
      </c>
      <c r="D219" s="12" t="s">
        <v>6</v>
      </c>
      <c r="E219" s="11" t="s">
        <v>6</v>
      </c>
      <c r="F219" s="16" t="s">
        <v>6</v>
      </c>
      <c r="G219" t="s">
        <v>6</v>
      </c>
      <c r="H219" t="s">
        <v>6</v>
      </c>
      <c r="I219">
        <f t="shared" si="9"/>
        <v>1</v>
      </c>
      <c r="J219" t="str">
        <f t="shared" ca="1" si="10"/>
        <v/>
      </c>
      <c r="K219" t="e">
        <f t="shared" ca="1" si="11"/>
        <v>#VALUE!</v>
      </c>
      <c r="L219">
        <f>IF($A219="","",IF($E219&lt;&gt;"",0,IF(COUNTIFS(個体台帳!$A:$A,$B219,個体台帳!$E:$E,"&lt;&gt;貸出中")&gt;0,1,0)))</f>
        <v>1</v>
      </c>
      <c r="M219">
        <f>IF($A219="","",IF($E219&lt;&gt;"",0,IF(COUNTIFS(個体台帳!$A:$A,$B219,個体台帳!$E:$E,"廃棄")&gt;0,1,0)))</f>
        <v>0</v>
      </c>
    </row>
    <row r="220" spans="1:13">
      <c r="A220" t="s">
        <v>771</v>
      </c>
      <c r="B220" t="s">
        <v>6</v>
      </c>
      <c r="C220" t="s">
        <v>6</v>
      </c>
      <c r="D220" s="12" t="s">
        <v>6</v>
      </c>
      <c r="E220" s="11" t="s">
        <v>6</v>
      </c>
      <c r="F220" s="16" t="s">
        <v>6</v>
      </c>
      <c r="G220" t="s">
        <v>6</v>
      </c>
      <c r="H220" t="s">
        <v>6</v>
      </c>
      <c r="I220">
        <f t="shared" si="9"/>
        <v>1</v>
      </c>
      <c r="J220" t="str">
        <f t="shared" ca="1" si="10"/>
        <v/>
      </c>
      <c r="K220" t="e">
        <f t="shared" ca="1" si="11"/>
        <v>#VALUE!</v>
      </c>
      <c r="L220">
        <f>IF($A220="","",IF($E220&lt;&gt;"",0,IF(COUNTIFS(個体台帳!$A:$A,$B220,個体台帳!$E:$E,"&lt;&gt;貸出中")&gt;0,1,0)))</f>
        <v>1</v>
      </c>
      <c r="M220">
        <f>IF($A220="","",IF($E220&lt;&gt;"",0,IF(COUNTIFS(個体台帳!$A:$A,$B220,個体台帳!$E:$E,"廃棄")&gt;0,1,0)))</f>
        <v>0</v>
      </c>
    </row>
    <row r="221" spans="1:13">
      <c r="A221" t="s">
        <v>772</v>
      </c>
      <c r="B221" t="s">
        <v>6</v>
      </c>
      <c r="C221" t="s">
        <v>6</v>
      </c>
      <c r="D221" s="12" t="s">
        <v>6</v>
      </c>
      <c r="E221" s="11" t="s">
        <v>6</v>
      </c>
      <c r="F221" s="16" t="s">
        <v>6</v>
      </c>
      <c r="G221" t="s">
        <v>6</v>
      </c>
      <c r="H221" t="s">
        <v>6</v>
      </c>
      <c r="I221">
        <f t="shared" si="9"/>
        <v>1</v>
      </c>
      <c r="J221" t="str">
        <f t="shared" ca="1" si="10"/>
        <v/>
      </c>
      <c r="K221" t="e">
        <f t="shared" ca="1" si="11"/>
        <v>#VALUE!</v>
      </c>
      <c r="L221">
        <f>IF($A221="","",IF($E221&lt;&gt;"",0,IF(COUNTIFS(個体台帳!$A:$A,$B221,個体台帳!$E:$E,"&lt;&gt;貸出中")&gt;0,1,0)))</f>
        <v>1</v>
      </c>
      <c r="M221">
        <f>IF($A221="","",IF($E221&lt;&gt;"",0,IF(COUNTIFS(個体台帳!$A:$A,$B221,個体台帳!$E:$E,"廃棄")&gt;0,1,0)))</f>
        <v>0</v>
      </c>
    </row>
    <row r="222" spans="1:13">
      <c r="A222" t="s">
        <v>773</v>
      </c>
      <c r="B222" t="s">
        <v>6</v>
      </c>
      <c r="C222" t="s">
        <v>6</v>
      </c>
      <c r="D222" s="12" t="s">
        <v>6</v>
      </c>
      <c r="E222" s="11" t="s">
        <v>6</v>
      </c>
      <c r="F222" s="16" t="s">
        <v>6</v>
      </c>
      <c r="G222" t="s">
        <v>6</v>
      </c>
      <c r="H222" t="s">
        <v>6</v>
      </c>
      <c r="I222">
        <f t="shared" si="9"/>
        <v>1</v>
      </c>
      <c r="J222" t="str">
        <f t="shared" ca="1" si="10"/>
        <v/>
      </c>
      <c r="K222" t="e">
        <f t="shared" ca="1" si="11"/>
        <v>#VALUE!</v>
      </c>
      <c r="L222">
        <f>IF($A222="","",IF($E222&lt;&gt;"",0,IF(COUNTIFS(個体台帳!$A:$A,$B222,個体台帳!$E:$E,"&lt;&gt;貸出中")&gt;0,1,0)))</f>
        <v>1</v>
      </c>
      <c r="M222">
        <f>IF($A222="","",IF($E222&lt;&gt;"",0,IF(COUNTIFS(個体台帳!$A:$A,$B222,個体台帳!$E:$E,"廃棄")&gt;0,1,0)))</f>
        <v>0</v>
      </c>
    </row>
    <row r="223" spans="1:13">
      <c r="A223" t="s">
        <v>774</v>
      </c>
      <c r="B223" t="s">
        <v>6</v>
      </c>
      <c r="C223" t="s">
        <v>6</v>
      </c>
      <c r="D223" s="12" t="s">
        <v>6</v>
      </c>
      <c r="E223" s="11" t="s">
        <v>6</v>
      </c>
      <c r="F223" s="16" t="s">
        <v>6</v>
      </c>
      <c r="G223" t="s">
        <v>6</v>
      </c>
      <c r="H223" t="s">
        <v>6</v>
      </c>
      <c r="I223">
        <f t="shared" si="9"/>
        <v>1</v>
      </c>
      <c r="J223" t="str">
        <f t="shared" ca="1" si="10"/>
        <v/>
      </c>
      <c r="K223" t="e">
        <f t="shared" ca="1" si="11"/>
        <v>#VALUE!</v>
      </c>
      <c r="L223">
        <f>IF($A223="","",IF($E223&lt;&gt;"",0,IF(COUNTIFS(個体台帳!$A:$A,$B223,個体台帳!$E:$E,"&lt;&gt;貸出中")&gt;0,1,0)))</f>
        <v>1</v>
      </c>
      <c r="M223">
        <f>IF($A223="","",IF($E223&lt;&gt;"",0,IF(COUNTIFS(個体台帳!$A:$A,$B223,個体台帳!$E:$E,"廃棄")&gt;0,1,0)))</f>
        <v>0</v>
      </c>
    </row>
    <row r="224" spans="1:13">
      <c r="A224" t="s">
        <v>775</v>
      </c>
      <c r="B224" t="s">
        <v>6</v>
      </c>
      <c r="C224" t="s">
        <v>6</v>
      </c>
      <c r="D224" s="12" t="s">
        <v>6</v>
      </c>
      <c r="E224" s="11" t="s">
        <v>6</v>
      </c>
      <c r="F224" s="16" t="s">
        <v>6</v>
      </c>
      <c r="G224" t="s">
        <v>6</v>
      </c>
      <c r="H224" t="s">
        <v>6</v>
      </c>
      <c r="I224">
        <f t="shared" si="9"/>
        <v>1</v>
      </c>
      <c r="J224" t="str">
        <f t="shared" ca="1" si="10"/>
        <v/>
      </c>
      <c r="K224" t="e">
        <f t="shared" ca="1" si="11"/>
        <v>#VALUE!</v>
      </c>
      <c r="L224">
        <f>IF($A224="","",IF($E224&lt;&gt;"",0,IF(COUNTIFS(個体台帳!$A:$A,$B224,個体台帳!$E:$E,"&lt;&gt;貸出中")&gt;0,1,0)))</f>
        <v>1</v>
      </c>
      <c r="M224">
        <f>IF($A224="","",IF($E224&lt;&gt;"",0,IF(COUNTIFS(個体台帳!$A:$A,$B224,個体台帳!$E:$E,"廃棄")&gt;0,1,0)))</f>
        <v>0</v>
      </c>
    </row>
    <row r="225" spans="1:13">
      <c r="A225" t="s">
        <v>776</v>
      </c>
      <c r="B225" t="s">
        <v>6</v>
      </c>
      <c r="C225" t="s">
        <v>6</v>
      </c>
      <c r="D225" s="12" t="s">
        <v>6</v>
      </c>
      <c r="E225" s="11" t="s">
        <v>6</v>
      </c>
      <c r="F225" s="16" t="s">
        <v>6</v>
      </c>
      <c r="G225" t="s">
        <v>6</v>
      </c>
      <c r="H225" t="s">
        <v>6</v>
      </c>
      <c r="I225">
        <f t="shared" si="9"/>
        <v>1</v>
      </c>
      <c r="J225" t="str">
        <f t="shared" ca="1" si="10"/>
        <v/>
      </c>
      <c r="K225" t="e">
        <f t="shared" ca="1" si="11"/>
        <v>#VALUE!</v>
      </c>
      <c r="L225">
        <f>IF($A225="","",IF($E225&lt;&gt;"",0,IF(COUNTIFS(個体台帳!$A:$A,$B225,個体台帳!$E:$E,"&lt;&gt;貸出中")&gt;0,1,0)))</f>
        <v>1</v>
      </c>
      <c r="M225">
        <f>IF($A225="","",IF($E225&lt;&gt;"",0,IF(COUNTIFS(個体台帳!$A:$A,$B225,個体台帳!$E:$E,"廃棄")&gt;0,1,0)))</f>
        <v>0</v>
      </c>
    </row>
    <row r="226" spans="1:13">
      <c r="A226" t="s">
        <v>777</v>
      </c>
      <c r="B226" t="s">
        <v>6</v>
      </c>
      <c r="C226" t="s">
        <v>6</v>
      </c>
      <c r="D226" s="12" t="s">
        <v>6</v>
      </c>
      <c r="E226" s="11" t="s">
        <v>6</v>
      </c>
      <c r="F226" s="16" t="s">
        <v>6</v>
      </c>
      <c r="G226" t="s">
        <v>6</v>
      </c>
      <c r="H226" t="s">
        <v>6</v>
      </c>
      <c r="I226">
        <f t="shared" si="9"/>
        <v>1</v>
      </c>
      <c r="J226" t="str">
        <f t="shared" ca="1" si="10"/>
        <v/>
      </c>
      <c r="K226" t="e">
        <f t="shared" ca="1" si="11"/>
        <v>#VALUE!</v>
      </c>
      <c r="L226">
        <f>IF($A226="","",IF($E226&lt;&gt;"",0,IF(COUNTIFS(個体台帳!$A:$A,$B226,個体台帳!$E:$E,"&lt;&gt;貸出中")&gt;0,1,0)))</f>
        <v>1</v>
      </c>
      <c r="M226">
        <f>IF($A226="","",IF($E226&lt;&gt;"",0,IF(COUNTIFS(個体台帳!$A:$A,$B226,個体台帳!$E:$E,"廃棄")&gt;0,1,0)))</f>
        <v>0</v>
      </c>
    </row>
    <row r="227" spans="1:13">
      <c r="A227" t="s">
        <v>778</v>
      </c>
      <c r="B227" t="s">
        <v>6</v>
      </c>
      <c r="C227" t="s">
        <v>6</v>
      </c>
      <c r="D227" s="12" t="s">
        <v>6</v>
      </c>
      <c r="E227" s="11" t="s">
        <v>6</v>
      </c>
      <c r="F227" s="16" t="s">
        <v>6</v>
      </c>
      <c r="G227" t="s">
        <v>6</v>
      </c>
      <c r="H227" t="s">
        <v>6</v>
      </c>
      <c r="I227">
        <f t="shared" si="9"/>
        <v>1</v>
      </c>
      <c r="J227" t="str">
        <f t="shared" ca="1" si="10"/>
        <v/>
      </c>
      <c r="K227" t="e">
        <f t="shared" ca="1" si="11"/>
        <v>#VALUE!</v>
      </c>
      <c r="L227">
        <f>IF($A227="","",IF($E227&lt;&gt;"",0,IF(COUNTIFS(個体台帳!$A:$A,$B227,個体台帳!$E:$E,"&lt;&gt;貸出中")&gt;0,1,0)))</f>
        <v>1</v>
      </c>
      <c r="M227">
        <f>IF($A227="","",IF($E227&lt;&gt;"",0,IF(COUNTIFS(個体台帳!$A:$A,$B227,個体台帳!$E:$E,"廃棄")&gt;0,1,0)))</f>
        <v>0</v>
      </c>
    </row>
    <row r="228" spans="1:13">
      <c r="A228" t="s">
        <v>779</v>
      </c>
      <c r="B228" t="s">
        <v>6</v>
      </c>
      <c r="C228" t="s">
        <v>6</v>
      </c>
      <c r="D228" s="12" t="s">
        <v>6</v>
      </c>
      <c r="E228" s="11" t="s">
        <v>6</v>
      </c>
      <c r="F228" s="16" t="s">
        <v>6</v>
      </c>
      <c r="G228" t="s">
        <v>6</v>
      </c>
      <c r="H228" t="s">
        <v>6</v>
      </c>
      <c r="I228">
        <f t="shared" si="9"/>
        <v>1</v>
      </c>
      <c r="J228" t="str">
        <f t="shared" ca="1" si="10"/>
        <v/>
      </c>
      <c r="K228" t="e">
        <f t="shared" ca="1" si="11"/>
        <v>#VALUE!</v>
      </c>
      <c r="L228">
        <f>IF($A228="","",IF($E228&lt;&gt;"",0,IF(COUNTIFS(個体台帳!$A:$A,$B228,個体台帳!$E:$E,"&lt;&gt;貸出中")&gt;0,1,0)))</f>
        <v>1</v>
      </c>
      <c r="M228">
        <f>IF($A228="","",IF($E228&lt;&gt;"",0,IF(COUNTIFS(個体台帳!$A:$A,$B228,個体台帳!$E:$E,"廃棄")&gt;0,1,0)))</f>
        <v>0</v>
      </c>
    </row>
    <row r="229" spans="1:13">
      <c r="A229" t="s">
        <v>780</v>
      </c>
      <c r="B229" t="s">
        <v>6</v>
      </c>
      <c r="C229" t="s">
        <v>6</v>
      </c>
      <c r="D229" s="12" t="s">
        <v>6</v>
      </c>
      <c r="E229" s="11" t="s">
        <v>6</v>
      </c>
      <c r="F229" s="16" t="s">
        <v>6</v>
      </c>
      <c r="G229" t="s">
        <v>6</v>
      </c>
      <c r="H229" t="s">
        <v>6</v>
      </c>
      <c r="I229">
        <f t="shared" si="9"/>
        <v>1</v>
      </c>
      <c r="J229" t="str">
        <f t="shared" ca="1" si="10"/>
        <v/>
      </c>
      <c r="K229" t="e">
        <f t="shared" ca="1" si="11"/>
        <v>#VALUE!</v>
      </c>
      <c r="L229">
        <f>IF($A229="","",IF($E229&lt;&gt;"",0,IF(COUNTIFS(個体台帳!$A:$A,$B229,個体台帳!$E:$E,"&lt;&gt;貸出中")&gt;0,1,0)))</f>
        <v>1</v>
      </c>
      <c r="M229">
        <f>IF($A229="","",IF($E229&lt;&gt;"",0,IF(COUNTIFS(個体台帳!$A:$A,$B229,個体台帳!$E:$E,"廃棄")&gt;0,1,0)))</f>
        <v>0</v>
      </c>
    </row>
    <row r="230" spans="1:13">
      <c r="A230" t="s">
        <v>781</v>
      </c>
      <c r="B230" t="s">
        <v>6</v>
      </c>
      <c r="C230" t="s">
        <v>6</v>
      </c>
      <c r="D230" s="12" t="s">
        <v>6</v>
      </c>
      <c r="E230" s="11" t="s">
        <v>6</v>
      </c>
      <c r="F230" s="16" t="s">
        <v>6</v>
      </c>
      <c r="G230" t="s">
        <v>6</v>
      </c>
      <c r="H230" t="s">
        <v>6</v>
      </c>
      <c r="I230">
        <f t="shared" si="9"/>
        <v>1</v>
      </c>
      <c r="J230" t="str">
        <f t="shared" ca="1" si="10"/>
        <v/>
      </c>
      <c r="K230" t="e">
        <f t="shared" ca="1" si="11"/>
        <v>#VALUE!</v>
      </c>
      <c r="L230">
        <f>IF($A230="","",IF($E230&lt;&gt;"",0,IF(COUNTIFS(個体台帳!$A:$A,$B230,個体台帳!$E:$E,"&lt;&gt;貸出中")&gt;0,1,0)))</f>
        <v>1</v>
      </c>
      <c r="M230">
        <f>IF($A230="","",IF($E230&lt;&gt;"",0,IF(COUNTIFS(個体台帳!$A:$A,$B230,個体台帳!$E:$E,"廃棄")&gt;0,1,0)))</f>
        <v>0</v>
      </c>
    </row>
    <row r="231" spans="1:13">
      <c r="A231" t="s">
        <v>782</v>
      </c>
      <c r="B231" t="s">
        <v>6</v>
      </c>
      <c r="C231" t="s">
        <v>6</v>
      </c>
      <c r="D231" s="12" t="s">
        <v>6</v>
      </c>
      <c r="E231" s="11" t="s">
        <v>6</v>
      </c>
      <c r="F231" s="16" t="s">
        <v>6</v>
      </c>
      <c r="G231" t="s">
        <v>6</v>
      </c>
      <c r="H231" t="s">
        <v>6</v>
      </c>
      <c r="I231">
        <f t="shared" si="9"/>
        <v>1</v>
      </c>
      <c r="J231" t="str">
        <f t="shared" ca="1" si="10"/>
        <v/>
      </c>
      <c r="K231" t="e">
        <f t="shared" ca="1" si="11"/>
        <v>#VALUE!</v>
      </c>
      <c r="L231">
        <f>IF($A231="","",IF($E231&lt;&gt;"",0,IF(COUNTIFS(個体台帳!$A:$A,$B231,個体台帳!$E:$E,"&lt;&gt;貸出中")&gt;0,1,0)))</f>
        <v>1</v>
      </c>
      <c r="M231">
        <f>IF($A231="","",IF($E231&lt;&gt;"",0,IF(COUNTIFS(個体台帳!$A:$A,$B231,個体台帳!$E:$E,"廃棄")&gt;0,1,0)))</f>
        <v>0</v>
      </c>
    </row>
    <row r="232" spans="1:13">
      <c r="A232" t="s">
        <v>783</v>
      </c>
      <c r="B232" t="s">
        <v>6</v>
      </c>
      <c r="C232" t="s">
        <v>6</v>
      </c>
      <c r="D232" s="12" t="s">
        <v>6</v>
      </c>
      <c r="E232" s="11" t="s">
        <v>6</v>
      </c>
      <c r="F232" s="16" t="s">
        <v>6</v>
      </c>
      <c r="G232" t="s">
        <v>6</v>
      </c>
      <c r="H232" t="s">
        <v>6</v>
      </c>
      <c r="I232">
        <f t="shared" si="9"/>
        <v>1</v>
      </c>
      <c r="J232" t="str">
        <f t="shared" ca="1" si="10"/>
        <v/>
      </c>
      <c r="K232" t="e">
        <f t="shared" ca="1" si="11"/>
        <v>#VALUE!</v>
      </c>
      <c r="L232">
        <f>IF($A232="","",IF($E232&lt;&gt;"",0,IF(COUNTIFS(個体台帳!$A:$A,$B232,個体台帳!$E:$E,"&lt;&gt;貸出中")&gt;0,1,0)))</f>
        <v>1</v>
      </c>
      <c r="M232">
        <f>IF($A232="","",IF($E232&lt;&gt;"",0,IF(COUNTIFS(個体台帳!$A:$A,$B232,個体台帳!$E:$E,"廃棄")&gt;0,1,0)))</f>
        <v>0</v>
      </c>
    </row>
    <row r="233" spans="1:13">
      <c r="A233" t="s">
        <v>784</v>
      </c>
      <c r="B233" t="s">
        <v>6</v>
      </c>
      <c r="C233" t="s">
        <v>6</v>
      </c>
      <c r="D233" s="12" t="s">
        <v>6</v>
      </c>
      <c r="E233" s="11" t="s">
        <v>6</v>
      </c>
      <c r="F233" s="16" t="s">
        <v>6</v>
      </c>
      <c r="G233" t="s">
        <v>6</v>
      </c>
      <c r="H233" t="s">
        <v>6</v>
      </c>
      <c r="I233">
        <f t="shared" si="9"/>
        <v>1</v>
      </c>
      <c r="J233" t="str">
        <f t="shared" ca="1" si="10"/>
        <v/>
      </c>
      <c r="K233" t="e">
        <f t="shared" ca="1" si="11"/>
        <v>#VALUE!</v>
      </c>
      <c r="L233">
        <f>IF($A233="","",IF($E233&lt;&gt;"",0,IF(COUNTIFS(個体台帳!$A:$A,$B233,個体台帳!$E:$E,"&lt;&gt;貸出中")&gt;0,1,0)))</f>
        <v>1</v>
      </c>
      <c r="M233">
        <f>IF($A233="","",IF($E233&lt;&gt;"",0,IF(COUNTIFS(個体台帳!$A:$A,$B233,個体台帳!$E:$E,"廃棄")&gt;0,1,0)))</f>
        <v>0</v>
      </c>
    </row>
    <row r="234" spans="1:13">
      <c r="A234" t="s">
        <v>785</v>
      </c>
      <c r="B234" t="s">
        <v>6</v>
      </c>
      <c r="C234" t="s">
        <v>6</v>
      </c>
      <c r="D234" s="12" t="s">
        <v>6</v>
      </c>
      <c r="E234" s="11" t="s">
        <v>6</v>
      </c>
      <c r="F234" s="16" t="s">
        <v>6</v>
      </c>
      <c r="G234" t="s">
        <v>6</v>
      </c>
      <c r="H234" t="s">
        <v>6</v>
      </c>
      <c r="I234">
        <f t="shared" si="9"/>
        <v>1</v>
      </c>
      <c r="J234" t="str">
        <f t="shared" ca="1" si="10"/>
        <v/>
      </c>
      <c r="K234" t="e">
        <f t="shared" ca="1" si="11"/>
        <v>#VALUE!</v>
      </c>
      <c r="L234">
        <f>IF($A234="","",IF($E234&lt;&gt;"",0,IF(COUNTIFS(個体台帳!$A:$A,$B234,個体台帳!$E:$E,"&lt;&gt;貸出中")&gt;0,1,0)))</f>
        <v>1</v>
      </c>
      <c r="M234">
        <f>IF($A234="","",IF($E234&lt;&gt;"",0,IF(COUNTIFS(個体台帳!$A:$A,$B234,個体台帳!$E:$E,"廃棄")&gt;0,1,0)))</f>
        <v>0</v>
      </c>
    </row>
    <row r="235" spans="1:13">
      <c r="A235" t="s">
        <v>786</v>
      </c>
      <c r="B235" t="s">
        <v>6</v>
      </c>
      <c r="C235" t="s">
        <v>6</v>
      </c>
      <c r="D235" s="12" t="s">
        <v>6</v>
      </c>
      <c r="E235" s="11" t="s">
        <v>6</v>
      </c>
      <c r="F235" s="16" t="s">
        <v>6</v>
      </c>
      <c r="G235" t="s">
        <v>6</v>
      </c>
      <c r="H235" t="s">
        <v>6</v>
      </c>
      <c r="I235">
        <f t="shared" si="9"/>
        <v>1</v>
      </c>
      <c r="J235" t="str">
        <f t="shared" ca="1" si="10"/>
        <v/>
      </c>
      <c r="K235" t="e">
        <f t="shared" ca="1" si="11"/>
        <v>#VALUE!</v>
      </c>
      <c r="L235">
        <f>IF($A235="","",IF($E235&lt;&gt;"",0,IF(COUNTIFS(個体台帳!$A:$A,$B235,個体台帳!$E:$E,"&lt;&gt;貸出中")&gt;0,1,0)))</f>
        <v>1</v>
      </c>
      <c r="M235">
        <f>IF($A235="","",IF($E235&lt;&gt;"",0,IF(COUNTIFS(個体台帳!$A:$A,$B235,個体台帳!$E:$E,"廃棄")&gt;0,1,0)))</f>
        <v>0</v>
      </c>
    </row>
    <row r="236" spans="1:13">
      <c r="A236" t="s">
        <v>787</v>
      </c>
      <c r="B236" t="s">
        <v>6</v>
      </c>
      <c r="C236" t="s">
        <v>6</v>
      </c>
      <c r="D236" s="12" t="s">
        <v>6</v>
      </c>
      <c r="E236" s="11" t="s">
        <v>6</v>
      </c>
      <c r="F236" s="16" t="s">
        <v>6</v>
      </c>
      <c r="G236" t="s">
        <v>6</v>
      </c>
      <c r="H236" t="s">
        <v>6</v>
      </c>
      <c r="I236">
        <f t="shared" si="9"/>
        <v>1</v>
      </c>
      <c r="J236" t="str">
        <f t="shared" ca="1" si="10"/>
        <v/>
      </c>
      <c r="K236" t="e">
        <f t="shared" ca="1" si="11"/>
        <v>#VALUE!</v>
      </c>
      <c r="L236">
        <f>IF($A236="","",IF($E236&lt;&gt;"",0,IF(COUNTIFS(個体台帳!$A:$A,$B236,個体台帳!$E:$E,"&lt;&gt;貸出中")&gt;0,1,0)))</f>
        <v>1</v>
      </c>
      <c r="M236">
        <f>IF($A236="","",IF($E236&lt;&gt;"",0,IF(COUNTIFS(個体台帳!$A:$A,$B236,個体台帳!$E:$E,"廃棄")&gt;0,1,0)))</f>
        <v>0</v>
      </c>
    </row>
    <row r="237" spans="1:13">
      <c r="A237" t="s">
        <v>788</v>
      </c>
      <c r="B237" t="s">
        <v>6</v>
      </c>
      <c r="C237" t="s">
        <v>6</v>
      </c>
      <c r="D237" s="12" t="s">
        <v>6</v>
      </c>
      <c r="E237" s="11" t="s">
        <v>6</v>
      </c>
      <c r="F237" s="16" t="s">
        <v>6</v>
      </c>
      <c r="G237" t="s">
        <v>6</v>
      </c>
      <c r="H237" t="s">
        <v>6</v>
      </c>
      <c r="I237">
        <f t="shared" si="9"/>
        <v>1</v>
      </c>
      <c r="J237" t="str">
        <f t="shared" ca="1" si="10"/>
        <v/>
      </c>
      <c r="K237" t="e">
        <f t="shared" ca="1" si="11"/>
        <v>#VALUE!</v>
      </c>
      <c r="L237">
        <f>IF($A237="","",IF($E237&lt;&gt;"",0,IF(COUNTIFS(個体台帳!$A:$A,$B237,個体台帳!$E:$E,"&lt;&gt;貸出中")&gt;0,1,0)))</f>
        <v>1</v>
      </c>
      <c r="M237">
        <f>IF($A237="","",IF($E237&lt;&gt;"",0,IF(COUNTIFS(個体台帳!$A:$A,$B237,個体台帳!$E:$E,"廃棄")&gt;0,1,0)))</f>
        <v>0</v>
      </c>
    </row>
    <row r="238" spans="1:13">
      <c r="A238" t="s">
        <v>789</v>
      </c>
      <c r="B238" t="s">
        <v>6</v>
      </c>
      <c r="C238" t="s">
        <v>6</v>
      </c>
      <c r="D238" s="12" t="s">
        <v>6</v>
      </c>
      <c r="E238" s="11" t="s">
        <v>6</v>
      </c>
      <c r="F238" s="16" t="s">
        <v>6</v>
      </c>
      <c r="G238" t="s">
        <v>6</v>
      </c>
      <c r="H238" t="s">
        <v>6</v>
      </c>
      <c r="I238">
        <f t="shared" si="9"/>
        <v>1</v>
      </c>
      <c r="J238" t="str">
        <f t="shared" ca="1" si="10"/>
        <v/>
      </c>
      <c r="K238" t="e">
        <f t="shared" ca="1" si="11"/>
        <v>#VALUE!</v>
      </c>
      <c r="L238">
        <f>IF($A238="","",IF($E238&lt;&gt;"",0,IF(COUNTIFS(個体台帳!$A:$A,$B238,個体台帳!$E:$E,"&lt;&gt;貸出中")&gt;0,1,0)))</f>
        <v>1</v>
      </c>
      <c r="M238">
        <f>IF($A238="","",IF($E238&lt;&gt;"",0,IF(COUNTIFS(個体台帳!$A:$A,$B238,個体台帳!$E:$E,"廃棄")&gt;0,1,0)))</f>
        <v>0</v>
      </c>
    </row>
    <row r="239" spans="1:13">
      <c r="A239" t="s">
        <v>790</v>
      </c>
      <c r="B239" t="s">
        <v>6</v>
      </c>
      <c r="C239" t="s">
        <v>6</v>
      </c>
      <c r="D239" s="12" t="s">
        <v>6</v>
      </c>
      <c r="E239" s="11" t="s">
        <v>6</v>
      </c>
      <c r="F239" s="16" t="s">
        <v>6</v>
      </c>
      <c r="G239" t="s">
        <v>6</v>
      </c>
      <c r="H239" t="s">
        <v>6</v>
      </c>
      <c r="I239">
        <f t="shared" si="9"/>
        <v>1</v>
      </c>
      <c r="J239" t="str">
        <f t="shared" ca="1" si="10"/>
        <v/>
      </c>
      <c r="K239" t="e">
        <f t="shared" ca="1" si="11"/>
        <v>#VALUE!</v>
      </c>
      <c r="L239">
        <f>IF($A239="","",IF($E239&lt;&gt;"",0,IF(COUNTIFS(個体台帳!$A:$A,$B239,個体台帳!$E:$E,"&lt;&gt;貸出中")&gt;0,1,0)))</f>
        <v>1</v>
      </c>
      <c r="M239">
        <f>IF($A239="","",IF($E239&lt;&gt;"",0,IF(COUNTIFS(個体台帳!$A:$A,$B239,個体台帳!$E:$E,"廃棄")&gt;0,1,0)))</f>
        <v>0</v>
      </c>
    </row>
    <row r="240" spans="1:13">
      <c r="A240" t="s">
        <v>791</v>
      </c>
      <c r="B240" t="s">
        <v>6</v>
      </c>
      <c r="C240" t="s">
        <v>6</v>
      </c>
      <c r="D240" s="12" t="s">
        <v>6</v>
      </c>
      <c r="E240" s="11" t="s">
        <v>6</v>
      </c>
      <c r="F240" s="16" t="s">
        <v>6</v>
      </c>
      <c r="G240" t="s">
        <v>6</v>
      </c>
      <c r="H240" t="s">
        <v>6</v>
      </c>
      <c r="I240">
        <f t="shared" si="9"/>
        <v>1</v>
      </c>
      <c r="J240" t="str">
        <f t="shared" ca="1" si="10"/>
        <v/>
      </c>
      <c r="K240" t="e">
        <f t="shared" ca="1" si="11"/>
        <v>#VALUE!</v>
      </c>
      <c r="L240">
        <f>IF($A240="","",IF($E240&lt;&gt;"",0,IF(COUNTIFS(個体台帳!$A:$A,$B240,個体台帳!$E:$E,"&lt;&gt;貸出中")&gt;0,1,0)))</f>
        <v>1</v>
      </c>
      <c r="M240">
        <f>IF($A240="","",IF($E240&lt;&gt;"",0,IF(COUNTIFS(個体台帳!$A:$A,$B240,個体台帳!$E:$E,"廃棄")&gt;0,1,0)))</f>
        <v>0</v>
      </c>
    </row>
    <row r="241" spans="1:13">
      <c r="A241" t="s">
        <v>792</v>
      </c>
      <c r="B241" t="s">
        <v>6</v>
      </c>
      <c r="C241" t="s">
        <v>6</v>
      </c>
      <c r="D241" s="12" t="s">
        <v>6</v>
      </c>
      <c r="E241" s="11" t="s">
        <v>6</v>
      </c>
      <c r="F241" s="16" t="s">
        <v>6</v>
      </c>
      <c r="G241" t="s">
        <v>6</v>
      </c>
      <c r="H241" t="s">
        <v>6</v>
      </c>
      <c r="I241">
        <f t="shared" si="9"/>
        <v>1</v>
      </c>
      <c r="J241" t="str">
        <f t="shared" ca="1" si="10"/>
        <v/>
      </c>
      <c r="K241" t="e">
        <f t="shared" ca="1" si="11"/>
        <v>#VALUE!</v>
      </c>
      <c r="L241">
        <f>IF($A241="","",IF($E241&lt;&gt;"",0,IF(COUNTIFS(個体台帳!$A:$A,$B241,個体台帳!$E:$E,"&lt;&gt;貸出中")&gt;0,1,0)))</f>
        <v>1</v>
      </c>
      <c r="M241">
        <f>IF($A241="","",IF($E241&lt;&gt;"",0,IF(COUNTIFS(個体台帳!$A:$A,$B241,個体台帳!$E:$E,"廃棄")&gt;0,1,0)))</f>
        <v>0</v>
      </c>
    </row>
    <row r="242" spans="1:13">
      <c r="A242" t="s">
        <v>793</v>
      </c>
      <c r="B242" t="s">
        <v>6</v>
      </c>
      <c r="C242" t="s">
        <v>6</v>
      </c>
      <c r="D242" s="12" t="s">
        <v>6</v>
      </c>
      <c r="E242" s="11" t="s">
        <v>6</v>
      </c>
      <c r="F242" s="16" t="s">
        <v>6</v>
      </c>
      <c r="G242" t="s">
        <v>6</v>
      </c>
      <c r="H242" t="s">
        <v>6</v>
      </c>
      <c r="I242">
        <f t="shared" si="9"/>
        <v>1</v>
      </c>
      <c r="J242" t="str">
        <f t="shared" ca="1" si="10"/>
        <v/>
      </c>
      <c r="K242" t="e">
        <f t="shared" ca="1" si="11"/>
        <v>#VALUE!</v>
      </c>
      <c r="L242">
        <f>IF($A242="","",IF($E242&lt;&gt;"",0,IF(COUNTIFS(個体台帳!$A:$A,$B242,個体台帳!$E:$E,"&lt;&gt;貸出中")&gt;0,1,0)))</f>
        <v>1</v>
      </c>
      <c r="M242">
        <f>IF($A242="","",IF($E242&lt;&gt;"",0,IF(COUNTIFS(個体台帳!$A:$A,$B242,個体台帳!$E:$E,"廃棄")&gt;0,1,0)))</f>
        <v>0</v>
      </c>
    </row>
    <row r="243" spans="1:13">
      <c r="A243" t="s">
        <v>794</v>
      </c>
      <c r="B243" t="s">
        <v>6</v>
      </c>
      <c r="C243" t="s">
        <v>6</v>
      </c>
      <c r="D243" s="12" t="s">
        <v>6</v>
      </c>
      <c r="E243" s="11" t="s">
        <v>6</v>
      </c>
      <c r="F243" s="16" t="s">
        <v>6</v>
      </c>
      <c r="G243" t="s">
        <v>6</v>
      </c>
      <c r="H243" t="s">
        <v>6</v>
      </c>
      <c r="I243">
        <f t="shared" si="9"/>
        <v>1</v>
      </c>
      <c r="J243" t="str">
        <f t="shared" ca="1" si="10"/>
        <v/>
      </c>
      <c r="K243" t="e">
        <f t="shared" ca="1" si="11"/>
        <v>#VALUE!</v>
      </c>
      <c r="L243">
        <f>IF($A243="","",IF($E243&lt;&gt;"",0,IF(COUNTIFS(個体台帳!$A:$A,$B243,個体台帳!$E:$E,"&lt;&gt;貸出中")&gt;0,1,0)))</f>
        <v>1</v>
      </c>
      <c r="M243">
        <f>IF($A243="","",IF($E243&lt;&gt;"",0,IF(COUNTIFS(個体台帳!$A:$A,$B243,個体台帳!$E:$E,"廃棄")&gt;0,1,0)))</f>
        <v>0</v>
      </c>
    </row>
    <row r="244" spans="1:13">
      <c r="A244" t="s">
        <v>795</v>
      </c>
      <c r="B244" t="s">
        <v>6</v>
      </c>
      <c r="C244" t="s">
        <v>6</v>
      </c>
      <c r="D244" s="12" t="s">
        <v>6</v>
      </c>
      <c r="E244" s="11" t="s">
        <v>6</v>
      </c>
      <c r="F244" s="16" t="s">
        <v>6</v>
      </c>
      <c r="G244" t="s">
        <v>6</v>
      </c>
      <c r="H244" t="s">
        <v>6</v>
      </c>
      <c r="I244">
        <f t="shared" si="9"/>
        <v>1</v>
      </c>
      <c r="J244" t="str">
        <f t="shared" ca="1" si="10"/>
        <v/>
      </c>
      <c r="K244" t="e">
        <f t="shared" ca="1" si="11"/>
        <v>#VALUE!</v>
      </c>
      <c r="L244">
        <f>IF($A244="","",IF($E244&lt;&gt;"",0,IF(COUNTIFS(個体台帳!$A:$A,$B244,個体台帳!$E:$E,"&lt;&gt;貸出中")&gt;0,1,0)))</f>
        <v>1</v>
      </c>
      <c r="M244">
        <f>IF($A244="","",IF($E244&lt;&gt;"",0,IF(COUNTIFS(個体台帳!$A:$A,$B244,個体台帳!$E:$E,"廃棄")&gt;0,1,0)))</f>
        <v>0</v>
      </c>
    </row>
    <row r="245" spans="1:13">
      <c r="A245" t="s">
        <v>796</v>
      </c>
      <c r="B245" t="s">
        <v>6</v>
      </c>
      <c r="C245" t="s">
        <v>6</v>
      </c>
      <c r="D245" s="12" t="s">
        <v>6</v>
      </c>
      <c r="E245" s="11" t="s">
        <v>6</v>
      </c>
      <c r="F245" s="16" t="s">
        <v>6</v>
      </c>
      <c r="G245" t="s">
        <v>6</v>
      </c>
      <c r="H245" t="s">
        <v>6</v>
      </c>
      <c r="I245">
        <f t="shared" si="9"/>
        <v>1</v>
      </c>
      <c r="J245" t="str">
        <f t="shared" ca="1" si="10"/>
        <v/>
      </c>
      <c r="K245" t="e">
        <f t="shared" ca="1" si="11"/>
        <v>#VALUE!</v>
      </c>
      <c r="L245">
        <f>IF($A245="","",IF($E245&lt;&gt;"",0,IF(COUNTIFS(個体台帳!$A:$A,$B245,個体台帳!$E:$E,"&lt;&gt;貸出中")&gt;0,1,0)))</f>
        <v>1</v>
      </c>
      <c r="M245">
        <f>IF($A245="","",IF($E245&lt;&gt;"",0,IF(COUNTIFS(個体台帳!$A:$A,$B245,個体台帳!$E:$E,"廃棄")&gt;0,1,0)))</f>
        <v>0</v>
      </c>
    </row>
    <row r="246" spans="1:13">
      <c r="A246" t="s">
        <v>797</v>
      </c>
      <c r="B246" t="s">
        <v>6</v>
      </c>
      <c r="C246" t="s">
        <v>6</v>
      </c>
      <c r="D246" s="12" t="s">
        <v>6</v>
      </c>
      <c r="E246" s="11" t="s">
        <v>6</v>
      </c>
      <c r="F246" s="16" t="s">
        <v>6</v>
      </c>
      <c r="G246" t="s">
        <v>6</v>
      </c>
      <c r="H246" t="s">
        <v>6</v>
      </c>
      <c r="I246">
        <f t="shared" si="9"/>
        <v>1</v>
      </c>
      <c r="J246" t="str">
        <f t="shared" ca="1" si="10"/>
        <v/>
      </c>
      <c r="K246" t="e">
        <f t="shared" ca="1" si="11"/>
        <v>#VALUE!</v>
      </c>
      <c r="L246">
        <f>IF($A246="","",IF($E246&lt;&gt;"",0,IF(COUNTIFS(個体台帳!$A:$A,$B246,個体台帳!$E:$E,"&lt;&gt;貸出中")&gt;0,1,0)))</f>
        <v>1</v>
      </c>
      <c r="M246">
        <f>IF($A246="","",IF($E246&lt;&gt;"",0,IF(COUNTIFS(個体台帳!$A:$A,$B246,個体台帳!$E:$E,"廃棄")&gt;0,1,0)))</f>
        <v>0</v>
      </c>
    </row>
    <row r="247" spans="1:13">
      <c r="A247" t="s">
        <v>798</v>
      </c>
      <c r="B247" t="s">
        <v>6</v>
      </c>
      <c r="C247" t="s">
        <v>6</v>
      </c>
      <c r="D247" s="12" t="s">
        <v>6</v>
      </c>
      <c r="E247" s="11" t="s">
        <v>6</v>
      </c>
      <c r="F247" s="16" t="s">
        <v>6</v>
      </c>
      <c r="G247" t="s">
        <v>6</v>
      </c>
      <c r="H247" t="s">
        <v>6</v>
      </c>
      <c r="I247">
        <f t="shared" si="9"/>
        <v>1</v>
      </c>
      <c r="J247" t="str">
        <f t="shared" ca="1" si="10"/>
        <v/>
      </c>
      <c r="K247" t="e">
        <f t="shared" ca="1" si="11"/>
        <v>#VALUE!</v>
      </c>
      <c r="L247">
        <f>IF($A247="","",IF($E247&lt;&gt;"",0,IF(COUNTIFS(個体台帳!$A:$A,$B247,個体台帳!$E:$E,"&lt;&gt;貸出中")&gt;0,1,0)))</f>
        <v>1</v>
      </c>
      <c r="M247">
        <f>IF($A247="","",IF($E247&lt;&gt;"",0,IF(COUNTIFS(個体台帳!$A:$A,$B247,個体台帳!$E:$E,"廃棄")&gt;0,1,0)))</f>
        <v>0</v>
      </c>
    </row>
    <row r="248" spans="1:13">
      <c r="A248" t="s">
        <v>799</v>
      </c>
      <c r="B248" t="s">
        <v>6</v>
      </c>
      <c r="C248" t="s">
        <v>6</v>
      </c>
      <c r="D248" s="12" t="s">
        <v>6</v>
      </c>
      <c r="E248" s="11" t="s">
        <v>6</v>
      </c>
      <c r="F248" s="16" t="s">
        <v>6</v>
      </c>
      <c r="G248" t="s">
        <v>6</v>
      </c>
      <c r="H248" t="s">
        <v>6</v>
      </c>
      <c r="I248">
        <f t="shared" si="9"/>
        <v>1</v>
      </c>
      <c r="J248" t="str">
        <f t="shared" ca="1" si="10"/>
        <v/>
      </c>
      <c r="K248" t="e">
        <f t="shared" ca="1" si="11"/>
        <v>#VALUE!</v>
      </c>
      <c r="L248">
        <f>IF($A248="","",IF($E248&lt;&gt;"",0,IF(COUNTIFS(個体台帳!$A:$A,$B248,個体台帳!$E:$E,"&lt;&gt;貸出中")&gt;0,1,0)))</f>
        <v>1</v>
      </c>
      <c r="M248">
        <f>IF($A248="","",IF($E248&lt;&gt;"",0,IF(COUNTIFS(個体台帳!$A:$A,$B248,個体台帳!$E:$E,"廃棄")&gt;0,1,0)))</f>
        <v>0</v>
      </c>
    </row>
    <row r="249" spans="1:13">
      <c r="A249" t="s">
        <v>800</v>
      </c>
      <c r="B249" t="s">
        <v>6</v>
      </c>
      <c r="C249" t="s">
        <v>6</v>
      </c>
      <c r="D249" s="12" t="s">
        <v>6</v>
      </c>
      <c r="E249" s="11" t="s">
        <v>6</v>
      </c>
      <c r="F249" s="16" t="s">
        <v>6</v>
      </c>
      <c r="G249" t="s">
        <v>6</v>
      </c>
      <c r="H249" t="s">
        <v>6</v>
      </c>
      <c r="I249">
        <f t="shared" si="9"/>
        <v>1</v>
      </c>
      <c r="J249" t="str">
        <f t="shared" ca="1" si="10"/>
        <v/>
      </c>
      <c r="K249" t="e">
        <f t="shared" ca="1" si="11"/>
        <v>#VALUE!</v>
      </c>
      <c r="L249">
        <f>IF($A249="","",IF($E249&lt;&gt;"",0,IF(COUNTIFS(個体台帳!$A:$A,$B249,個体台帳!$E:$E,"&lt;&gt;貸出中")&gt;0,1,0)))</f>
        <v>1</v>
      </c>
      <c r="M249">
        <f>IF($A249="","",IF($E249&lt;&gt;"",0,IF(COUNTIFS(個体台帳!$A:$A,$B249,個体台帳!$E:$E,"廃棄")&gt;0,1,0)))</f>
        <v>0</v>
      </c>
    </row>
    <row r="250" spans="1:13">
      <c r="A250" t="s">
        <v>801</v>
      </c>
      <c r="B250" t="s">
        <v>6</v>
      </c>
      <c r="C250" t="s">
        <v>6</v>
      </c>
      <c r="D250" s="12" t="s">
        <v>6</v>
      </c>
      <c r="E250" s="11" t="s">
        <v>6</v>
      </c>
      <c r="F250" s="16" t="s">
        <v>6</v>
      </c>
      <c r="G250" t="s">
        <v>6</v>
      </c>
      <c r="H250" t="s">
        <v>6</v>
      </c>
      <c r="I250">
        <f t="shared" si="9"/>
        <v>1</v>
      </c>
      <c r="J250" t="str">
        <f t="shared" ca="1" si="10"/>
        <v/>
      </c>
      <c r="K250" t="e">
        <f t="shared" ca="1" si="11"/>
        <v>#VALUE!</v>
      </c>
      <c r="L250">
        <f>IF($A250="","",IF($E250&lt;&gt;"",0,IF(COUNTIFS(個体台帳!$A:$A,$B250,個体台帳!$E:$E,"&lt;&gt;貸出中")&gt;0,1,0)))</f>
        <v>1</v>
      </c>
      <c r="M250">
        <f>IF($A250="","",IF($E250&lt;&gt;"",0,IF(COUNTIFS(個体台帳!$A:$A,$B250,個体台帳!$E:$E,"廃棄")&gt;0,1,0)))</f>
        <v>0</v>
      </c>
    </row>
    <row r="251" spans="1:13">
      <c r="A251" t="s">
        <v>802</v>
      </c>
      <c r="B251" t="s">
        <v>6</v>
      </c>
      <c r="C251" t="s">
        <v>6</v>
      </c>
      <c r="D251" s="12" t="s">
        <v>6</v>
      </c>
      <c r="E251" s="11" t="s">
        <v>6</v>
      </c>
      <c r="F251" s="16" t="s">
        <v>6</v>
      </c>
      <c r="G251" t="s">
        <v>6</v>
      </c>
      <c r="H251" t="s">
        <v>6</v>
      </c>
      <c r="I251">
        <f t="shared" si="9"/>
        <v>1</v>
      </c>
      <c r="J251" t="str">
        <f t="shared" ca="1" si="10"/>
        <v/>
      </c>
      <c r="K251" t="e">
        <f t="shared" ca="1" si="11"/>
        <v>#VALUE!</v>
      </c>
      <c r="L251">
        <f>IF($A251="","",IF($E251&lt;&gt;"",0,IF(COUNTIFS(個体台帳!$A:$A,$B251,個体台帳!$E:$E,"&lt;&gt;貸出中")&gt;0,1,0)))</f>
        <v>1</v>
      </c>
      <c r="M251">
        <f>IF($A251="","",IF($E251&lt;&gt;"",0,IF(COUNTIFS(個体台帳!$A:$A,$B251,個体台帳!$E:$E,"廃棄")&gt;0,1,0)))</f>
        <v>0</v>
      </c>
    </row>
    <row r="252" spans="1:13">
      <c r="A252" t="s">
        <v>803</v>
      </c>
      <c r="B252" t="s">
        <v>6</v>
      </c>
      <c r="C252" t="s">
        <v>6</v>
      </c>
      <c r="D252" s="12" t="s">
        <v>6</v>
      </c>
      <c r="E252" s="11" t="s">
        <v>6</v>
      </c>
      <c r="F252" s="16" t="s">
        <v>6</v>
      </c>
      <c r="G252" t="s">
        <v>6</v>
      </c>
      <c r="H252" t="s">
        <v>6</v>
      </c>
      <c r="I252">
        <f t="shared" si="9"/>
        <v>1</v>
      </c>
      <c r="J252" t="str">
        <f t="shared" ca="1" si="10"/>
        <v/>
      </c>
      <c r="K252" t="e">
        <f t="shared" ca="1" si="11"/>
        <v>#VALUE!</v>
      </c>
      <c r="L252">
        <f>IF($A252="","",IF($E252&lt;&gt;"",0,IF(COUNTIFS(個体台帳!$A:$A,$B252,個体台帳!$E:$E,"&lt;&gt;貸出中")&gt;0,1,0)))</f>
        <v>1</v>
      </c>
      <c r="M252">
        <f>IF($A252="","",IF($E252&lt;&gt;"",0,IF(COUNTIFS(個体台帳!$A:$A,$B252,個体台帳!$E:$E,"廃棄")&gt;0,1,0)))</f>
        <v>0</v>
      </c>
    </row>
    <row r="253" spans="1:13">
      <c r="A253" t="s">
        <v>804</v>
      </c>
      <c r="B253" t="s">
        <v>6</v>
      </c>
      <c r="C253" t="s">
        <v>6</v>
      </c>
      <c r="D253" s="12" t="s">
        <v>6</v>
      </c>
      <c r="E253" s="11" t="s">
        <v>6</v>
      </c>
      <c r="F253" s="16" t="s">
        <v>6</v>
      </c>
      <c r="G253" t="s">
        <v>6</v>
      </c>
      <c r="H253" t="s">
        <v>6</v>
      </c>
      <c r="I253">
        <f t="shared" si="9"/>
        <v>1</v>
      </c>
      <c r="J253" t="str">
        <f t="shared" ca="1" si="10"/>
        <v/>
      </c>
      <c r="K253" t="e">
        <f t="shared" ca="1" si="11"/>
        <v>#VALUE!</v>
      </c>
      <c r="L253">
        <f>IF($A253="","",IF($E253&lt;&gt;"",0,IF(COUNTIFS(個体台帳!$A:$A,$B253,個体台帳!$E:$E,"&lt;&gt;貸出中")&gt;0,1,0)))</f>
        <v>1</v>
      </c>
      <c r="M253">
        <f>IF($A253="","",IF($E253&lt;&gt;"",0,IF(COUNTIFS(個体台帳!$A:$A,$B253,個体台帳!$E:$E,"廃棄")&gt;0,1,0)))</f>
        <v>0</v>
      </c>
    </row>
    <row r="254" spans="1:13">
      <c r="A254" t="s">
        <v>805</v>
      </c>
      <c r="B254" t="s">
        <v>6</v>
      </c>
      <c r="C254" t="s">
        <v>6</v>
      </c>
      <c r="D254" s="12" t="s">
        <v>6</v>
      </c>
      <c r="E254" s="11" t="s">
        <v>6</v>
      </c>
      <c r="F254" s="16" t="s">
        <v>6</v>
      </c>
      <c r="G254" t="s">
        <v>6</v>
      </c>
      <c r="H254" t="s">
        <v>6</v>
      </c>
      <c r="I254">
        <f t="shared" si="9"/>
        <v>1</v>
      </c>
      <c r="J254" t="str">
        <f t="shared" ca="1" si="10"/>
        <v/>
      </c>
      <c r="K254" t="e">
        <f t="shared" ca="1" si="11"/>
        <v>#VALUE!</v>
      </c>
      <c r="L254">
        <f>IF($A254="","",IF($E254&lt;&gt;"",0,IF(COUNTIFS(個体台帳!$A:$A,$B254,個体台帳!$E:$E,"&lt;&gt;貸出中")&gt;0,1,0)))</f>
        <v>1</v>
      </c>
      <c r="M254">
        <f>IF($A254="","",IF($E254&lt;&gt;"",0,IF(COUNTIFS(個体台帳!$A:$A,$B254,個体台帳!$E:$E,"廃棄")&gt;0,1,0)))</f>
        <v>0</v>
      </c>
    </row>
    <row r="255" spans="1:13">
      <c r="A255" t="s">
        <v>806</v>
      </c>
      <c r="B255" t="s">
        <v>6</v>
      </c>
      <c r="C255" t="s">
        <v>6</v>
      </c>
      <c r="D255" s="12" t="s">
        <v>6</v>
      </c>
      <c r="E255" s="11" t="s">
        <v>6</v>
      </c>
      <c r="F255" s="16" t="s">
        <v>6</v>
      </c>
      <c r="G255" t="s">
        <v>6</v>
      </c>
      <c r="H255" t="s">
        <v>6</v>
      </c>
      <c r="I255">
        <f t="shared" si="9"/>
        <v>1</v>
      </c>
      <c r="J255" t="str">
        <f t="shared" ca="1" si="10"/>
        <v/>
      </c>
      <c r="K255" t="e">
        <f t="shared" ca="1" si="11"/>
        <v>#VALUE!</v>
      </c>
      <c r="L255">
        <f>IF($A255="","",IF($E255&lt;&gt;"",0,IF(COUNTIFS(個体台帳!$A:$A,$B255,個体台帳!$E:$E,"&lt;&gt;貸出中")&gt;0,1,0)))</f>
        <v>1</v>
      </c>
      <c r="M255">
        <f>IF($A255="","",IF($E255&lt;&gt;"",0,IF(COUNTIFS(個体台帳!$A:$A,$B255,個体台帳!$E:$E,"廃棄")&gt;0,1,0)))</f>
        <v>0</v>
      </c>
    </row>
    <row r="256" spans="1:13">
      <c r="A256" t="s">
        <v>807</v>
      </c>
      <c r="B256" t="s">
        <v>6</v>
      </c>
      <c r="C256" t="s">
        <v>6</v>
      </c>
      <c r="D256" s="12" t="s">
        <v>6</v>
      </c>
      <c r="E256" s="11" t="s">
        <v>6</v>
      </c>
      <c r="F256" s="16" t="s">
        <v>6</v>
      </c>
      <c r="G256" t="s">
        <v>6</v>
      </c>
      <c r="H256" t="s">
        <v>6</v>
      </c>
      <c r="I256">
        <f t="shared" si="9"/>
        <v>1</v>
      </c>
      <c r="J256" t="str">
        <f t="shared" ca="1" si="10"/>
        <v/>
      </c>
      <c r="K256" t="e">
        <f t="shared" ca="1" si="11"/>
        <v>#VALUE!</v>
      </c>
      <c r="L256">
        <f>IF($A256="","",IF($E256&lt;&gt;"",0,IF(COUNTIFS(個体台帳!$A:$A,$B256,個体台帳!$E:$E,"&lt;&gt;貸出中")&gt;0,1,0)))</f>
        <v>1</v>
      </c>
      <c r="M256">
        <f>IF($A256="","",IF($E256&lt;&gt;"",0,IF(COUNTIFS(個体台帳!$A:$A,$B256,個体台帳!$E:$E,"廃棄")&gt;0,1,0)))</f>
        <v>0</v>
      </c>
    </row>
    <row r="257" spans="1:13">
      <c r="A257" t="s">
        <v>808</v>
      </c>
      <c r="B257" t="s">
        <v>6</v>
      </c>
      <c r="C257" t="s">
        <v>6</v>
      </c>
      <c r="D257" s="12" t="s">
        <v>6</v>
      </c>
      <c r="E257" s="11" t="s">
        <v>6</v>
      </c>
      <c r="F257" s="16" t="s">
        <v>6</v>
      </c>
      <c r="G257" t="s">
        <v>6</v>
      </c>
      <c r="H257" t="s">
        <v>6</v>
      </c>
      <c r="I257">
        <f t="shared" si="9"/>
        <v>1</v>
      </c>
      <c r="J257" t="str">
        <f t="shared" ca="1" si="10"/>
        <v/>
      </c>
      <c r="K257" t="e">
        <f t="shared" ca="1" si="11"/>
        <v>#VALUE!</v>
      </c>
      <c r="L257">
        <f>IF($A257="","",IF($E257&lt;&gt;"",0,IF(COUNTIFS(個体台帳!$A:$A,$B257,個体台帳!$E:$E,"&lt;&gt;貸出中")&gt;0,1,0)))</f>
        <v>1</v>
      </c>
      <c r="M257">
        <f>IF($A257="","",IF($E257&lt;&gt;"",0,IF(COUNTIFS(個体台帳!$A:$A,$B257,個体台帳!$E:$E,"廃棄")&gt;0,1,0)))</f>
        <v>0</v>
      </c>
    </row>
    <row r="258" spans="1:13">
      <c r="A258" t="s">
        <v>809</v>
      </c>
      <c r="B258" t="s">
        <v>6</v>
      </c>
      <c r="C258" t="s">
        <v>6</v>
      </c>
      <c r="D258" s="12" t="s">
        <v>6</v>
      </c>
      <c r="E258" s="11" t="s">
        <v>6</v>
      </c>
      <c r="F258" s="16" t="s">
        <v>6</v>
      </c>
      <c r="G258" t="s">
        <v>6</v>
      </c>
      <c r="H258" t="s">
        <v>6</v>
      </c>
      <c r="I258">
        <f t="shared" ref="I258:I321" si="12">IF($A258="","",--($E258=""))</f>
        <v>1</v>
      </c>
      <c r="J258" t="str">
        <f t="shared" ref="J258:J321" ca="1" si="13">IF($D258="","",TODAY()-$D258)</f>
        <v/>
      </c>
      <c r="K258" t="e">
        <f t="shared" ref="K258:K321" ca="1" si="14">IF($A258="","",IF(AND($E258="", $D258&lt;&gt;"", TODAY()-$D258&gt;=31),1,0))</f>
        <v>#VALUE!</v>
      </c>
      <c r="L258">
        <f>IF($A258="","",IF($E258&lt;&gt;"",0,IF(COUNTIFS(個体台帳!$A:$A,$B258,個体台帳!$E:$E,"&lt;&gt;貸出中")&gt;0,1,0)))</f>
        <v>1</v>
      </c>
      <c r="M258">
        <f>IF($A258="","",IF($E258&lt;&gt;"",0,IF(COUNTIFS(個体台帳!$A:$A,$B258,個体台帳!$E:$E,"廃棄")&gt;0,1,0)))</f>
        <v>0</v>
      </c>
    </row>
    <row r="259" spans="1:13">
      <c r="A259" t="s">
        <v>810</v>
      </c>
      <c r="B259" t="s">
        <v>6</v>
      </c>
      <c r="C259" t="s">
        <v>6</v>
      </c>
      <c r="D259" s="12" t="s">
        <v>6</v>
      </c>
      <c r="E259" s="11" t="s">
        <v>6</v>
      </c>
      <c r="F259" s="16" t="s">
        <v>6</v>
      </c>
      <c r="G259" t="s">
        <v>6</v>
      </c>
      <c r="H259" t="s">
        <v>6</v>
      </c>
      <c r="I259">
        <f t="shared" si="12"/>
        <v>1</v>
      </c>
      <c r="J259" t="str">
        <f t="shared" ca="1" si="13"/>
        <v/>
      </c>
      <c r="K259" t="e">
        <f t="shared" ca="1" si="14"/>
        <v>#VALUE!</v>
      </c>
      <c r="L259">
        <f>IF($A259="","",IF($E259&lt;&gt;"",0,IF(COUNTIFS(個体台帳!$A:$A,$B259,個体台帳!$E:$E,"&lt;&gt;貸出中")&gt;0,1,0)))</f>
        <v>1</v>
      </c>
      <c r="M259">
        <f>IF($A259="","",IF($E259&lt;&gt;"",0,IF(COUNTIFS(個体台帳!$A:$A,$B259,個体台帳!$E:$E,"廃棄")&gt;0,1,0)))</f>
        <v>0</v>
      </c>
    </row>
    <row r="260" spans="1:13">
      <c r="A260" t="s">
        <v>811</v>
      </c>
      <c r="B260" t="s">
        <v>6</v>
      </c>
      <c r="C260" t="s">
        <v>6</v>
      </c>
      <c r="D260" s="12" t="s">
        <v>6</v>
      </c>
      <c r="E260" s="11" t="s">
        <v>6</v>
      </c>
      <c r="F260" s="16" t="s">
        <v>6</v>
      </c>
      <c r="G260" t="s">
        <v>6</v>
      </c>
      <c r="H260" t="s">
        <v>6</v>
      </c>
      <c r="I260">
        <f t="shared" si="12"/>
        <v>1</v>
      </c>
      <c r="J260" t="str">
        <f t="shared" ca="1" si="13"/>
        <v/>
      </c>
      <c r="K260" t="e">
        <f t="shared" ca="1" si="14"/>
        <v>#VALUE!</v>
      </c>
      <c r="L260">
        <f>IF($A260="","",IF($E260&lt;&gt;"",0,IF(COUNTIFS(個体台帳!$A:$A,$B260,個体台帳!$E:$E,"&lt;&gt;貸出中")&gt;0,1,0)))</f>
        <v>1</v>
      </c>
      <c r="M260">
        <f>IF($A260="","",IF($E260&lt;&gt;"",0,IF(COUNTIFS(個体台帳!$A:$A,$B260,個体台帳!$E:$E,"廃棄")&gt;0,1,0)))</f>
        <v>0</v>
      </c>
    </row>
    <row r="261" spans="1:13">
      <c r="A261" t="s">
        <v>812</v>
      </c>
      <c r="B261" t="s">
        <v>6</v>
      </c>
      <c r="C261" t="s">
        <v>6</v>
      </c>
      <c r="D261" s="12" t="s">
        <v>6</v>
      </c>
      <c r="E261" s="11" t="s">
        <v>6</v>
      </c>
      <c r="F261" s="16" t="s">
        <v>6</v>
      </c>
      <c r="G261" t="s">
        <v>6</v>
      </c>
      <c r="H261" t="s">
        <v>6</v>
      </c>
      <c r="I261">
        <f t="shared" si="12"/>
        <v>1</v>
      </c>
      <c r="J261" t="str">
        <f t="shared" ca="1" si="13"/>
        <v/>
      </c>
      <c r="K261" t="e">
        <f t="shared" ca="1" si="14"/>
        <v>#VALUE!</v>
      </c>
      <c r="L261">
        <f>IF($A261="","",IF($E261&lt;&gt;"",0,IF(COUNTIFS(個体台帳!$A:$A,$B261,個体台帳!$E:$E,"&lt;&gt;貸出中")&gt;0,1,0)))</f>
        <v>1</v>
      </c>
      <c r="M261">
        <f>IF($A261="","",IF($E261&lt;&gt;"",0,IF(COUNTIFS(個体台帳!$A:$A,$B261,個体台帳!$E:$E,"廃棄")&gt;0,1,0)))</f>
        <v>0</v>
      </c>
    </row>
    <row r="262" spans="1:13">
      <c r="A262" t="s">
        <v>813</v>
      </c>
      <c r="B262" t="s">
        <v>6</v>
      </c>
      <c r="C262" t="s">
        <v>6</v>
      </c>
      <c r="D262" s="12" t="s">
        <v>6</v>
      </c>
      <c r="E262" s="11" t="s">
        <v>6</v>
      </c>
      <c r="F262" s="16" t="s">
        <v>6</v>
      </c>
      <c r="G262" t="s">
        <v>6</v>
      </c>
      <c r="H262" t="s">
        <v>6</v>
      </c>
      <c r="I262">
        <f t="shared" si="12"/>
        <v>1</v>
      </c>
      <c r="J262" t="str">
        <f t="shared" ca="1" si="13"/>
        <v/>
      </c>
      <c r="K262" t="e">
        <f t="shared" ca="1" si="14"/>
        <v>#VALUE!</v>
      </c>
      <c r="L262">
        <f>IF($A262="","",IF($E262&lt;&gt;"",0,IF(COUNTIFS(個体台帳!$A:$A,$B262,個体台帳!$E:$E,"&lt;&gt;貸出中")&gt;0,1,0)))</f>
        <v>1</v>
      </c>
      <c r="M262">
        <f>IF($A262="","",IF($E262&lt;&gt;"",0,IF(COUNTIFS(個体台帳!$A:$A,$B262,個体台帳!$E:$E,"廃棄")&gt;0,1,0)))</f>
        <v>0</v>
      </c>
    </row>
    <row r="263" spans="1:13">
      <c r="A263" t="s">
        <v>814</v>
      </c>
      <c r="B263" t="s">
        <v>6</v>
      </c>
      <c r="C263" t="s">
        <v>6</v>
      </c>
      <c r="D263" s="12" t="s">
        <v>6</v>
      </c>
      <c r="E263" s="11" t="s">
        <v>6</v>
      </c>
      <c r="F263" s="16" t="s">
        <v>6</v>
      </c>
      <c r="G263" t="s">
        <v>6</v>
      </c>
      <c r="H263" t="s">
        <v>6</v>
      </c>
      <c r="I263">
        <f t="shared" si="12"/>
        <v>1</v>
      </c>
      <c r="J263" t="str">
        <f t="shared" ca="1" si="13"/>
        <v/>
      </c>
      <c r="K263" t="e">
        <f t="shared" ca="1" si="14"/>
        <v>#VALUE!</v>
      </c>
      <c r="L263">
        <f>IF($A263="","",IF($E263&lt;&gt;"",0,IF(COUNTIFS(個体台帳!$A:$A,$B263,個体台帳!$E:$E,"&lt;&gt;貸出中")&gt;0,1,0)))</f>
        <v>1</v>
      </c>
      <c r="M263">
        <f>IF($A263="","",IF($E263&lt;&gt;"",0,IF(COUNTIFS(個体台帳!$A:$A,$B263,個体台帳!$E:$E,"廃棄")&gt;0,1,0)))</f>
        <v>0</v>
      </c>
    </row>
    <row r="264" spans="1:13">
      <c r="A264" t="s">
        <v>815</v>
      </c>
      <c r="B264" t="s">
        <v>6</v>
      </c>
      <c r="C264" t="s">
        <v>6</v>
      </c>
      <c r="D264" s="12" t="s">
        <v>6</v>
      </c>
      <c r="E264" s="11" t="s">
        <v>6</v>
      </c>
      <c r="F264" s="16" t="s">
        <v>6</v>
      </c>
      <c r="G264" t="s">
        <v>6</v>
      </c>
      <c r="H264" t="s">
        <v>6</v>
      </c>
      <c r="I264">
        <f t="shared" si="12"/>
        <v>1</v>
      </c>
      <c r="J264" t="str">
        <f t="shared" ca="1" si="13"/>
        <v/>
      </c>
      <c r="K264" t="e">
        <f t="shared" ca="1" si="14"/>
        <v>#VALUE!</v>
      </c>
      <c r="L264">
        <f>IF($A264="","",IF($E264&lt;&gt;"",0,IF(COUNTIFS(個体台帳!$A:$A,$B264,個体台帳!$E:$E,"&lt;&gt;貸出中")&gt;0,1,0)))</f>
        <v>1</v>
      </c>
      <c r="M264">
        <f>IF($A264="","",IF($E264&lt;&gt;"",0,IF(COUNTIFS(個体台帳!$A:$A,$B264,個体台帳!$E:$E,"廃棄")&gt;0,1,0)))</f>
        <v>0</v>
      </c>
    </row>
    <row r="265" spans="1:13">
      <c r="A265" t="s">
        <v>816</v>
      </c>
      <c r="B265" t="s">
        <v>6</v>
      </c>
      <c r="C265" t="s">
        <v>6</v>
      </c>
      <c r="D265" s="12" t="s">
        <v>6</v>
      </c>
      <c r="E265" s="11" t="s">
        <v>6</v>
      </c>
      <c r="F265" s="16" t="s">
        <v>6</v>
      </c>
      <c r="G265" t="s">
        <v>6</v>
      </c>
      <c r="H265" t="s">
        <v>6</v>
      </c>
      <c r="I265">
        <f t="shared" si="12"/>
        <v>1</v>
      </c>
      <c r="J265" t="str">
        <f t="shared" ca="1" si="13"/>
        <v/>
      </c>
      <c r="K265" t="e">
        <f t="shared" ca="1" si="14"/>
        <v>#VALUE!</v>
      </c>
      <c r="L265">
        <f>IF($A265="","",IF($E265&lt;&gt;"",0,IF(COUNTIFS(個体台帳!$A:$A,$B265,個体台帳!$E:$E,"&lt;&gt;貸出中")&gt;0,1,0)))</f>
        <v>1</v>
      </c>
      <c r="M265">
        <f>IF($A265="","",IF($E265&lt;&gt;"",0,IF(COUNTIFS(個体台帳!$A:$A,$B265,個体台帳!$E:$E,"廃棄")&gt;0,1,0)))</f>
        <v>0</v>
      </c>
    </row>
    <row r="266" spans="1:13">
      <c r="A266" t="s">
        <v>817</v>
      </c>
      <c r="B266" t="s">
        <v>6</v>
      </c>
      <c r="C266" t="s">
        <v>6</v>
      </c>
      <c r="D266" s="12" t="s">
        <v>6</v>
      </c>
      <c r="E266" s="11" t="s">
        <v>6</v>
      </c>
      <c r="F266" s="16" t="s">
        <v>6</v>
      </c>
      <c r="G266" t="s">
        <v>6</v>
      </c>
      <c r="H266" t="s">
        <v>6</v>
      </c>
      <c r="I266">
        <f t="shared" si="12"/>
        <v>1</v>
      </c>
      <c r="J266" t="str">
        <f t="shared" ca="1" si="13"/>
        <v/>
      </c>
      <c r="K266" t="e">
        <f t="shared" ca="1" si="14"/>
        <v>#VALUE!</v>
      </c>
      <c r="L266">
        <f>IF($A266="","",IF($E266&lt;&gt;"",0,IF(COUNTIFS(個体台帳!$A:$A,$B266,個体台帳!$E:$E,"&lt;&gt;貸出中")&gt;0,1,0)))</f>
        <v>1</v>
      </c>
      <c r="M266">
        <f>IF($A266="","",IF($E266&lt;&gt;"",0,IF(COUNTIFS(個体台帳!$A:$A,$B266,個体台帳!$E:$E,"廃棄")&gt;0,1,0)))</f>
        <v>0</v>
      </c>
    </row>
    <row r="267" spans="1:13">
      <c r="A267" t="s">
        <v>818</v>
      </c>
      <c r="B267" t="s">
        <v>6</v>
      </c>
      <c r="C267" t="s">
        <v>6</v>
      </c>
      <c r="D267" s="12" t="s">
        <v>6</v>
      </c>
      <c r="E267" s="11" t="s">
        <v>6</v>
      </c>
      <c r="F267" s="16" t="s">
        <v>6</v>
      </c>
      <c r="G267" t="s">
        <v>6</v>
      </c>
      <c r="H267" t="s">
        <v>6</v>
      </c>
      <c r="I267">
        <f t="shared" si="12"/>
        <v>1</v>
      </c>
      <c r="J267" t="str">
        <f t="shared" ca="1" si="13"/>
        <v/>
      </c>
      <c r="K267" t="e">
        <f t="shared" ca="1" si="14"/>
        <v>#VALUE!</v>
      </c>
      <c r="L267">
        <f>IF($A267="","",IF($E267&lt;&gt;"",0,IF(COUNTIFS(個体台帳!$A:$A,$B267,個体台帳!$E:$E,"&lt;&gt;貸出中")&gt;0,1,0)))</f>
        <v>1</v>
      </c>
      <c r="M267">
        <f>IF($A267="","",IF($E267&lt;&gt;"",0,IF(COUNTIFS(個体台帳!$A:$A,$B267,個体台帳!$E:$E,"廃棄")&gt;0,1,0)))</f>
        <v>0</v>
      </c>
    </row>
    <row r="268" spans="1:13">
      <c r="A268" t="s">
        <v>819</v>
      </c>
      <c r="B268" t="s">
        <v>6</v>
      </c>
      <c r="C268" t="s">
        <v>6</v>
      </c>
      <c r="D268" s="12" t="s">
        <v>6</v>
      </c>
      <c r="E268" s="11" t="s">
        <v>6</v>
      </c>
      <c r="F268" s="16" t="s">
        <v>6</v>
      </c>
      <c r="G268" t="s">
        <v>6</v>
      </c>
      <c r="H268" t="s">
        <v>6</v>
      </c>
      <c r="I268">
        <f t="shared" si="12"/>
        <v>1</v>
      </c>
      <c r="J268" t="str">
        <f t="shared" ca="1" si="13"/>
        <v/>
      </c>
      <c r="K268" t="e">
        <f t="shared" ca="1" si="14"/>
        <v>#VALUE!</v>
      </c>
      <c r="L268">
        <f>IF($A268="","",IF($E268&lt;&gt;"",0,IF(COUNTIFS(個体台帳!$A:$A,$B268,個体台帳!$E:$E,"&lt;&gt;貸出中")&gt;0,1,0)))</f>
        <v>1</v>
      </c>
      <c r="M268">
        <f>IF($A268="","",IF($E268&lt;&gt;"",0,IF(COUNTIFS(個体台帳!$A:$A,$B268,個体台帳!$E:$E,"廃棄")&gt;0,1,0)))</f>
        <v>0</v>
      </c>
    </row>
    <row r="269" spans="1:13">
      <c r="A269" t="s">
        <v>820</v>
      </c>
      <c r="B269" t="s">
        <v>6</v>
      </c>
      <c r="C269" t="s">
        <v>6</v>
      </c>
      <c r="D269" s="12" t="s">
        <v>6</v>
      </c>
      <c r="E269" s="11" t="s">
        <v>6</v>
      </c>
      <c r="F269" s="16" t="s">
        <v>6</v>
      </c>
      <c r="G269" t="s">
        <v>6</v>
      </c>
      <c r="H269" t="s">
        <v>6</v>
      </c>
      <c r="I269">
        <f t="shared" si="12"/>
        <v>1</v>
      </c>
      <c r="J269" t="str">
        <f t="shared" ca="1" si="13"/>
        <v/>
      </c>
      <c r="K269" t="e">
        <f t="shared" ca="1" si="14"/>
        <v>#VALUE!</v>
      </c>
      <c r="L269">
        <f>IF($A269="","",IF($E269&lt;&gt;"",0,IF(COUNTIFS(個体台帳!$A:$A,$B269,個体台帳!$E:$E,"&lt;&gt;貸出中")&gt;0,1,0)))</f>
        <v>1</v>
      </c>
      <c r="M269">
        <f>IF($A269="","",IF($E269&lt;&gt;"",0,IF(COUNTIFS(個体台帳!$A:$A,$B269,個体台帳!$E:$E,"廃棄")&gt;0,1,0)))</f>
        <v>0</v>
      </c>
    </row>
    <row r="270" spans="1:13">
      <c r="A270" t="s">
        <v>821</v>
      </c>
      <c r="B270" t="s">
        <v>6</v>
      </c>
      <c r="C270" t="s">
        <v>6</v>
      </c>
      <c r="D270" s="12" t="s">
        <v>6</v>
      </c>
      <c r="E270" s="11" t="s">
        <v>6</v>
      </c>
      <c r="F270" s="16" t="s">
        <v>6</v>
      </c>
      <c r="G270" t="s">
        <v>6</v>
      </c>
      <c r="H270" t="s">
        <v>6</v>
      </c>
      <c r="I270">
        <f t="shared" si="12"/>
        <v>1</v>
      </c>
      <c r="J270" t="str">
        <f t="shared" ca="1" si="13"/>
        <v/>
      </c>
      <c r="K270" t="e">
        <f t="shared" ca="1" si="14"/>
        <v>#VALUE!</v>
      </c>
      <c r="L270">
        <f>IF($A270="","",IF($E270&lt;&gt;"",0,IF(COUNTIFS(個体台帳!$A:$A,$B270,個体台帳!$E:$E,"&lt;&gt;貸出中")&gt;0,1,0)))</f>
        <v>1</v>
      </c>
      <c r="M270">
        <f>IF($A270="","",IF($E270&lt;&gt;"",0,IF(COUNTIFS(個体台帳!$A:$A,$B270,個体台帳!$E:$E,"廃棄")&gt;0,1,0)))</f>
        <v>0</v>
      </c>
    </row>
    <row r="271" spans="1:13">
      <c r="A271" t="s">
        <v>822</v>
      </c>
      <c r="B271" t="s">
        <v>6</v>
      </c>
      <c r="C271" t="s">
        <v>6</v>
      </c>
      <c r="D271" s="12" t="s">
        <v>6</v>
      </c>
      <c r="E271" s="11" t="s">
        <v>6</v>
      </c>
      <c r="F271" s="16" t="s">
        <v>6</v>
      </c>
      <c r="G271" t="s">
        <v>6</v>
      </c>
      <c r="H271" t="s">
        <v>6</v>
      </c>
      <c r="I271">
        <f t="shared" si="12"/>
        <v>1</v>
      </c>
      <c r="J271" t="str">
        <f t="shared" ca="1" si="13"/>
        <v/>
      </c>
      <c r="K271" t="e">
        <f t="shared" ca="1" si="14"/>
        <v>#VALUE!</v>
      </c>
      <c r="L271">
        <f>IF($A271="","",IF($E271&lt;&gt;"",0,IF(COUNTIFS(個体台帳!$A:$A,$B271,個体台帳!$E:$E,"&lt;&gt;貸出中")&gt;0,1,0)))</f>
        <v>1</v>
      </c>
      <c r="M271">
        <f>IF($A271="","",IF($E271&lt;&gt;"",0,IF(COUNTIFS(個体台帳!$A:$A,$B271,個体台帳!$E:$E,"廃棄")&gt;0,1,0)))</f>
        <v>0</v>
      </c>
    </row>
    <row r="272" spans="1:13">
      <c r="A272" t="s">
        <v>823</v>
      </c>
      <c r="B272" t="s">
        <v>6</v>
      </c>
      <c r="C272" t="s">
        <v>6</v>
      </c>
      <c r="D272" s="12" t="s">
        <v>6</v>
      </c>
      <c r="E272" s="11" t="s">
        <v>6</v>
      </c>
      <c r="F272" s="16" t="s">
        <v>6</v>
      </c>
      <c r="G272" t="s">
        <v>6</v>
      </c>
      <c r="H272" t="s">
        <v>6</v>
      </c>
      <c r="I272">
        <f t="shared" si="12"/>
        <v>1</v>
      </c>
      <c r="J272" t="str">
        <f t="shared" ca="1" si="13"/>
        <v/>
      </c>
      <c r="K272" t="e">
        <f t="shared" ca="1" si="14"/>
        <v>#VALUE!</v>
      </c>
      <c r="L272">
        <f>IF($A272="","",IF($E272&lt;&gt;"",0,IF(COUNTIFS(個体台帳!$A:$A,$B272,個体台帳!$E:$E,"&lt;&gt;貸出中")&gt;0,1,0)))</f>
        <v>1</v>
      </c>
      <c r="M272">
        <f>IF($A272="","",IF($E272&lt;&gt;"",0,IF(COUNTIFS(個体台帳!$A:$A,$B272,個体台帳!$E:$E,"廃棄")&gt;0,1,0)))</f>
        <v>0</v>
      </c>
    </row>
    <row r="273" spans="1:13">
      <c r="A273" t="s">
        <v>824</v>
      </c>
      <c r="B273" t="s">
        <v>6</v>
      </c>
      <c r="C273" t="s">
        <v>6</v>
      </c>
      <c r="D273" s="12" t="s">
        <v>6</v>
      </c>
      <c r="E273" s="11" t="s">
        <v>6</v>
      </c>
      <c r="F273" s="16" t="s">
        <v>6</v>
      </c>
      <c r="G273" t="s">
        <v>6</v>
      </c>
      <c r="H273" t="s">
        <v>6</v>
      </c>
      <c r="I273">
        <f t="shared" si="12"/>
        <v>1</v>
      </c>
      <c r="J273" t="str">
        <f t="shared" ca="1" si="13"/>
        <v/>
      </c>
      <c r="K273" t="e">
        <f t="shared" ca="1" si="14"/>
        <v>#VALUE!</v>
      </c>
      <c r="L273">
        <f>IF($A273="","",IF($E273&lt;&gt;"",0,IF(COUNTIFS(個体台帳!$A:$A,$B273,個体台帳!$E:$E,"&lt;&gt;貸出中")&gt;0,1,0)))</f>
        <v>1</v>
      </c>
      <c r="M273">
        <f>IF($A273="","",IF($E273&lt;&gt;"",0,IF(COUNTIFS(個体台帳!$A:$A,$B273,個体台帳!$E:$E,"廃棄")&gt;0,1,0)))</f>
        <v>0</v>
      </c>
    </row>
    <row r="274" spans="1:13">
      <c r="A274" t="s">
        <v>825</v>
      </c>
      <c r="B274" t="s">
        <v>6</v>
      </c>
      <c r="C274" t="s">
        <v>6</v>
      </c>
      <c r="D274" s="12" t="s">
        <v>6</v>
      </c>
      <c r="E274" s="11" t="s">
        <v>6</v>
      </c>
      <c r="F274" s="16" t="s">
        <v>6</v>
      </c>
      <c r="G274" t="s">
        <v>6</v>
      </c>
      <c r="H274" t="s">
        <v>6</v>
      </c>
      <c r="I274">
        <f t="shared" si="12"/>
        <v>1</v>
      </c>
      <c r="J274" t="str">
        <f t="shared" ca="1" si="13"/>
        <v/>
      </c>
      <c r="K274" t="e">
        <f t="shared" ca="1" si="14"/>
        <v>#VALUE!</v>
      </c>
      <c r="L274">
        <f>IF($A274="","",IF($E274&lt;&gt;"",0,IF(COUNTIFS(個体台帳!$A:$A,$B274,個体台帳!$E:$E,"&lt;&gt;貸出中")&gt;0,1,0)))</f>
        <v>1</v>
      </c>
      <c r="M274">
        <f>IF($A274="","",IF($E274&lt;&gt;"",0,IF(COUNTIFS(個体台帳!$A:$A,$B274,個体台帳!$E:$E,"廃棄")&gt;0,1,0)))</f>
        <v>0</v>
      </c>
    </row>
    <row r="275" spans="1:13">
      <c r="A275" t="s">
        <v>826</v>
      </c>
      <c r="B275" t="s">
        <v>6</v>
      </c>
      <c r="C275" t="s">
        <v>6</v>
      </c>
      <c r="D275" s="12" t="s">
        <v>6</v>
      </c>
      <c r="E275" s="11" t="s">
        <v>6</v>
      </c>
      <c r="F275" s="16" t="s">
        <v>6</v>
      </c>
      <c r="G275" t="s">
        <v>6</v>
      </c>
      <c r="H275" t="s">
        <v>6</v>
      </c>
      <c r="I275">
        <f t="shared" si="12"/>
        <v>1</v>
      </c>
      <c r="J275" t="str">
        <f t="shared" ca="1" si="13"/>
        <v/>
      </c>
      <c r="K275" t="e">
        <f t="shared" ca="1" si="14"/>
        <v>#VALUE!</v>
      </c>
      <c r="L275">
        <f>IF($A275="","",IF($E275&lt;&gt;"",0,IF(COUNTIFS(個体台帳!$A:$A,$B275,個体台帳!$E:$E,"&lt;&gt;貸出中")&gt;0,1,0)))</f>
        <v>1</v>
      </c>
      <c r="M275">
        <f>IF($A275="","",IF($E275&lt;&gt;"",0,IF(COUNTIFS(個体台帳!$A:$A,$B275,個体台帳!$E:$E,"廃棄")&gt;0,1,0)))</f>
        <v>0</v>
      </c>
    </row>
    <row r="276" spans="1:13">
      <c r="A276" t="s">
        <v>827</v>
      </c>
      <c r="B276" t="s">
        <v>6</v>
      </c>
      <c r="C276" t="s">
        <v>6</v>
      </c>
      <c r="D276" s="12" t="s">
        <v>6</v>
      </c>
      <c r="E276" s="11" t="s">
        <v>6</v>
      </c>
      <c r="F276" s="16" t="s">
        <v>6</v>
      </c>
      <c r="G276" t="s">
        <v>6</v>
      </c>
      <c r="H276" t="s">
        <v>6</v>
      </c>
      <c r="I276">
        <f t="shared" si="12"/>
        <v>1</v>
      </c>
      <c r="J276" t="str">
        <f t="shared" ca="1" si="13"/>
        <v/>
      </c>
      <c r="K276" t="e">
        <f t="shared" ca="1" si="14"/>
        <v>#VALUE!</v>
      </c>
      <c r="L276">
        <f>IF($A276="","",IF($E276&lt;&gt;"",0,IF(COUNTIFS(個体台帳!$A:$A,$B276,個体台帳!$E:$E,"&lt;&gt;貸出中")&gt;0,1,0)))</f>
        <v>1</v>
      </c>
      <c r="M276">
        <f>IF($A276="","",IF($E276&lt;&gt;"",0,IF(COUNTIFS(個体台帳!$A:$A,$B276,個体台帳!$E:$E,"廃棄")&gt;0,1,0)))</f>
        <v>0</v>
      </c>
    </row>
    <row r="277" spans="1:13">
      <c r="A277" t="s">
        <v>828</v>
      </c>
      <c r="B277" t="s">
        <v>6</v>
      </c>
      <c r="C277" t="s">
        <v>6</v>
      </c>
      <c r="D277" s="12" t="s">
        <v>6</v>
      </c>
      <c r="E277" s="11" t="s">
        <v>6</v>
      </c>
      <c r="F277" s="16" t="s">
        <v>6</v>
      </c>
      <c r="G277" t="s">
        <v>6</v>
      </c>
      <c r="H277" t="s">
        <v>6</v>
      </c>
      <c r="I277">
        <f t="shared" si="12"/>
        <v>1</v>
      </c>
      <c r="J277" t="str">
        <f t="shared" ca="1" si="13"/>
        <v/>
      </c>
      <c r="K277" t="e">
        <f t="shared" ca="1" si="14"/>
        <v>#VALUE!</v>
      </c>
      <c r="L277">
        <f>IF($A277="","",IF($E277&lt;&gt;"",0,IF(COUNTIFS(個体台帳!$A:$A,$B277,個体台帳!$E:$E,"&lt;&gt;貸出中")&gt;0,1,0)))</f>
        <v>1</v>
      </c>
      <c r="M277">
        <f>IF($A277="","",IF($E277&lt;&gt;"",0,IF(COUNTIFS(個体台帳!$A:$A,$B277,個体台帳!$E:$E,"廃棄")&gt;0,1,0)))</f>
        <v>0</v>
      </c>
    </row>
    <row r="278" spans="1:13">
      <c r="A278" t="s">
        <v>829</v>
      </c>
      <c r="B278" t="s">
        <v>6</v>
      </c>
      <c r="C278" t="s">
        <v>6</v>
      </c>
      <c r="D278" s="12" t="s">
        <v>6</v>
      </c>
      <c r="E278" s="11" t="s">
        <v>6</v>
      </c>
      <c r="F278" s="16" t="s">
        <v>6</v>
      </c>
      <c r="G278" t="s">
        <v>6</v>
      </c>
      <c r="H278" t="s">
        <v>6</v>
      </c>
      <c r="I278">
        <f t="shared" si="12"/>
        <v>1</v>
      </c>
      <c r="J278" t="str">
        <f t="shared" ca="1" si="13"/>
        <v/>
      </c>
      <c r="K278" t="e">
        <f t="shared" ca="1" si="14"/>
        <v>#VALUE!</v>
      </c>
      <c r="L278">
        <f>IF($A278="","",IF($E278&lt;&gt;"",0,IF(COUNTIFS(個体台帳!$A:$A,$B278,個体台帳!$E:$E,"&lt;&gt;貸出中")&gt;0,1,0)))</f>
        <v>1</v>
      </c>
      <c r="M278">
        <f>IF($A278="","",IF($E278&lt;&gt;"",0,IF(COUNTIFS(個体台帳!$A:$A,$B278,個体台帳!$E:$E,"廃棄")&gt;0,1,0)))</f>
        <v>0</v>
      </c>
    </row>
    <row r="279" spans="1:13">
      <c r="A279" t="s">
        <v>830</v>
      </c>
      <c r="B279" t="s">
        <v>6</v>
      </c>
      <c r="C279" t="s">
        <v>6</v>
      </c>
      <c r="D279" s="12" t="s">
        <v>6</v>
      </c>
      <c r="E279" s="11" t="s">
        <v>6</v>
      </c>
      <c r="F279" s="16" t="s">
        <v>6</v>
      </c>
      <c r="G279" t="s">
        <v>6</v>
      </c>
      <c r="H279" t="s">
        <v>6</v>
      </c>
      <c r="I279">
        <f t="shared" si="12"/>
        <v>1</v>
      </c>
      <c r="J279" t="str">
        <f t="shared" ca="1" si="13"/>
        <v/>
      </c>
      <c r="K279" t="e">
        <f t="shared" ca="1" si="14"/>
        <v>#VALUE!</v>
      </c>
      <c r="L279">
        <f>IF($A279="","",IF($E279&lt;&gt;"",0,IF(COUNTIFS(個体台帳!$A:$A,$B279,個体台帳!$E:$E,"&lt;&gt;貸出中")&gt;0,1,0)))</f>
        <v>1</v>
      </c>
      <c r="M279">
        <f>IF($A279="","",IF($E279&lt;&gt;"",0,IF(COUNTIFS(個体台帳!$A:$A,$B279,個体台帳!$E:$E,"廃棄")&gt;0,1,0)))</f>
        <v>0</v>
      </c>
    </row>
    <row r="280" spans="1:13">
      <c r="A280" t="s">
        <v>831</v>
      </c>
      <c r="B280" t="s">
        <v>6</v>
      </c>
      <c r="C280" t="s">
        <v>6</v>
      </c>
      <c r="D280" s="12" t="s">
        <v>6</v>
      </c>
      <c r="E280" s="11" t="s">
        <v>6</v>
      </c>
      <c r="F280" s="16" t="s">
        <v>6</v>
      </c>
      <c r="G280" t="s">
        <v>6</v>
      </c>
      <c r="H280" t="s">
        <v>6</v>
      </c>
      <c r="I280">
        <f t="shared" si="12"/>
        <v>1</v>
      </c>
      <c r="J280" t="str">
        <f t="shared" ca="1" si="13"/>
        <v/>
      </c>
      <c r="K280" t="e">
        <f t="shared" ca="1" si="14"/>
        <v>#VALUE!</v>
      </c>
      <c r="L280">
        <f>IF($A280="","",IF($E280&lt;&gt;"",0,IF(COUNTIFS(個体台帳!$A:$A,$B280,個体台帳!$E:$E,"&lt;&gt;貸出中")&gt;0,1,0)))</f>
        <v>1</v>
      </c>
      <c r="M280">
        <f>IF($A280="","",IF($E280&lt;&gt;"",0,IF(COUNTIFS(個体台帳!$A:$A,$B280,個体台帳!$E:$E,"廃棄")&gt;0,1,0)))</f>
        <v>0</v>
      </c>
    </row>
    <row r="281" spans="1:13">
      <c r="A281" t="s">
        <v>832</v>
      </c>
      <c r="B281" t="s">
        <v>6</v>
      </c>
      <c r="C281" t="s">
        <v>6</v>
      </c>
      <c r="D281" s="12" t="s">
        <v>6</v>
      </c>
      <c r="E281" s="11" t="s">
        <v>6</v>
      </c>
      <c r="F281" s="16" t="s">
        <v>6</v>
      </c>
      <c r="G281" t="s">
        <v>6</v>
      </c>
      <c r="H281" t="s">
        <v>6</v>
      </c>
      <c r="I281">
        <f t="shared" si="12"/>
        <v>1</v>
      </c>
      <c r="J281" t="str">
        <f t="shared" ca="1" si="13"/>
        <v/>
      </c>
      <c r="K281" t="e">
        <f t="shared" ca="1" si="14"/>
        <v>#VALUE!</v>
      </c>
      <c r="L281">
        <f>IF($A281="","",IF($E281&lt;&gt;"",0,IF(COUNTIFS(個体台帳!$A:$A,$B281,個体台帳!$E:$E,"&lt;&gt;貸出中")&gt;0,1,0)))</f>
        <v>1</v>
      </c>
      <c r="M281">
        <f>IF($A281="","",IF($E281&lt;&gt;"",0,IF(COUNTIFS(個体台帳!$A:$A,$B281,個体台帳!$E:$E,"廃棄")&gt;0,1,0)))</f>
        <v>0</v>
      </c>
    </row>
    <row r="282" spans="1:13">
      <c r="A282" t="s">
        <v>833</v>
      </c>
      <c r="B282" t="s">
        <v>6</v>
      </c>
      <c r="C282" t="s">
        <v>6</v>
      </c>
      <c r="D282" s="12" t="s">
        <v>6</v>
      </c>
      <c r="E282" s="11" t="s">
        <v>6</v>
      </c>
      <c r="F282" s="16" t="s">
        <v>6</v>
      </c>
      <c r="G282" t="s">
        <v>6</v>
      </c>
      <c r="H282" t="s">
        <v>6</v>
      </c>
      <c r="I282">
        <f t="shared" si="12"/>
        <v>1</v>
      </c>
      <c r="J282" t="str">
        <f t="shared" ca="1" si="13"/>
        <v/>
      </c>
      <c r="K282" t="e">
        <f t="shared" ca="1" si="14"/>
        <v>#VALUE!</v>
      </c>
      <c r="L282">
        <f>IF($A282="","",IF($E282&lt;&gt;"",0,IF(COUNTIFS(個体台帳!$A:$A,$B282,個体台帳!$E:$E,"&lt;&gt;貸出中")&gt;0,1,0)))</f>
        <v>1</v>
      </c>
      <c r="M282">
        <f>IF($A282="","",IF($E282&lt;&gt;"",0,IF(COUNTIFS(個体台帳!$A:$A,$B282,個体台帳!$E:$E,"廃棄")&gt;0,1,0)))</f>
        <v>0</v>
      </c>
    </row>
    <row r="283" spans="1:13">
      <c r="A283" t="s">
        <v>834</v>
      </c>
      <c r="B283" t="s">
        <v>6</v>
      </c>
      <c r="C283" t="s">
        <v>6</v>
      </c>
      <c r="D283" s="12" t="s">
        <v>6</v>
      </c>
      <c r="E283" s="11" t="s">
        <v>6</v>
      </c>
      <c r="F283" s="16" t="s">
        <v>6</v>
      </c>
      <c r="G283" t="s">
        <v>6</v>
      </c>
      <c r="H283" t="s">
        <v>6</v>
      </c>
      <c r="I283">
        <f t="shared" si="12"/>
        <v>1</v>
      </c>
      <c r="J283" t="str">
        <f t="shared" ca="1" si="13"/>
        <v/>
      </c>
      <c r="K283" t="e">
        <f t="shared" ca="1" si="14"/>
        <v>#VALUE!</v>
      </c>
      <c r="L283">
        <f>IF($A283="","",IF($E283&lt;&gt;"",0,IF(COUNTIFS(個体台帳!$A:$A,$B283,個体台帳!$E:$E,"&lt;&gt;貸出中")&gt;0,1,0)))</f>
        <v>1</v>
      </c>
      <c r="M283">
        <f>IF($A283="","",IF($E283&lt;&gt;"",0,IF(COUNTIFS(個体台帳!$A:$A,$B283,個体台帳!$E:$E,"廃棄")&gt;0,1,0)))</f>
        <v>0</v>
      </c>
    </row>
    <row r="284" spans="1:13">
      <c r="A284" t="s">
        <v>835</v>
      </c>
      <c r="B284" t="s">
        <v>6</v>
      </c>
      <c r="C284" t="s">
        <v>6</v>
      </c>
      <c r="D284" s="12" t="s">
        <v>6</v>
      </c>
      <c r="E284" s="11" t="s">
        <v>6</v>
      </c>
      <c r="F284" s="16" t="s">
        <v>6</v>
      </c>
      <c r="G284" t="s">
        <v>6</v>
      </c>
      <c r="H284" t="s">
        <v>6</v>
      </c>
      <c r="I284">
        <f t="shared" si="12"/>
        <v>1</v>
      </c>
      <c r="J284" t="str">
        <f t="shared" ca="1" si="13"/>
        <v/>
      </c>
      <c r="K284" t="e">
        <f t="shared" ca="1" si="14"/>
        <v>#VALUE!</v>
      </c>
      <c r="L284">
        <f>IF($A284="","",IF($E284&lt;&gt;"",0,IF(COUNTIFS(個体台帳!$A:$A,$B284,個体台帳!$E:$E,"&lt;&gt;貸出中")&gt;0,1,0)))</f>
        <v>1</v>
      </c>
      <c r="M284">
        <f>IF($A284="","",IF($E284&lt;&gt;"",0,IF(COUNTIFS(個体台帳!$A:$A,$B284,個体台帳!$E:$E,"廃棄")&gt;0,1,0)))</f>
        <v>0</v>
      </c>
    </row>
    <row r="285" spans="1:13">
      <c r="A285" t="s">
        <v>836</v>
      </c>
      <c r="B285" t="s">
        <v>6</v>
      </c>
      <c r="C285" t="s">
        <v>6</v>
      </c>
      <c r="D285" s="12" t="s">
        <v>6</v>
      </c>
      <c r="E285" s="11" t="s">
        <v>6</v>
      </c>
      <c r="F285" s="16" t="s">
        <v>6</v>
      </c>
      <c r="G285" t="s">
        <v>6</v>
      </c>
      <c r="H285" t="s">
        <v>6</v>
      </c>
      <c r="I285">
        <f t="shared" si="12"/>
        <v>1</v>
      </c>
      <c r="J285" t="str">
        <f t="shared" ca="1" si="13"/>
        <v/>
      </c>
      <c r="K285" t="e">
        <f t="shared" ca="1" si="14"/>
        <v>#VALUE!</v>
      </c>
      <c r="L285">
        <f>IF($A285="","",IF($E285&lt;&gt;"",0,IF(COUNTIFS(個体台帳!$A:$A,$B285,個体台帳!$E:$E,"&lt;&gt;貸出中")&gt;0,1,0)))</f>
        <v>1</v>
      </c>
      <c r="M285">
        <f>IF($A285="","",IF($E285&lt;&gt;"",0,IF(COUNTIFS(個体台帳!$A:$A,$B285,個体台帳!$E:$E,"廃棄")&gt;0,1,0)))</f>
        <v>0</v>
      </c>
    </row>
    <row r="286" spans="1:13">
      <c r="A286" t="s">
        <v>837</v>
      </c>
      <c r="B286" t="s">
        <v>6</v>
      </c>
      <c r="C286" t="s">
        <v>6</v>
      </c>
      <c r="D286" s="12" t="s">
        <v>6</v>
      </c>
      <c r="E286" s="11" t="s">
        <v>6</v>
      </c>
      <c r="F286" s="16" t="s">
        <v>6</v>
      </c>
      <c r="G286" t="s">
        <v>6</v>
      </c>
      <c r="H286" t="s">
        <v>6</v>
      </c>
      <c r="I286">
        <f t="shared" si="12"/>
        <v>1</v>
      </c>
      <c r="J286" t="str">
        <f t="shared" ca="1" si="13"/>
        <v/>
      </c>
      <c r="K286" t="e">
        <f t="shared" ca="1" si="14"/>
        <v>#VALUE!</v>
      </c>
      <c r="L286">
        <f>IF($A286="","",IF($E286&lt;&gt;"",0,IF(COUNTIFS(個体台帳!$A:$A,$B286,個体台帳!$E:$E,"&lt;&gt;貸出中")&gt;0,1,0)))</f>
        <v>1</v>
      </c>
      <c r="M286">
        <f>IF($A286="","",IF($E286&lt;&gt;"",0,IF(COUNTIFS(個体台帳!$A:$A,$B286,個体台帳!$E:$E,"廃棄")&gt;0,1,0)))</f>
        <v>0</v>
      </c>
    </row>
    <row r="287" spans="1:13">
      <c r="A287" t="s">
        <v>838</v>
      </c>
      <c r="B287" t="s">
        <v>6</v>
      </c>
      <c r="C287" t="s">
        <v>6</v>
      </c>
      <c r="D287" s="12" t="s">
        <v>6</v>
      </c>
      <c r="E287" s="11" t="s">
        <v>6</v>
      </c>
      <c r="F287" s="16" t="s">
        <v>6</v>
      </c>
      <c r="G287" t="s">
        <v>6</v>
      </c>
      <c r="H287" t="s">
        <v>6</v>
      </c>
      <c r="I287">
        <f t="shared" si="12"/>
        <v>1</v>
      </c>
      <c r="J287" t="str">
        <f t="shared" ca="1" si="13"/>
        <v/>
      </c>
      <c r="K287" t="e">
        <f t="shared" ca="1" si="14"/>
        <v>#VALUE!</v>
      </c>
      <c r="L287">
        <f>IF($A287="","",IF($E287&lt;&gt;"",0,IF(COUNTIFS(個体台帳!$A:$A,$B287,個体台帳!$E:$E,"&lt;&gt;貸出中")&gt;0,1,0)))</f>
        <v>1</v>
      </c>
      <c r="M287">
        <f>IF($A287="","",IF($E287&lt;&gt;"",0,IF(COUNTIFS(個体台帳!$A:$A,$B287,個体台帳!$E:$E,"廃棄")&gt;0,1,0)))</f>
        <v>0</v>
      </c>
    </row>
    <row r="288" spans="1:13">
      <c r="A288" t="s">
        <v>839</v>
      </c>
      <c r="B288" t="s">
        <v>6</v>
      </c>
      <c r="C288" t="s">
        <v>6</v>
      </c>
      <c r="D288" s="12" t="s">
        <v>6</v>
      </c>
      <c r="E288" s="11" t="s">
        <v>6</v>
      </c>
      <c r="F288" s="16" t="s">
        <v>6</v>
      </c>
      <c r="G288" t="s">
        <v>6</v>
      </c>
      <c r="H288" t="s">
        <v>6</v>
      </c>
      <c r="I288">
        <f t="shared" si="12"/>
        <v>1</v>
      </c>
      <c r="J288" t="str">
        <f t="shared" ca="1" si="13"/>
        <v/>
      </c>
      <c r="K288" t="e">
        <f t="shared" ca="1" si="14"/>
        <v>#VALUE!</v>
      </c>
      <c r="L288">
        <f>IF($A288="","",IF($E288&lt;&gt;"",0,IF(COUNTIFS(個体台帳!$A:$A,$B288,個体台帳!$E:$E,"&lt;&gt;貸出中")&gt;0,1,0)))</f>
        <v>1</v>
      </c>
      <c r="M288">
        <f>IF($A288="","",IF($E288&lt;&gt;"",0,IF(COUNTIFS(個体台帳!$A:$A,$B288,個体台帳!$E:$E,"廃棄")&gt;0,1,0)))</f>
        <v>0</v>
      </c>
    </row>
    <row r="289" spans="1:13">
      <c r="A289" t="s">
        <v>840</v>
      </c>
      <c r="B289" t="s">
        <v>6</v>
      </c>
      <c r="C289" t="s">
        <v>6</v>
      </c>
      <c r="D289" s="12" t="s">
        <v>6</v>
      </c>
      <c r="E289" s="11" t="s">
        <v>6</v>
      </c>
      <c r="F289" s="16" t="s">
        <v>6</v>
      </c>
      <c r="G289" t="s">
        <v>6</v>
      </c>
      <c r="H289" t="s">
        <v>6</v>
      </c>
      <c r="I289">
        <f t="shared" si="12"/>
        <v>1</v>
      </c>
      <c r="J289" t="str">
        <f t="shared" ca="1" si="13"/>
        <v/>
      </c>
      <c r="K289" t="e">
        <f t="shared" ca="1" si="14"/>
        <v>#VALUE!</v>
      </c>
      <c r="L289">
        <f>IF($A289="","",IF($E289&lt;&gt;"",0,IF(COUNTIFS(個体台帳!$A:$A,$B289,個体台帳!$E:$E,"&lt;&gt;貸出中")&gt;0,1,0)))</f>
        <v>1</v>
      </c>
      <c r="M289">
        <f>IF($A289="","",IF($E289&lt;&gt;"",0,IF(COUNTIFS(個体台帳!$A:$A,$B289,個体台帳!$E:$E,"廃棄")&gt;0,1,0)))</f>
        <v>0</v>
      </c>
    </row>
    <row r="290" spans="1:13">
      <c r="A290" t="s">
        <v>841</v>
      </c>
      <c r="B290" t="s">
        <v>6</v>
      </c>
      <c r="C290" t="s">
        <v>6</v>
      </c>
      <c r="D290" s="12" t="s">
        <v>6</v>
      </c>
      <c r="E290" s="11" t="s">
        <v>6</v>
      </c>
      <c r="F290" s="16" t="s">
        <v>6</v>
      </c>
      <c r="G290" t="s">
        <v>6</v>
      </c>
      <c r="H290" t="s">
        <v>6</v>
      </c>
      <c r="I290">
        <f t="shared" si="12"/>
        <v>1</v>
      </c>
      <c r="J290" t="str">
        <f t="shared" ca="1" si="13"/>
        <v/>
      </c>
      <c r="K290" t="e">
        <f t="shared" ca="1" si="14"/>
        <v>#VALUE!</v>
      </c>
      <c r="L290">
        <f>IF($A290="","",IF($E290&lt;&gt;"",0,IF(COUNTIFS(個体台帳!$A:$A,$B290,個体台帳!$E:$E,"&lt;&gt;貸出中")&gt;0,1,0)))</f>
        <v>1</v>
      </c>
      <c r="M290">
        <f>IF($A290="","",IF($E290&lt;&gt;"",0,IF(COUNTIFS(個体台帳!$A:$A,$B290,個体台帳!$E:$E,"廃棄")&gt;0,1,0)))</f>
        <v>0</v>
      </c>
    </row>
    <row r="291" spans="1:13">
      <c r="A291" t="s">
        <v>842</v>
      </c>
      <c r="B291" t="s">
        <v>6</v>
      </c>
      <c r="C291" t="s">
        <v>6</v>
      </c>
      <c r="D291" s="12" t="s">
        <v>6</v>
      </c>
      <c r="E291" s="11" t="s">
        <v>6</v>
      </c>
      <c r="F291" s="16" t="s">
        <v>6</v>
      </c>
      <c r="G291" t="s">
        <v>6</v>
      </c>
      <c r="H291" t="s">
        <v>6</v>
      </c>
      <c r="I291">
        <f t="shared" si="12"/>
        <v>1</v>
      </c>
      <c r="J291" t="str">
        <f t="shared" ca="1" si="13"/>
        <v/>
      </c>
      <c r="K291" t="e">
        <f t="shared" ca="1" si="14"/>
        <v>#VALUE!</v>
      </c>
      <c r="L291">
        <f>IF($A291="","",IF($E291&lt;&gt;"",0,IF(COUNTIFS(個体台帳!$A:$A,$B291,個体台帳!$E:$E,"&lt;&gt;貸出中")&gt;0,1,0)))</f>
        <v>1</v>
      </c>
      <c r="M291">
        <f>IF($A291="","",IF($E291&lt;&gt;"",0,IF(COUNTIFS(個体台帳!$A:$A,$B291,個体台帳!$E:$E,"廃棄")&gt;0,1,0)))</f>
        <v>0</v>
      </c>
    </row>
    <row r="292" spans="1:13">
      <c r="A292" t="s">
        <v>843</v>
      </c>
      <c r="B292" t="s">
        <v>6</v>
      </c>
      <c r="C292" t="s">
        <v>6</v>
      </c>
      <c r="D292" s="12" t="s">
        <v>6</v>
      </c>
      <c r="E292" s="11" t="s">
        <v>6</v>
      </c>
      <c r="F292" s="16" t="s">
        <v>6</v>
      </c>
      <c r="G292" t="s">
        <v>6</v>
      </c>
      <c r="H292" t="s">
        <v>6</v>
      </c>
      <c r="I292">
        <f t="shared" si="12"/>
        <v>1</v>
      </c>
      <c r="J292" t="str">
        <f t="shared" ca="1" si="13"/>
        <v/>
      </c>
      <c r="K292" t="e">
        <f t="shared" ca="1" si="14"/>
        <v>#VALUE!</v>
      </c>
      <c r="L292">
        <f>IF($A292="","",IF($E292&lt;&gt;"",0,IF(COUNTIFS(個体台帳!$A:$A,$B292,個体台帳!$E:$E,"&lt;&gt;貸出中")&gt;0,1,0)))</f>
        <v>1</v>
      </c>
      <c r="M292">
        <f>IF($A292="","",IF($E292&lt;&gt;"",0,IF(COUNTIFS(個体台帳!$A:$A,$B292,個体台帳!$E:$E,"廃棄")&gt;0,1,0)))</f>
        <v>0</v>
      </c>
    </row>
    <row r="293" spans="1:13">
      <c r="A293" t="s">
        <v>844</v>
      </c>
      <c r="B293" t="s">
        <v>6</v>
      </c>
      <c r="C293" t="s">
        <v>6</v>
      </c>
      <c r="D293" s="12" t="s">
        <v>6</v>
      </c>
      <c r="E293" s="11" t="s">
        <v>6</v>
      </c>
      <c r="F293" s="16" t="s">
        <v>6</v>
      </c>
      <c r="G293" t="s">
        <v>6</v>
      </c>
      <c r="H293" t="s">
        <v>6</v>
      </c>
      <c r="I293">
        <f t="shared" si="12"/>
        <v>1</v>
      </c>
      <c r="J293" t="str">
        <f t="shared" ca="1" si="13"/>
        <v/>
      </c>
      <c r="K293" t="e">
        <f t="shared" ca="1" si="14"/>
        <v>#VALUE!</v>
      </c>
      <c r="L293">
        <f>IF($A293="","",IF($E293&lt;&gt;"",0,IF(COUNTIFS(個体台帳!$A:$A,$B293,個体台帳!$E:$E,"&lt;&gt;貸出中")&gt;0,1,0)))</f>
        <v>1</v>
      </c>
      <c r="M293">
        <f>IF($A293="","",IF($E293&lt;&gt;"",0,IF(COUNTIFS(個体台帳!$A:$A,$B293,個体台帳!$E:$E,"廃棄")&gt;0,1,0)))</f>
        <v>0</v>
      </c>
    </row>
    <row r="294" spans="1:13">
      <c r="A294" t="s">
        <v>845</v>
      </c>
      <c r="B294" t="s">
        <v>6</v>
      </c>
      <c r="C294" t="s">
        <v>6</v>
      </c>
      <c r="D294" s="12" t="s">
        <v>6</v>
      </c>
      <c r="E294" s="11" t="s">
        <v>6</v>
      </c>
      <c r="F294" s="16" t="s">
        <v>6</v>
      </c>
      <c r="G294" t="s">
        <v>6</v>
      </c>
      <c r="H294" t="s">
        <v>6</v>
      </c>
      <c r="I294">
        <f t="shared" si="12"/>
        <v>1</v>
      </c>
      <c r="J294" t="str">
        <f t="shared" ca="1" si="13"/>
        <v/>
      </c>
      <c r="K294" t="e">
        <f t="shared" ca="1" si="14"/>
        <v>#VALUE!</v>
      </c>
      <c r="L294">
        <f>IF($A294="","",IF($E294&lt;&gt;"",0,IF(COUNTIFS(個体台帳!$A:$A,$B294,個体台帳!$E:$E,"&lt;&gt;貸出中")&gt;0,1,0)))</f>
        <v>1</v>
      </c>
      <c r="M294">
        <f>IF($A294="","",IF($E294&lt;&gt;"",0,IF(COUNTIFS(個体台帳!$A:$A,$B294,個体台帳!$E:$E,"廃棄")&gt;0,1,0)))</f>
        <v>0</v>
      </c>
    </row>
    <row r="295" spans="1:13">
      <c r="A295" t="s">
        <v>846</v>
      </c>
      <c r="B295" t="s">
        <v>6</v>
      </c>
      <c r="C295" t="s">
        <v>6</v>
      </c>
      <c r="D295" s="12" t="s">
        <v>6</v>
      </c>
      <c r="E295" s="11" t="s">
        <v>6</v>
      </c>
      <c r="F295" s="16" t="s">
        <v>6</v>
      </c>
      <c r="G295" t="s">
        <v>6</v>
      </c>
      <c r="H295" t="s">
        <v>6</v>
      </c>
      <c r="I295">
        <f t="shared" si="12"/>
        <v>1</v>
      </c>
      <c r="J295" t="str">
        <f t="shared" ca="1" si="13"/>
        <v/>
      </c>
      <c r="K295" t="e">
        <f t="shared" ca="1" si="14"/>
        <v>#VALUE!</v>
      </c>
      <c r="L295">
        <f>IF($A295="","",IF($E295&lt;&gt;"",0,IF(COUNTIFS(個体台帳!$A:$A,$B295,個体台帳!$E:$E,"&lt;&gt;貸出中")&gt;0,1,0)))</f>
        <v>1</v>
      </c>
      <c r="M295">
        <f>IF($A295="","",IF($E295&lt;&gt;"",0,IF(COUNTIFS(個体台帳!$A:$A,$B295,個体台帳!$E:$E,"廃棄")&gt;0,1,0)))</f>
        <v>0</v>
      </c>
    </row>
    <row r="296" spans="1:13">
      <c r="A296" t="s">
        <v>847</v>
      </c>
      <c r="B296" t="s">
        <v>6</v>
      </c>
      <c r="C296" t="s">
        <v>6</v>
      </c>
      <c r="D296" s="12" t="s">
        <v>6</v>
      </c>
      <c r="E296" s="11" t="s">
        <v>6</v>
      </c>
      <c r="F296" s="16" t="s">
        <v>6</v>
      </c>
      <c r="G296" t="s">
        <v>6</v>
      </c>
      <c r="H296" t="s">
        <v>6</v>
      </c>
      <c r="I296">
        <f t="shared" si="12"/>
        <v>1</v>
      </c>
      <c r="J296" t="str">
        <f t="shared" ca="1" si="13"/>
        <v/>
      </c>
      <c r="K296" t="e">
        <f t="shared" ca="1" si="14"/>
        <v>#VALUE!</v>
      </c>
      <c r="L296">
        <f>IF($A296="","",IF($E296&lt;&gt;"",0,IF(COUNTIFS(個体台帳!$A:$A,$B296,個体台帳!$E:$E,"&lt;&gt;貸出中")&gt;0,1,0)))</f>
        <v>1</v>
      </c>
      <c r="M296">
        <f>IF($A296="","",IF($E296&lt;&gt;"",0,IF(COUNTIFS(個体台帳!$A:$A,$B296,個体台帳!$E:$E,"廃棄")&gt;0,1,0)))</f>
        <v>0</v>
      </c>
    </row>
    <row r="297" spans="1:13">
      <c r="A297" t="s">
        <v>848</v>
      </c>
      <c r="B297" t="s">
        <v>6</v>
      </c>
      <c r="C297" t="s">
        <v>6</v>
      </c>
      <c r="D297" s="12" t="s">
        <v>6</v>
      </c>
      <c r="E297" s="11" t="s">
        <v>6</v>
      </c>
      <c r="F297" s="16" t="s">
        <v>6</v>
      </c>
      <c r="G297" t="s">
        <v>6</v>
      </c>
      <c r="H297" t="s">
        <v>6</v>
      </c>
      <c r="I297">
        <f t="shared" si="12"/>
        <v>1</v>
      </c>
      <c r="J297" t="str">
        <f t="shared" ca="1" si="13"/>
        <v/>
      </c>
      <c r="K297" t="e">
        <f t="shared" ca="1" si="14"/>
        <v>#VALUE!</v>
      </c>
      <c r="L297">
        <f>IF($A297="","",IF($E297&lt;&gt;"",0,IF(COUNTIFS(個体台帳!$A:$A,$B297,個体台帳!$E:$E,"&lt;&gt;貸出中")&gt;0,1,0)))</f>
        <v>1</v>
      </c>
      <c r="M297">
        <f>IF($A297="","",IF($E297&lt;&gt;"",0,IF(COUNTIFS(個体台帳!$A:$A,$B297,個体台帳!$E:$E,"廃棄")&gt;0,1,0)))</f>
        <v>0</v>
      </c>
    </row>
    <row r="298" spans="1:13">
      <c r="A298" t="s">
        <v>849</v>
      </c>
      <c r="B298" t="s">
        <v>6</v>
      </c>
      <c r="C298" t="s">
        <v>6</v>
      </c>
      <c r="D298" s="12" t="s">
        <v>6</v>
      </c>
      <c r="E298" s="11" t="s">
        <v>6</v>
      </c>
      <c r="F298" s="16" t="s">
        <v>6</v>
      </c>
      <c r="G298" t="s">
        <v>6</v>
      </c>
      <c r="H298" t="s">
        <v>6</v>
      </c>
      <c r="I298">
        <f t="shared" si="12"/>
        <v>1</v>
      </c>
      <c r="J298" t="str">
        <f t="shared" ca="1" si="13"/>
        <v/>
      </c>
      <c r="K298" t="e">
        <f t="shared" ca="1" si="14"/>
        <v>#VALUE!</v>
      </c>
      <c r="L298">
        <f>IF($A298="","",IF($E298&lt;&gt;"",0,IF(COUNTIFS(個体台帳!$A:$A,$B298,個体台帳!$E:$E,"&lt;&gt;貸出中")&gt;0,1,0)))</f>
        <v>1</v>
      </c>
      <c r="M298">
        <f>IF($A298="","",IF($E298&lt;&gt;"",0,IF(COUNTIFS(個体台帳!$A:$A,$B298,個体台帳!$E:$E,"廃棄")&gt;0,1,0)))</f>
        <v>0</v>
      </c>
    </row>
    <row r="299" spans="1:13">
      <c r="A299" t="s">
        <v>850</v>
      </c>
      <c r="B299" t="s">
        <v>6</v>
      </c>
      <c r="C299" t="s">
        <v>6</v>
      </c>
      <c r="D299" s="12" t="s">
        <v>6</v>
      </c>
      <c r="E299" s="11" t="s">
        <v>6</v>
      </c>
      <c r="F299" s="16" t="s">
        <v>6</v>
      </c>
      <c r="G299" t="s">
        <v>6</v>
      </c>
      <c r="H299" t="s">
        <v>6</v>
      </c>
      <c r="I299">
        <f t="shared" si="12"/>
        <v>1</v>
      </c>
      <c r="J299" t="str">
        <f t="shared" ca="1" si="13"/>
        <v/>
      </c>
      <c r="K299" t="e">
        <f t="shared" ca="1" si="14"/>
        <v>#VALUE!</v>
      </c>
      <c r="L299">
        <f>IF($A299="","",IF($E299&lt;&gt;"",0,IF(COUNTIFS(個体台帳!$A:$A,$B299,個体台帳!$E:$E,"&lt;&gt;貸出中")&gt;0,1,0)))</f>
        <v>1</v>
      </c>
      <c r="M299">
        <f>IF($A299="","",IF($E299&lt;&gt;"",0,IF(COUNTIFS(個体台帳!$A:$A,$B299,個体台帳!$E:$E,"廃棄")&gt;0,1,0)))</f>
        <v>0</v>
      </c>
    </row>
    <row r="300" spans="1:13">
      <c r="A300" t="s">
        <v>851</v>
      </c>
      <c r="B300" t="s">
        <v>6</v>
      </c>
      <c r="C300" t="s">
        <v>6</v>
      </c>
      <c r="D300" s="12" t="s">
        <v>6</v>
      </c>
      <c r="E300" s="11" t="s">
        <v>6</v>
      </c>
      <c r="F300" s="16" t="s">
        <v>6</v>
      </c>
      <c r="G300" t="s">
        <v>6</v>
      </c>
      <c r="H300" t="s">
        <v>6</v>
      </c>
      <c r="I300">
        <f t="shared" si="12"/>
        <v>1</v>
      </c>
      <c r="J300" t="str">
        <f t="shared" ca="1" si="13"/>
        <v/>
      </c>
      <c r="K300" t="e">
        <f t="shared" ca="1" si="14"/>
        <v>#VALUE!</v>
      </c>
      <c r="L300">
        <f>IF($A300="","",IF($E300&lt;&gt;"",0,IF(COUNTIFS(個体台帳!$A:$A,$B300,個体台帳!$E:$E,"&lt;&gt;貸出中")&gt;0,1,0)))</f>
        <v>1</v>
      </c>
      <c r="M300">
        <f>IF($A300="","",IF($E300&lt;&gt;"",0,IF(COUNTIFS(個体台帳!$A:$A,$B300,個体台帳!$E:$E,"廃棄")&gt;0,1,0)))</f>
        <v>0</v>
      </c>
    </row>
    <row r="301" spans="1:13">
      <c r="A301" t="s">
        <v>852</v>
      </c>
      <c r="B301" t="s">
        <v>6</v>
      </c>
      <c r="C301" t="s">
        <v>6</v>
      </c>
      <c r="D301" s="12" t="s">
        <v>6</v>
      </c>
      <c r="E301" s="11" t="s">
        <v>6</v>
      </c>
      <c r="F301" s="16" t="s">
        <v>6</v>
      </c>
      <c r="G301" t="s">
        <v>6</v>
      </c>
      <c r="H301" t="s">
        <v>6</v>
      </c>
      <c r="I301">
        <f t="shared" si="12"/>
        <v>1</v>
      </c>
      <c r="J301" t="str">
        <f t="shared" ca="1" si="13"/>
        <v/>
      </c>
      <c r="K301" t="e">
        <f t="shared" ca="1" si="14"/>
        <v>#VALUE!</v>
      </c>
      <c r="L301">
        <f>IF($A301="","",IF($E301&lt;&gt;"",0,IF(COUNTIFS(個体台帳!$A:$A,$B301,個体台帳!$E:$E,"&lt;&gt;貸出中")&gt;0,1,0)))</f>
        <v>1</v>
      </c>
      <c r="M301">
        <f>IF($A301="","",IF($E301&lt;&gt;"",0,IF(COUNTIFS(個体台帳!$A:$A,$B301,個体台帳!$E:$E,"廃棄")&gt;0,1,0)))</f>
        <v>0</v>
      </c>
    </row>
    <row r="302" spans="1:13">
      <c r="A302" t="s">
        <v>853</v>
      </c>
      <c r="B302" t="s">
        <v>6</v>
      </c>
      <c r="C302" t="s">
        <v>6</v>
      </c>
      <c r="D302" s="12" t="s">
        <v>6</v>
      </c>
      <c r="E302" s="11" t="s">
        <v>6</v>
      </c>
      <c r="F302" s="16" t="s">
        <v>6</v>
      </c>
      <c r="G302" t="s">
        <v>6</v>
      </c>
      <c r="H302" t="s">
        <v>6</v>
      </c>
      <c r="I302">
        <f t="shared" si="12"/>
        <v>1</v>
      </c>
      <c r="J302" t="str">
        <f t="shared" ca="1" si="13"/>
        <v/>
      </c>
      <c r="K302" t="e">
        <f t="shared" ca="1" si="14"/>
        <v>#VALUE!</v>
      </c>
      <c r="L302">
        <f>IF($A302="","",IF($E302&lt;&gt;"",0,IF(COUNTIFS(個体台帳!$A:$A,$B302,個体台帳!$E:$E,"&lt;&gt;貸出中")&gt;0,1,0)))</f>
        <v>1</v>
      </c>
      <c r="M302">
        <f>IF($A302="","",IF($E302&lt;&gt;"",0,IF(COUNTIFS(個体台帳!$A:$A,$B302,個体台帳!$E:$E,"廃棄")&gt;0,1,0)))</f>
        <v>0</v>
      </c>
    </row>
    <row r="303" spans="1:13">
      <c r="A303" t="s">
        <v>854</v>
      </c>
      <c r="B303" t="s">
        <v>6</v>
      </c>
      <c r="C303" t="s">
        <v>6</v>
      </c>
      <c r="D303" s="12" t="s">
        <v>6</v>
      </c>
      <c r="E303" s="11" t="s">
        <v>6</v>
      </c>
      <c r="F303" s="16" t="s">
        <v>6</v>
      </c>
      <c r="G303" t="s">
        <v>6</v>
      </c>
      <c r="H303" t="s">
        <v>6</v>
      </c>
      <c r="I303">
        <f t="shared" si="12"/>
        <v>1</v>
      </c>
      <c r="J303" t="str">
        <f t="shared" ca="1" si="13"/>
        <v/>
      </c>
      <c r="K303" t="e">
        <f t="shared" ca="1" si="14"/>
        <v>#VALUE!</v>
      </c>
      <c r="L303">
        <f>IF($A303="","",IF($E303&lt;&gt;"",0,IF(COUNTIFS(個体台帳!$A:$A,$B303,個体台帳!$E:$E,"&lt;&gt;貸出中")&gt;0,1,0)))</f>
        <v>1</v>
      </c>
      <c r="M303">
        <f>IF($A303="","",IF($E303&lt;&gt;"",0,IF(COUNTIFS(個体台帳!$A:$A,$B303,個体台帳!$E:$E,"廃棄")&gt;0,1,0)))</f>
        <v>0</v>
      </c>
    </row>
    <row r="304" spans="1:13">
      <c r="A304" t="s">
        <v>855</v>
      </c>
      <c r="B304" t="s">
        <v>6</v>
      </c>
      <c r="C304" t="s">
        <v>6</v>
      </c>
      <c r="D304" s="12" t="s">
        <v>6</v>
      </c>
      <c r="E304" s="11" t="s">
        <v>6</v>
      </c>
      <c r="F304" s="16" t="s">
        <v>6</v>
      </c>
      <c r="G304" t="s">
        <v>6</v>
      </c>
      <c r="H304" t="s">
        <v>6</v>
      </c>
      <c r="I304">
        <f t="shared" si="12"/>
        <v>1</v>
      </c>
      <c r="J304" t="str">
        <f t="shared" ca="1" si="13"/>
        <v/>
      </c>
      <c r="K304" t="e">
        <f t="shared" ca="1" si="14"/>
        <v>#VALUE!</v>
      </c>
      <c r="L304">
        <f>IF($A304="","",IF($E304&lt;&gt;"",0,IF(COUNTIFS(個体台帳!$A:$A,$B304,個体台帳!$E:$E,"&lt;&gt;貸出中")&gt;0,1,0)))</f>
        <v>1</v>
      </c>
      <c r="M304">
        <f>IF($A304="","",IF($E304&lt;&gt;"",0,IF(COUNTIFS(個体台帳!$A:$A,$B304,個体台帳!$E:$E,"廃棄")&gt;0,1,0)))</f>
        <v>0</v>
      </c>
    </row>
    <row r="305" spans="1:13">
      <c r="A305" t="s">
        <v>856</v>
      </c>
      <c r="B305" t="s">
        <v>6</v>
      </c>
      <c r="C305" t="s">
        <v>6</v>
      </c>
      <c r="D305" s="12" t="s">
        <v>6</v>
      </c>
      <c r="E305" s="11" t="s">
        <v>6</v>
      </c>
      <c r="F305" s="16" t="s">
        <v>6</v>
      </c>
      <c r="G305" t="s">
        <v>6</v>
      </c>
      <c r="H305" t="s">
        <v>6</v>
      </c>
      <c r="I305">
        <f t="shared" si="12"/>
        <v>1</v>
      </c>
      <c r="J305" t="str">
        <f t="shared" ca="1" si="13"/>
        <v/>
      </c>
      <c r="K305" t="e">
        <f t="shared" ca="1" si="14"/>
        <v>#VALUE!</v>
      </c>
      <c r="L305">
        <f>IF($A305="","",IF($E305&lt;&gt;"",0,IF(COUNTIFS(個体台帳!$A:$A,$B305,個体台帳!$E:$E,"&lt;&gt;貸出中")&gt;0,1,0)))</f>
        <v>1</v>
      </c>
      <c r="M305">
        <f>IF($A305="","",IF($E305&lt;&gt;"",0,IF(COUNTIFS(個体台帳!$A:$A,$B305,個体台帳!$E:$E,"廃棄")&gt;0,1,0)))</f>
        <v>0</v>
      </c>
    </row>
    <row r="306" spans="1:13">
      <c r="A306" t="s">
        <v>857</v>
      </c>
      <c r="B306" t="s">
        <v>6</v>
      </c>
      <c r="C306" t="s">
        <v>6</v>
      </c>
      <c r="D306" s="12" t="s">
        <v>6</v>
      </c>
      <c r="E306" s="11" t="s">
        <v>6</v>
      </c>
      <c r="F306" s="16" t="s">
        <v>6</v>
      </c>
      <c r="G306" t="s">
        <v>6</v>
      </c>
      <c r="H306" t="s">
        <v>6</v>
      </c>
      <c r="I306">
        <f t="shared" si="12"/>
        <v>1</v>
      </c>
      <c r="J306" t="str">
        <f t="shared" ca="1" si="13"/>
        <v/>
      </c>
      <c r="K306" t="e">
        <f t="shared" ca="1" si="14"/>
        <v>#VALUE!</v>
      </c>
      <c r="L306">
        <f>IF($A306="","",IF($E306&lt;&gt;"",0,IF(COUNTIFS(個体台帳!$A:$A,$B306,個体台帳!$E:$E,"&lt;&gt;貸出中")&gt;0,1,0)))</f>
        <v>1</v>
      </c>
      <c r="M306">
        <f>IF($A306="","",IF($E306&lt;&gt;"",0,IF(COUNTIFS(個体台帳!$A:$A,$B306,個体台帳!$E:$E,"廃棄")&gt;0,1,0)))</f>
        <v>0</v>
      </c>
    </row>
    <row r="307" spans="1:13">
      <c r="A307" t="s">
        <v>858</v>
      </c>
      <c r="B307" t="s">
        <v>6</v>
      </c>
      <c r="C307" t="s">
        <v>6</v>
      </c>
      <c r="D307" s="12" t="s">
        <v>6</v>
      </c>
      <c r="E307" s="11" t="s">
        <v>6</v>
      </c>
      <c r="F307" s="16" t="s">
        <v>6</v>
      </c>
      <c r="G307" t="s">
        <v>6</v>
      </c>
      <c r="H307" t="s">
        <v>6</v>
      </c>
      <c r="I307">
        <f t="shared" si="12"/>
        <v>1</v>
      </c>
      <c r="J307" t="str">
        <f t="shared" ca="1" si="13"/>
        <v/>
      </c>
      <c r="K307" t="e">
        <f t="shared" ca="1" si="14"/>
        <v>#VALUE!</v>
      </c>
      <c r="L307">
        <f>IF($A307="","",IF($E307&lt;&gt;"",0,IF(COUNTIFS(個体台帳!$A:$A,$B307,個体台帳!$E:$E,"&lt;&gt;貸出中")&gt;0,1,0)))</f>
        <v>1</v>
      </c>
      <c r="M307">
        <f>IF($A307="","",IF($E307&lt;&gt;"",0,IF(COUNTIFS(個体台帳!$A:$A,$B307,個体台帳!$E:$E,"廃棄")&gt;0,1,0)))</f>
        <v>0</v>
      </c>
    </row>
    <row r="308" spans="1:13">
      <c r="A308" t="s">
        <v>859</v>
      </c>
      <c r="B308" t="s">
        <v>6</v>
      </c>
      <c r="C308" t="s">
        <v>6</v>
      </c>
      <c r="D308" s="12" t="s">
        <v>6</v>
      </c>
      <c r="E308" s="11" t="s">
        <v>6</v>
      </c>
      <c r="F308" s="16" t="s">
        <v>6</v>
      </c>
      <c r="G308" t="s">
        <v>6</v>
      </c>
      <c r="H308" t="s">
        <v>6</v>
      </c>
      <c r="I308">
        <f t="shared" si="12"/>
        <v>1</v>
      </c>
      <c r="J308" t="str">
        <f t="shared" ca="1" si="13"/>
        <v/>
      </c>
      <c r="K308" t="e">
        <f t="shared" ca="1" si="14"/>
        <v>#VALUE!</v>
      </c>
      <c r="L308">
        <f>IF($A308="","",IF($E308&lt;&gt;"",0,IF(COUNTIFS(個体台帳!$A:$A,$B308,個体台帳!$E:$E,"&lt;&gt;貸出中")&gt;0,1,0)))</f>
        <v>1</v>
      </c>
      <c r="M308">
        <f>IF($A308="","",IF($E308&lt;&gt;"",0,IF(COUNTIFS(個体台帳!$A:$A,$B308,個体台帳!$E:$E,"廃棄")&gt;0,1,0)))</f>
        <v>0</v>
      </c>
    </row>
    <row r="309" spans="1:13">
      <c r="A309" t="s">
        <v>860</v>
      </c>
      <c r="B309" t="s">
        <v>6</v>
      </c>
      <c r="C309" t="s">
        <v>6</v>
      </c>
      <c r="D309" s="12" t="s">
        <v>6</v>
      </c>
      <c r="E309" s="11" t="s">
        <v>6</v>
      </c>
      <c r="F309" s="16" t="s">
        <v>6</v>
      </c>
      <c r="G309" t="s">
        <v>6</v>
      </c>
      <c r="H309" t="s">
        <v>6</v>
      </c>
      <c r="I309">
        <f t="shared" si="12"/>
        <v>1</v>
      </c>
      <c r="J309" t="str">
        <f t="shared" ca="1" si="13"/>
        <v/>
      </c>
      <c r="K309" t="e">
        <f t="shared" ca="1" si="14"/>
        <v>#VALUE!</v>
      </c>
      <c r="L309">
        <f>IF($A309="","",IF($E309&lt;&gt;"",0,IF(COUNTIFS(個体台帳!$A:$A,$B309,個体台帳!$E:$E,"&lt;&gt;貸出中")&gt;0,1,0)))</f>
        <v>1</v>
      </c>
      <c r="M309">
        <f>IF($A309="","",IF($E309&lt;&gt;"",0,IF(COUNTIFS(個体台帳!$A:$A,$B309,個体台帳!$E:$E,"廃棄")&gt;0,1,0)))</f>
        <v>0</v>
      </c>
    </row>
    <row r="310" spans="1:13">
      <c r="A310" t="s">
        <v>861</v>
      </c>
      <c r="B310" t="s">
        <v>6</v>
      </c>
      <c r="C310" t="s">
        <v>6</v>
      </c>
      <c r="D310" s="12" t="s">
        <v>6</v>
      </c>
      <c r="E310" s="11" t="s">
        <v>6</v>
      </c>
      <c r="F310" s="16" t="s">
        <v>6</v>
      </c>
      <c r="G310" t="s">
        <v>6</v>
      </c>
      <c r="H310" t="s">
        <v>6</v>
      </c>
      <c r="I310">
        <f t="shared" si="12"/>
        <v>1</v>
      </c>
      <c r="J310" t="str">
        <f t="shared" ca="1" si="13"/>
        <v/>
      </c>
      <c r="K310" t="e">
        <f t="shared" ca="1" si="14"/>
        <v>#VALUE!</v>
      </c>
      <c r="L310">
        <f>IF($A310="","",IF($E310&lt;&gt;"",0,IF(COUNTIFS(個体台帳!$A:$A,$B310,個体台帳!$E:$E,"&lt;&gt;貸出中")&gt;0,1,0)))</f>
        <v>1</v>
      </c>
      <c r="M310">
        <f>IF($A310="","",IF($E310&lt;&gt;"",0,IF(COUNTIFS(個体台帳!$A:$A,$B310,個体台帳!$E:$E,"廃棄")&gt;0,1,0)))</f>
        <v>0</v>
      </c>
    </row>
    <row r="311" spans="1:13">
      <c r="A311" t="s">
        <v>862</v>
      </c>
      <c r="B311" t="s">
        <v>6</v>
      </c>
      <c r="C311" t="s">
        <v>6</v>
      </c>
      <c r="D311" s="12" t="s">
        <v>6</v>
      </c>
      <c r="E311" s="11" t="s">
        <v>6</v>
      </c>
      <c r="F311" s="16" t="s">
        <v>6</v>
      </c>
      <c r="G311" t="s">
        <v>6</v>
      </c>
      <c r="H311" t="s">
        <v>6</v>
      </c>
      <c r="I311">
        <f t="shared" si="12"/>
        <v>1</v>
      </c>
      <c r="J311" t="str">
        <f t="shared" ca="1" si="13"/>
        <v/>
      </c>
      <c r="K311" t="e">
        <f t="shared" ca="1" si="14"/>
        <v>#VALUE!</v>
      </c>
      <c r="L311">
        <f>IF($A311="","",IF($E311&lt;&gt;"",0,IF(COUNTIFS(個体台帳!$A:$A,$B311,個体台帳!$E:$E,"&lt;&gt;貸出中")&gt;0,1,0)))</f>
        <v>1</v>
      </c>
      <c r="M311">
        <f>IF($A311="","",IF($E311&lt;&gt;"",0,IF(COUNTIFS(個体台帳!$A:$A,$B311,個体台帳!$E:$E,"廃棄")&gt;0,1,0)))</f>
        <v>0</v>
      </c>
    </row>
    <row r="312" spans="1:13">
      <c r="A312" t="s">
        <v>863</v>
      </c>
      <c r="B312" t="s">
        <v>6</v>
      </c>
      <c r="C312" t="s">
        <v>6</v>
      </c>
      <c r="D312" s="12" t="s">
        <v>6</v>
      </c>
      <c r="E312" s="11" t="s">
        <v>6</v>
      </c>
      <c r="F312" s="16" t="s">
        <v>6</v>
      </c>
      <c r="G312" t="s">
        <v>6</v>
      </c>
      <c r="H312" t="s">
        <v>6</v>
      </c>
      <c r="I312">
        <f t="shared" si="12"/>
        <v>1</v>
      </c>
      <c r="J312" t="str">
        <f t="shared" ca="1" si="13"/>
        <v/>
      </c>
      <c r="K312" t="e">
        <f t="shared" ca="1" si="14"/>
        <v>#VALUE!</v>
      </c>
      <c r="L312">
        <f>IF($A312="","",IF($E312&lt;&gt;"",0,IF(COUNTIFS(個体台帳!$A:$A,$B312,個体台帳!$E:$E,"&lt;&gt;貸出中")&gt;0,1,0)))</f>
        <v>1</v>
      </c>
      <c r="M312">
        <f>IF($A312="","",IF($E312&lt;&gt;"",0,IF(COUNTIFS(個体台帳!$A:$A,$B312,個体台帳!$E:$E,"廃棄")&gt;0,1,0)))</f>
        <v>0</v>
      </c>
    </row>
    <row r="313" spans="1:13">
      <c r="A313" t="s">
        <v>864</v>
      </c>
      <c r="B313" t="s">
        <v>6</v>
      </c>
      <c r="C313" t="s">
        <v>6</v>
      </c>
      <c r="D313" s="12" t="s">
        <v>6</v>
      </c>
      <c r="E313" s="11" t="s">
        <v>6</v>
      </c>
      <c r="F313" s="16" t="s">
        <v>6</v>
      </c>
      <c r="G313" t="s">
        <v>6</v>
      </c>
      <c r="H313" t="s">
        <v>6</v>
      </c>
      <c r="I313">
        <f t="shared" si="12"/>
        <v>1</v>
      </c>
      <c r="J313" t="str">
        <f t="shared" ca="1" si="13"/>
        <v/>
      </c>
      <c r="K313" t="e">
        <f t="shared" ca="1" si="14"/>
        <v>#VALUE!</v>
      </c>
      <c r="L313">
        <f>IF($A313="","",IF($E313&lt;&gt;"",0,IF(COUNTIFS(個体台帳!$A:$A,$B313,個体台帳!$E:$E,"&lt;&gt;貸出中")&gt;0,1,0)))</f>
        <v>1</v>
      </c>
      <c r="M313">
        <f>IF($A313="","",IF($E313&lt;&gt;"",0,IF(COUNTIFS(個体台帳!$A:$A,$B313,個体台帳!$E:$E,"廃棄")&gt;0,1,0)))</f>
        <v>0</v>
      </c>
    </row>
    <row r="314" spans="1:13">
      <c r="A314" t="s">
        <v>865</v>
      </c>
      <c r="B314" t="s">
        <v>6</v>
      </c>
      <c r="C314" t="s">
        <v>6</v>
      </c>
      <c r="D314" s="12" t="s">
        <v>6</v>
      </c>
      <c r="E314" s="11" t="s">
        <v>6</v>
      </c>
      <c r="F314" s="16" t="s">
        <v>6</v>
      </c>
      <c r="G314" t="s">
        <v>6</v>
      </c>
      <c r="H314" t="s">
        <v>6</v>
      </c>
      <c r="I314">
        <f t="shared" si="12"/>
        <v>1</v>
      </c>
      <c r="J314" t="str">
        <f t="shared" ca="1" si="13"/>
        <v/>
      </c>
      <c r="K314" t="e">
        <f t="shared" ca="1" si="14"/>
        <v>#VALUE!</v>
      </c>
      <c r="L314">
        <f>IF($A314="","",IF($E314&lt;&gt;"",0,IF(COUNTIFS(個体台帳!$A:$A,$B314,個体台帳!$E:$E,"&lt;&gt;貸出中")&gt;0,1,0)))</f>
        <v>1</v>
      </c>
      <c r="M314">
        <f>IF($A314="","",IF($E314&lt;&gt;"",0,IF(COUNTIFS(個体台帳!$A:$A,$B314,個体台帳!$E:$E,"廃棄")&gt;0,1,0)))</f>
        <v>0</v>
      </c>
    </row>
    <row r="315" spans="1:13">
      <c r="A315" t="s">
        <v>866</v>
      </c>
      <c r="B315" t="s">
        <v>6</v>
      </c>
      <c r="C315" t="s">
        <v>6</v>
      </c>
      <c r="D315" s="12" t="s">
        <v>6</v>
      </c>
      <c r="E315" s="11" t="s">
        <v>6</v>
      </c>
      <c r="F315" s="16" t="s">
        <v>6</v>
      </c>
      <c r="G315" t="s">
        <v>6</v>
      </c>
      <c r="H315" t="s">
        <v>6</v>
      </c>
      <c r="I315">
        <f t="shared" si="12"/>
        <v>1</v>
      </c>
      <c r="J315" t="str">
        <f t="shared" ca="1" si="13"/>
        <v/>
      </c>
      <c r="K315" t="e">
        <f t="shared" ca="1" si="14"/>
        <v>#VALUE!</v>
      </c>
      <c r="L315">
        <f>IF($A315="","",IF($E315&lt;&gt;"",0,IF(COUNTIFS(個体台帳!$A:$A,$B315,個体台帳!$E:$E,"&lt;&gt;貸出中")&gt;0,1,0)))</f>
        <v>1</v>
      </c>
      <c r="M315">
        <f>IF($A315="","",IF($E315&lt;&gt;"",0,IF(COUNTIFS(個体台帳!$A:$A,$B315,個体台帳!$E:$E,"廃棄")&gt;0,1,0)))</f>
        <v>0</v>
      </c>
    </row>
    <row r="316" spans="1:13">
      <c r="A316" t="s">
        <v>867</v>
      </c>
      <c r="B316" t="s">
        <v>6</v>
      </c>
      <c r="C316" t="s">
        <v>6</v>
      </c>
      <c r="D316" s="12" t="s">
        <v>6</v>
      </c>
      <c r="E316" s="11" t="s">
        <v>6</v>
      </c>
      <c r="F316" s="16" t="s">
        <v>6</v>
      </c>
      <c r="G316" t="s">
        <v>6</v>
      </c>
      <c r="H316" t="s">
        <v>6</v>
      </c>
      <c r="I316">
        <f t="shared" si="12"/>
        <v>1</v>
      </c>
      <c r="J316" t="str">
        <f t="shared" ca="1" si="13"/>
        <v/>
      </c>
      <c r="K316" t="e">
        <f t="shared" ca="1" si="14"/>
        <v>#VALUE!</v>
      </c>
      <c r="L316">
        <f>IF($A316="","",IF($E316&lt;&gt;"",0,IF(COUNTIFS(個体台帳!$A:$A,$B316,個体台帳!$E:$E,"&lt;&gt;貸出中")&gt;0,1,0)))</f>
        <v>1</v>
      </c>
      <c r="M316">
        <f>IF($A316="","",IF($E316&lt;&gt;"",0,IF(COUNTIFS(個体台帳!$A:$A,$B316,個体台帳!$E:$E,"廃棄")&gt;0,1,0)))</f>
        <v>0</v>
      </c>
    </row>
    <row r="317" spans="1:13">
      <c r="A317" t="s">
        <v>868</v>
      </c>
      <c r="B317" t="s">
        <v>6</v>
      </c>
      <c r="C317" t="s">
        <v>6</v>
      </c>
      <c r="D317" s="12" t="s">
        <v>6</v>
      </c>
      <c r="E317" s="11" t="s">
        <v>6</v>
      </c>
      <c r="F317" s="16" t="s">
        <v>6</v>
      </c>
      <c r="G317" t="s">
        <v>6</v>
      </c>
      <c r="H317" t="s">
        <v>6</v>
      </c>
      <c r="I317">
        <f t="shared" si="12"/>
        <v>1</v>
      </c>
      <c r="J317" t="str">
        <f t="shared" ca="1" si="13"/>
        <v/>
      </c>
      <c r="K317" t="e">
        <f t="shared" ca="1" si="14"/>
        <v>#VALUE!</v>
      </c>
      <c r="L317">
        <f>IF($A317="","",IF($E317&lt;&gt;"",0,IF(COUNTIFS(個体台帳!$A:$A,$B317,個体台帳!$E:$E,"&lt;&gt;貸出中")&gt;0,1,0)))</f>
        <v>1</v>
      </c>
      <c r="M317">
        <f>IF($A317="","",IF($E317&lt;&gt;"",0,IF(COUNTIFS(個体台帳!$A:$A,$B317,個体台帳!$E:$E,"廃棄")&gt;0,1,0)))</f>
        <v>0</v>
      </c>
    </row>
    <row r="318" spans="1:13">
      <c r="A318" t="s">
        <v>869</v>
      </c>
      <c r="B318" t="s">
        <v>6</v>
      </c>
      <c r="C318" t="s">
        <v>6</v>
      </c>
      <c r="D318" s="12" t="s">
        <v>6</v>
      </c>
      <c r="E318" s="11" t="s">
        <v>6</v>
      </c>
      <c r="F318" s="16" t="s">
        <v>6</v>
      </c>
      <c r="G318" t="s">
        <v>6</v>
      </c>
      <c r="H318" t="s">
        <v>6</v>
      </c>
      <c r="I318">
        <f t="shared" si="12"/>
        <v>1</v>
      </c>
      <c r="J318" t="str">
        <f t="shared" ca="1" si="13"/>
        <v/>
      </c>
      <c r="K318" t="e">
        <f t="shared" ca="1" si="14"/>
        <v>#VALUE!</v>
      </c>
      <c r="L318">
        <f>IF($A318="","",IF($E318&lt;&gt;"",0,IF(COUNTIFS(個体台帳!$A:$A,$B318,個体台帳!$E:$E,"&lt;&gt;貸出中")&gt;0,1,0)))</f>
        <v>1</v>
      </c>
      <c r="M318">
        <f>IF($A318="","",IF($E318&lt;&gt;"",0,IF(COUNTIFS(個体台帳!$A:$A,$B318,個体台帳!$E:$E,"廃棄")&gt;0,1,0)))</f>
        <v>0</v>
      </c>
    </row>
    <row r="319" spans="1:13">
      <c r="A319" t="s">
        <v>870</v>
      </c>
      <c r="B319" t="s">
        <v>6</v>
      </c>
      <c r="C319" t="s">
        <v>6</v>
      </c>
      <c r="D319" s="12" t="s">
        <v>6</v>
      </c>
      <c r="E319" s="11" t="s">
        <v>6</v>
      </c>
      <c r="F319" s="16" t="s">
        <v>6</v>
      </c>
      <c r="G319" t="s">
        <v>6</v>
      </c>
      <c r="H319" t="s">
        <v>6</v>
      </c>
      <c r="I319">
        <f t="shared" si="12"/>
        <v>1</v>
      </c>
      <c r="J319" t="str">
        <f t="shared" ca="1" si="13"/>
        <v/>
      </c>
      <c r="K319" t="e">
        <f t="shared" ca="1" si="14"/>
        <v>#VALUE!</v>
      </c>
      <c r="L319">
        <f>IF($A319="","",IF($E319&lt;&gt;"",0,IF(COUNTIFS(個体台帳!$A:$A,$B319,個体台帳!$E:$E,"&lt;&gt;貸出中")&gt;0,1,0)))</f>
        <v>1</v>
      </c>
      <c r="M319">
        <f>IF($A319="","",IF($E319&lt;&gt;"",0,IF(COUNTIFS(個体台帳!$A:$A,$B319,個体台帳!$E:$E,"廃棄")&gt;0,1,0)))</f>
        <v>0</v>
      </c>
    </row>
    <row r="320" spans="1:13">
      <c r="A320" t="s">
        <v>871</v>
      </c>
      <c r="B320" t="s">
        <v>6</v>
      </c>
      <c r="C320" t="s">
        <v>6</v>
      </c>
      <c r="D320" s="12" t="s">
        <v>6</v>
      </c>
      <c r="E320" s="11" t="s">
        <v>6</v>
      </c>
      <c r="F320" s="16" t="s">
        <v>6</v>
      </c>
      <c r="G320" t="s">
        <v>6</v>
      </c>
      <c r="H320" t="s">
        <v>6</v>
      </c>
      <c r="I320">
        <f t="shared" si="12"/>
        <v>1</v>
      </c>
      <c r="J320" t="str">
        <f t="shared" ca="1" si="13"/>
        <v/>
      </c>
      <c r="K320" t="e">
        <f t="shared" ca="1" si="14"/>
        <v>#VALUE!</v>
      </c>
      <c r="L320">
        <f>IF($A320="","",IF($E320&lt;&gt;"",0,IF(COUNTIFS(個体台帳!$A:$A,$B320,個体台帳!$E:$E,"&lt;&gt;貸出中")&gt;0,1,0)))</f>
        <v>1</v>
      </c>
      <c r="M320">
        <f>IF($A320="","",IF($E320&lt;&gt;"",0,IF(COUNTIFS(個体台帳!$A:$A,$B320,個体台帳!$E:$E,"廃棄")&gt;0,1,0)))</f>
        <v>0</v>
      </c>
    </row>
    <row r="321" spans="1:13">
      <c r="A321" t="s">
        <v>872</v>
      </c>
      <c r="B321" t="s">
        <v>6</v>
      </c>
      <c r="C321" t="s">
        <v>6</v>
      </c>
      <c r="D321" s="12" t="s">
        <v>6</v>
      </c>
      <c r="E321" s="11" t="s">
        <v>6</v>
      </c>
      <c r="F321" s="16" t="s">
        <v>6</v>
      </c>
      <c r="G321" t="s">
        <v>6</v>
      </c>
      <c r="H321" t="s">
        <v>6</v>
      </c>
      <c r="I321">
        <f t="shared" si="12"/>
        <v>1</v>
      </c>
      <c r="J321" t="str">
        <f t="shared" ca="1" si="13"/>
        <v/>
      </c>
      <c r="K321" t="e">
        <f t="shared" ca="1" si="14"/>
        <v>#VALUE!</v>
      </c>
      <c r="L321">
        <f>IF($A321="","",IF($E321&lt;&gt;"",0,IF(COUNTIFS(個体台帳!$A:$A,$B321,個体台帳!$E:$E,"&lt;&gt;貸出中")&gt;0,1,0)))</f>
        <v>1</v>
      </c>
      <c r="M321">
        <f>IF($A321="","",IF($E321&lt;&gt;"",0,IF(COUNTIFS(個体台帳!$A:$A,$B321,個体台帳!$E:$E,"廃棄")&gt;0,1,0)))</f>
        <v>0</v>
      </c>
    </row>
    <row r="322" spans="1:13">
      <c r="A322" t="s">
        <v>873</v>
      </c>
      <c r="B322" t="s">
        <v>6</v>
      </c>
      <c r="C322" t="s">
        <v>6</v>
      </c>
      <c r="D322" s="12" t="s">
        <v>6</v>
      </c>
      <c r="E322" s="11" t="s">
        <v>6</v>
      </c>
      <c r="F322" s="16" t="s">
        <v>6</v>
      </c>
      <c r="G322" t="s">
        <v>6</v>
      </c>
      <c r="H322" t="s">
        <v>6</v>
      </c>
      <c r="I322">
        <f t="shared" ref="I322:I385" si="15">IF($A322="","",--($E322=""))</f>
        <v>1</v>
      </c>
      <c r="J322" t="str">
        <f t="shared" ref="J322:J385" ca="1" si="16">IF($D322="","",TODAY()-$D322)</f>
        <v/>
      </c>
      <c r="K322" t="e">
        <f t="shared" ref="K322:K385" ca="1" si="17">IF($A322="","",IF(AND($E322="", $D322&lt;&gt;"", TODAY()-$D322&gt;=31),1,0))</f>
        <v>#VALUE!</v>
      </c>
      <c r="L322">
        <f>IF($A322="","",IF($E322&lt;&gt;"",0,IF(COUNTIFS(個体台帳!$A:$A,$B322,個体台帳!$E:$E,"&lt;&gt;貸出中")&gt;0,1,0)))</f>
        <v>1</v>
      </c>
      <c r="M322">
        <f>IF($A322="","",IF($E322&lt;&gt;"",0,IF(COUNTIFS(個体台帳!$A:$A,$B322,個体台帳!$E:$E,"廃棄")&gt;0,1,0)))</f>
        <v>0</v>
      </c>
    </row>
    <row r="323" spans="1:13">
      <c r="A323" t="s">
        <v>874</v>
      </c>
      <c r="B323" t="s">
        <v>6</v>
      </c>
      <c r="C323" t="s">
        <v>6</v>
      </c>
      <c r="D323" s="12" t="s">
        <v>6</v>
      </c>
      <c r="E323" s="11" t="s">
        <v>6</v>
      </c>
      <c r="F323" s="16" t="s">
        <v>6</v>
      </c>
      <c r="G323" t="s">
        <v>6</v>
      </c>
      <c r="H323" t="s">
        <v>6</v>
      </c>
      <c r="I323">
        <f t="shared" si="15"/>
        <v>1</v>
      </c>
      <c r="J323" t="str">
        <f t="shared" ca="1" si="16"/>
        <v/>
      </c>
      <c r="K323" t="e">
        <f t="shared" ca="1" si="17"/>
        <v>#VALUE!</v>
      </c>
      <c r="L323">
        <f>IF($A323="","",IF($E323&lt;&gt;"",0,IF(COUNTIFS(個体台帳!$A:$A,$B323,個体台帳!$E:$E,"&lt;&gt;貸出中")&gt;0,1,0)))</f>
        <v>1</v>
      </c>
      <c r="M323">
        <f>IF($A323="","",IF($E323&lt;&gt;"",0,IF(COUNTIFS(個体台帳!$A:$A,$B323,個体台帳!$E:$E,"廃棄")&gt;0,1,0)))</f>
        <v>0</v>
      </c>
    </row>
    <row r="324" spans="1:13">
      <c r="A324" t="s">
        <v>875</v>
      </c>
      <c r="B324" t="s">
        <v>6</v>
      </c>
      <c r="C324" t="s">
        <v>6</v>
      </c>
      <c r="D324" s="12" t="s">
        <v>6</v>
      </c>
      <c r="E324" s="11" t="s">
        <v>6</v>
      </c>
      <c r="F324" s="16" t="s">
        <v>6</v>
      </c>
      <c r="G324" t="s">
        <v>6</v>
      </c>
      <c r="H324" t="s">
        <v>6</v>
      </c>
      <c r="I324">
        <f t="shared" si="15"/>
        <v>1</v>
      </c>
      <c r="J324" t="str">
        <f t="shared" ca="1" si="16"/>
        <v/>
      </c>
      <c r="K324" t="e">
        <f t="shared" ca="1" si="17"/>
        <v>#VALUE!</v>
      </c>
      <c r="L324">
        <f>IF($A324="","",IF($E324&lt;&gt;"",0,IF(COUNTIFS(個体台帳!$A:$A,$B324,個体台帳!$E:$E,"&lt;&gt;貸出中")&gt;0,1,0)))</f>
        <v>1</v>
      </c>
      <c r="M324">
        <f>IF($A324="","",IF($E324&lt;&gt;"",0,IF(COUNTIFS(個体台帳!$A:$A,$B324,個体台帳!$E:$E,"廃棄")&gt;0,1,0)))</f>
        <v>0</v>
      </c>
    </row>
    <row r="325" spans="1:13">
      <c r="A325" t="s">
        <v>876</v>
      </c>
      <c r="B325" t="s">
        <v>6</v>
      </c>
      <c r="C325" t="s">
        <v>6</v>
      </c>
      <c r="D325" s="12" t="s">
        <v>6</v>
      </c>
      <c r="E325" s="11" t="s">
        <v>6</v>
      </c>
      <c r="F325" s="16" t="s">
        <v>6</v>
      </c>
      <c r="G325" t="s">
        <v>6</v>
      </c>
      <c r="H325" t="s">
        <v>6</v>
      </c>
      <c r="I325">
        <f t="shared" si="15"/>
        <v>1</v>
      </c>
      <c r="J325" t="str">
        <f t="shared" ca="1" si="16"/>
        <v/>
      </c>
      <c r="K325" t="e">
        <f t="shared" ca="1" si="17"/>
        <v>#VALUE!</v>
      </c>
      <c r="L325">
        <f>IF($A325="","",IF($E325&lt;&gt;"",0,IF(COUNTIFS(個体台帳!$A:$A,$B325,個体台帳!$E:$E,"&lt;&gt;貸出中")&gt;0,1,0)))</f>
        <v>1</v>
      </c>
      <c r="M325">
        <f>IF($A325="","",IF($E325&lt;&gt;"",0,IF(COUNTIFS(個体台帳!$A:$A,$B325,個体台帳!$E:$E,"廃棄")&gt;0,1,0)))</f>
        <v>0</v>
      </c>
    </row>
    <row r="326" spans="1:13">
      <c r="A326" t="s">
        <v>877</v>
      </c>
      <c r="B326" t="s">
        <v>6</v>
      </c>
      <c r="C326" t="s">
        <v>6</v>
      </c>
      <c r="D326" s="12" t="s">
        <v>6</v>
      </c>
      <c r="E326" s="11" t="s">
        <v>6</v>
      </c>
      <c r="F326" s="16" t="s">
        <v>6</v>
      </c>
      <c r="G326" t="s">
        <v>6</v>
      </c>
      <c r="H326" t="s">
        <v>6</v>
      </c>
      <c r="I326">
        <f t="shared" si="15"/>
        <v>1</v>
      </c>
      <c r="J326" t="str">
        <f t="shared" ca="1" si="16"/>
        <v/>
      </c>
      <c r="K326" t="e">
        <f t="shared" ca="1" si="17"/>
        <v>#VALUE!</v>
      </c>
      <c r="L326">
        <f>IF($A326="","",IF($E326&lt;&gt;"",0,IF(COUNTIFS(個体台帳!$A:$A,$B326,個体台帳!$E:$E,"&lt;&gt;貸出中")&gt;0,1,0)))</f>
        <v>1</v>
      </c>
      <c r="M326">
        <f>IF($A326="","",IF($E326&lt;&gt;"",0,IF(COUNTIFS(個体台帳!$A:$A,$B326,個体台帳!$E:$E,"廃棄")&gt;0,1,0)))</f>
        <v>0</v>
      </c>
    </row>
    <row r="327" spans="1:13">
      <c r="A327" t="s">
        <v>878</v>
      </c>
      <c r="B327" t="s">
        <v>6</v>
      </c>
      <c r="C327" t="s">
        <v>6</v>
      </c>
      <c r="D327" s="12" t="s">
        <v>6</v>
      </c>
      <c r="E327" s="11" t="s">
        <v>6</v>
      </c>
      <c r="F327" s="16" t="s">
        <v>6</v>
      </c>
      <c r="G327" t="s">
        <v>6</v>
      </c>
      <c r="H327" t="s">
        <v>6</v>
      </c>
      <c r="I327">
        <f t="shared" si="15"/>
        <v>1</v>
      </c>
      <c r="J327" t="str">
        <f t="shared" ca="1" si="16"/>
        <v/>
      </c>
      <c r="K327" t="e">
        <f t="shared" ca="1" si="17"/>
        <v>#VALUE!</v>
      </c>
      <c r="L327">
        <f>IF($A327="","",IF($E327&lt;&gt;"",0,IF(COUNTIFS(個体台帳!$A:$A,$B327,個体台帳!$E:$E,"&lt;&gt;貸出中")&gt;0,1,0)))</f>
        <v>1</v>
      </c>
      <c r="M327">
        <f>IF($A327="","",IF($E327&lt;&gt;"",0,IF(COUNTIFS(個体台帳!$A:$A,$B327,個体台帳!$E:$E,"廃棄")&gt;0,1,0)))</f>
        <v>0</v>
      </c>
    </row>
    <row r="328" spans="1:13">
      <c r="A328" t="s">
        <v>879</v>
      </c>
      <c r="B328" t="s">
        <v>6</v>
      </c>
      <c r="C328" t="s">
        <v>6</v>
      </c>
      <c r="D328" s="12" t="s">
        <v>6</v>
      </c>
      <c r="E328" s="11" t="s">
        <v>6</v>
      </c>
      <c r="F328" s="16" t="s">
        <v>6</v>
      </c>
      <c r="G328" t="s">
        <v>6</v>
      </c>
      <c r="H328" t="s">
        <v>6</v>
      </c>
      <c r="I328">
        <f t="shared" si="15"/>
        <v>1</v>
      </c>
      <c r="J328" t="str">
        <f t="shared" ca="1" si="16"/>
        <v/>
      </c>
      <c r="K328" t="e">
        <f t="shared" ca="1" si="17"/>
        <v>#VALUE!</v>
      </c>
      <c r="L328">
        <f>IF($A328="","",IF($E328&lt;&gt;"",0,IF(COUNTIFS(個体台帳!$A:$A,$B328,個体台帳!$E:$E,"&lt;&gt;貸出中")&gt;0,1,0)))</f>
        <v>1</v>
      </c>
      <c r="M328">
        <f>IF($A328="","",IF($E328&lt;&gt;"",0,IF(COUNTIFS(個体台帳!$A:$A,$B328,個体台帳!$E:$E,"廃棄")&gt;0,1,0)))</f>
        <v>0</v>
      </c>
    </row>
    <row r="329" spans="1:13">
      <c r="A329" t="s">
        <v>880</v>
      </c>
      <c r="B329" t="s">
        <v>6</v>
      </c>
      <c r="C329" t="s">
        <v>6</v>
      </c>
      <c r="D329" s="12" t="s">
        <v>6</v>
      </c>
      <c r="E329" s="11" t="s">
        <v>6</v>
      </c>
      <c r="F329" s="16" t="s">
        <v>6</v>
      </c>
      <c r="G329" t="s">
        <v>6</v>
      </c>
      <c r="H329" t="s">
        <v>6</v>
      </c>
      <c r="I329">
        <f t="shared" si="15"/>
        <v>1</v>
      </c>
      <c r="J329" t="str">
        <f t="shared" ca="1" si="16"/>
        <v/>
      </c>
      <c r="K329" t="e">
        <f t="shared" ca="1" si="17"/>
        <v>#VALUE!</v>
      </c>
      <c r="L329">
        <f>IF($A329="","",IF($E329&lt;&gt;"",0,IF(COUNTIFS(個体台帳!$A:$A,$B329,個体台帳!$E:$E,"&lt;&gt;貸出中")&gt;0,1,0)))</f>
        <v>1</v>
      </c>
      <c r="M329">
        <f>IF($A329="","",IF($E329&lt;&gt;"",0,IF(COUNTIFS(個体台帳!$A:$A,$B329,個体台帳!$E:$E,"廃棄")&gt;0,1,0)))</f>
        <v>0</v>
      </c>
    </row>
    <row r="330" spans="1:13">
      <c r="A330" t="s">
        <v>881</v>
      </c>
      <c r="B330" t="s">
        <v>6</v>
      </c>
      <c r="C330" t="s">
        <v>6</v>
      </c>
      <c r="D330" s="12" t="s">
        <v>6</v>
      </c>
      <c r="E330" s="11" t="s">
        <v>6</v>
      </c>
      <c r="F330" s="16" t="s">
        <v>6</v>
      </c>
      <c r="G330" t="s">
        <v>6</v>
      </c>
      <c r="H330" t="s">
        <v>6</v>
      </c>
      <c r="I330">
        <f t="shared" si="15"/>
        <v>1</v>
      </c>
      <c r="J330" t="str">
        <f t="shared" ca="1" si="16"/>
        <v/>
      </c>
      <c r="K330" t="e">
        <f t="shared" ca="1" si="17"/>
        <v>#VALUE!</v>
      </c>
      <c r="L330">
        <f>IF($A330="","",IF($E330&lt;&gt;"",0,IF(COUNTIFS(個体台帳!$A:$A,$B330,個体台帳!$E:$E,"&lt;&gt;貸出中")&gt;0,1,0)))</f>
        <v>1</v>
      </c>
      <c r="M330">
        <f>IF($A330="","",IF($E330&lt;&gt;"",0,IF(COUNTIFS(個体台帳!$A:$A,$B330,個体台帳!$E:$E,"廃棄")&gt;0,1,0)))</f>
        <v>0</v>
      </c>
    </row>
    <row r="331" spans="1:13">
      <c r="A331" t="s">
        <v>882</v>
      </c>
      <c r="B331" t="s">
        <v>6</v>
      </c>
      <c r="C331" t="s">
        <v>6</v>
      </c>
      <c r="D331" s="12" t="s">
        <v>6</v>
      </c>
      <c r="E331" s="11" t="s">
        <v>6</v>
      </c>
      <c r="F331" s="16" t="s">
        <v>6</v>
      </c>
      <c r="G331" t="s">
        <v>6</v>
      </c>
      <c r="H331" t="s">
        <v>6</v>
      </c>
      <c r="I331">
        <f t="shared" si="15"/>
        <v>1</v>
      </c>
      <c r="J331" t="str">
        <f t="shared" ca="1" si="16"/>
        <v/>
      </c>
      <c r="K331" t="e">
        <f t="shared" ca="1" si="17"/>
        <v>#VALUE!</v>
      </c>
      <c r="L331">
        <f>IF($A331="","",IF($E331&lt;&gt;"",0,IF(COUNTIFS(個体台帳!$A:$A,$B331,個体台帳!$E:$E,"&lt;&gt;貸出中")&gt;0,1,0)))</f>
        <v>1</v>
      </c>
      <c r="M331">
        <f>IF($A331="","",IF($E331&lt;&gt;"",0,IF(COUNTIFS(個体台帳!$A:$A,$B331,個体台帳!$E:$E,"廃棄")&gt;0,1,0)))</f>
        <v>0</v>
      </c>
    </row>
    <row r="332" spans="1:13">
      <c r="A332" t="s">
        <v>883</v>
      </c>
      <c r="B332" t="s">
        <v>6</v>
      </c>
      <c r="C332" t="s">
        <v>6</v>
      </c>
      <c r="D332" s="12" t="s">
        <v>6</v>
      </c>
      <c r="E332" s="11" t="s">
        <v>6</v>
      </c>
      <c r="F332" s="16" t="s">
        <v>6</v>
      </c>
      <c r="G332" t="s">
        <v>6</v>
      </c>
      <c r="H332" t="s">
        <v>6</v>
      </c>
      <c r="I332">
        <f t="shared" si="15"/>
        <v>1</v>
      </c>
      <c r="J332" t="str">
        <f t="shared" ca="1" si="16"/>
        <v/>
      </c>
      <c r="K332" t="e">
        <f t="shared" ca="1" si="17"/>
        <v>#VALUE!</v>
      </c>
      <c r="L332">
        <f>IF($A332="","",IF($E332&lt;&gt;"",0,IF(COUNTIFS(個体台帳!$A:$A,$B332,個体台帳!$E:$E,"&lt;&gt;貸出中")&gt;0,1,0)))</f>
        <v>1</v>
      </c>
      <c r="M332">
        <f>IF($A332="","",IF($E332&lt;&gt;"",0,IF(COUNTIFS(個体台帳!$A:$A,$B332,個体台帳!$E:$E,"廃棄")&gt;0,1,0)))</f>
        <v>0</v>
      </c>
    </row>
    <row r="333" spans="1:13">
      <c r="A333" t="s">
        <v>884</v>
      </c>
      <c r="B333" t="s">
        <v>6</v>
      </c>
      <c r="C333" t="s">
        <v>6</v>
      </c>
      <c r="D333" s="12" t="s">
        <v>6</v>
      </c>
      <c r="E333" s="11" t="s">
        <v>6</v>
      </c>
      <c r="F333" s="16" t="s">
        <v>6</v>
      </c>
      <c r="G333" t="s">
        <v>6</v>
      </c>
      <c r="H333" t="s">
        <v>6</v>
      </c>
      <c r="I333">
        <f t="shared" si="15"/>
        <v>1</v>
      </c>
      <c r="J333" t="str">
        <f t="shared" ca="1" si="16"/>
        <v/>
      </c>
      <c r="K333" t="e">
        <f t="shared" ca="1" si="17"/>
        <v>#VALUE!</v>
      </c>
      <c r="L333">
        <f>IF($A333="","",IF($E333&lt;&gt;"",0,IF(COUNTIFS(個体台帳!$A:$A,$B333,個体台帳!$E:$E,"&lt;&gt;貸出中")&gt;0,1,0)))</f>
        <v>1</v>
      </c>
      <c r="M333">
        <f>IF($A333="","",IF($E333&lt;&gt;"",0,IF(COUNTIFS(個体台帳!$A:$A,$B333,個体台帳!$E:$E,"廃棄")&gt;0,1,0)))</f>
        <v>0</v>
      </c>
    </row>
    <row r="334" spans="1:13">
      <c r="A334" t="s">
        <v>885</v>
      </c>
      <c r="B334" t="s">
        <v>6</v>
      </c>
      <c r="C334" t="s">
        <v>6</v>
      </c>
      <c r="D334" s="12" t="s">
        <v>6</v>
      </c>
      <c r="E334" s="11" t="s">
        <v>6</v>
      </c>
      <c r="F334" s="16" t="s">
        <v>6</v>
      </c>
      <c r="G334" t="s">
        <v>6</v>
      </c>
      <c r="H334" t="s">
        <v>6</v>
      </c>
      <c r="I334">
        <f t="shared" si="15"/>
        <v>1</v>
      </c>
      <c r="J334" t="str">
        <f t="shared" ca="1" si="16"/>
        <v/>
      </c>
      <c r="K334" t="e">
        <f t="shared" ca="1" si="17"/>
        <v>#VALUE!</v>
      </c>
      <c r="L334">
        <f>IF($A334="","",IF($E334&lt;&gt;"",0,IF(COUNTIFS(個体台帳!$A:$A,$B334,個体台帳!$E:$E,"&lt;&gt;貸出中")&gt;0,1,0)))</f>
        <v>1</v>
      </c>
      <c r="M334">
        <f>IF($A334="","",IF($E334&lt;&gt;"",0,IF(COUNTIFS(個体台帳!$A:$A,$B334,個体台帳!$E:$E,"廃棄")&gt;0,1,0)))</f>
        <v>0</v>
      </c>
    </row>
    <row r="335" spans="1:13">
      <c r="A335" t="s">
        <v>886</v>
      </c>
      <c r="B335" t="s">
        <v>6</v>
      </c>
      <c r="C335" t="s">
        <v>6</v>
      </c>
      <c r="D335" s="12" t="s">
        <v>6</v>
      </c>
      <c r="E335" s="11" t="s">
        <v>6</v>
      </c>
      <c r="F335" s="16" t="s">
        <v>6</v>
      </c>
      <c r="G335" t="s">
        <v>6</v>
      </c>
      <c r="H335" t="s">
        <v>6</v>
      </c>
      <c r="I335">
        <f t="shared" si="15"/>
        <v>1</v>
      </c>
      <c r="J335" t="str">
        <f t="shared" ca="1" si="16"/>
        <v/>
      </c>
      <c r="K335" t="e">
        <f t="shared" ca="1" si="17"/>
        <v>#VALUE!</v>
      </c>
      <c r="L335">
        <f>IF($A335="","",IF($E335&lt;&gt;"",0,IF(COUNTIFS(個体台帳!$A:$A,$B335,個体台帳!$E:$E,"&lt;&gt;貸出中")&gt;0,1,0)))</f>
        <v>1</v>
      </c>
      <c r="M335">
        <f>IF($A335="","",IF($E335&lt;&gt;"",0,IF(COUNTIFS(個体台帳!$A:$A,$B335,個体台帳!$E:$E,"廃棄")&gt;0,1,0)))</f>
        <v>0</v>
      </c>
    </row>
    <row r="336" spans="1:13">
      <c r="A336" t="s">
        <v>887</v>
      </c>
      <c r="B336" t="s">
        <v>6</v>
      </c>
      <c r="C336" t="s">
        <v>6</v>
      </c>
      <c r="D336" s="12" t="s">
        <v>6</v>
      </c>
      <c r="E336" s="11" t="s">
        <v>6</v>
      </c>
      <c r="F336" s="16" t="s">
        <v>6</v>
      </c>
      <c r="G336" t="s">
        <v>6</v>
      </c>
      <c r="H336" t="s">
        <v>6</v>
      </c>
      <c r="I336">
        <f t="shared" si="15"/>
        <v>1</v>
      </c>
      <c r="J336" t="str">
        <f t="shared" ca="1" si="16"/>
        <v/>
      </c>
      <c r="K336" t="e">
        <f t="shared" ca="1" si="17"/>
        <v>#VALUE!</v>
      </c>
      <c r="L336">
        <f>IF($A336="","",IF($E336&lt;&gt;"",0,IF(COUNTIFS(個体台帳!$A:$A,$B336,個体台帳!$E:$E,"&lt;&gt;貸出中")&gt;0,1,0)))</f>
        <v>1</v>
      </c>
      <c r="M336">
        <f>IF($A336="","",IF($E336&lt;&gt;"",0,IF(COUNTIFS(個体台帳!$A:$A,$B336,個体台帳!$E:$E,"廃棄")&gt;0,1,0)))</f>
        <v>0</v>
      </c>
    </row>
    <row r="337" spans="1:13">
      <c r="A337" t="s">
        <v>888</v>
      </c>
      <c r="B337" t="s">
        <v>6</v>
      </c>
      <c r="C337" t="s">
        <v>6</v>
      </c>
      <c r="D337" s="12" t="s">
        <v>6</v>
      </c>
      <c r="E337" s="11" t="s">
        <v>6</v>
      </c>
      <c r="F337" s="16" t="s">
        <v>6</v>
      </c>
      <c r="G337" t="s">
        <v>6</v>
      </c>
      <c r="H337" t="s">
        <v>6</v>
      </c>
      <c r="I337">
        <f t="shared" si="15"/>
        <v>1</v>
      </c>
      <c r="J337" t="str">
        <f t="shared" ca="1" si="16"/>
        <v/>
      </c>
      <c r="K337" t="e">
        <f t="shared" ca="1" si="17"/>
        <v>#VALUE!</v>
      </c>
      <c r="L337">
        <f>IF($A337="","",IF($E337&lt;&gt;"",0,IF(COUNTIFS(個体台帳!$A:$A,$B337,個体台帳!$E:$E,"&lt;&gt;貸出中")&gt;0,1,0)))</f>
        <v>1</v>
      </c>
      <c r="M337">
        <f>IF($A337="","",IF($E337&lt;&gt;"",0,IF(COUNTIFS(個体台帳!$A:$A,$B337,個体台帳!$E:$E,"廃棄")&gt;0,1,0)))</f>
        <v>0</v>
      </c>
    </row>
    <row r="338" spans="1:13">
      <c r="A338" t="s">
        <v>889</v>
      </c>
      <c r="B338" t="s">
        <v>6</v>
      </c>
      <c r="C338" t="s">
        <v>6</v>
      </c>
      <c r="D338" s="12" t="s">
        <v>6</v>
      </c>
      <c r="E338" s="11" t="s">
        <v>6</v>
      </c>
      <c r="F338" s="16" t="s">
        <v>6</v>
      </c>
      <c r="G338" t="s">
        <v>6</v>
      </c>
      <c r="H338" t="s">
        <v>6</v>
      </c>
      <c r="I338">
        <f t="shared" si="15"/>
        <v>1</v>
      </c>
      <c r="J338" t="str">
        <f t="shared" ca="1" si="16"/>
        <v/>
      </c>
      <c r="K338" t="e">
        <f t="shared" ca="1" si="17"/>
        <v>#VALUE!</v>
      </c>
      <c r="L338">
        <f>IF($A338="","",IF($E338&lt;&gt;"",0,IF(COUNTIFS(個体台帳!$A:$A,$B338,個体台帳!$E:$E,"&lt;&gt;貸出中")&gt;0,1,0)))</f>
        <v>1</v>
      </c>
      <c r="M338">
        <f>IF($A338="","",IF($E338&lt;&gt;"",0,IF(COUNTIFS(個体台帳!$A:$A,$B338,個体台帳!$E:$E,"廃棄")&gt;0,1,0)))</f>
        <v>0</v>
      </c>
    </row>
    <row r="339" spans="1:13">
      <c r="A339" t="s">
        <v>890</v>
      </c>
      <c r="B339" t="s">
        <v>6</v>
      </c>
      <c r="C339" t="s">
        <v>6</v>
      </c>
      <c r="D339" s="12" t="s">
        <v>6</v>
      </c>
      <c r="E339" s="11" t="s">
        <v>6</v>
      </c>
      <c r="F339" s="16" t="s">
        <v>6</v>
      </c>
      <c r="G339" t="s">
        <v>6</v>
      </c>
      <c r="H339" t="s">
        <v>6</v>
      </c>
      <c r="I339">
        <f t="shared" si="15"/>
        <v>1</v>
      </c>
      <c r="J339" t="str">
        <f t="shared" ca="1" si="16"/>
        <v/>
      </c>
      <c r="K339" t="e">
        <f t="shared" ca="1" si="17"/>
        <v>#VALUE!</v>
      </c>
      <c r="L339">
        <f>IF($A339="","",IF($E339&lt;&gt;"",0,IF(COUNTIFS(個体台帳!$A:$A,$B339,個体台帳!$E:$E,"&lt;&gt;貸出中")&gt;0,1,0)))</f>
        <v>1</v>
      </c>
      <c r="M339">
        <f>IF($A339="","",IF($E339&lt;&gt;"",0,IF(COUNTIFS(個体台帳!$A:$A,$B339,個体台帳!$E:$E,"廃棄")&gt;0,1,0)))</f>
        <v>0</v>
      </c>
    </row>
    <row r="340" spans="1:13">
      <c r="A340" t="s">
        <v>891</v>
      </c>
      <c r="B340" t="s">
        <v>6</v>
      </c>
      <c r="C340" t="s">
        <v>6</v>
      </c>
      <c r="D340" s="12" t="s">
        <v>6</v>
      </c>
      <c r="E340" s="11" t="s">
        <v>6</v>
      </c>
      <c r="F340" s="16" t="s">
        <v>6</v>
      </c>
      <c r="G340" t="s">
        <v>6</v>
      </c>
      <c r="H340" t="s">
        <v>6</v>
      </c>
      <c r="I340">
        <f t="shared" si="15"/>
        <v>1</v>
      </c>
      <c r="J340" t="str">
        <f t="shared" ca="1" si="16"/>
        <v/>
      </c>
      <c r="K340" t="e">
        <f t="shared" ca="1" si="17"/>
        <v>#VALUE!</v>
      </c>
      <c r="L340">
        <f>IF($A340="","",IF($E340&lt;&gt;"",0,IF(COUNTIFS(個体台帳!$A:$A,$B340,個体台帳!$E:$E,"&lt;&gt;貸出中")&gt;0,1,0)))</f>
        <v>1</v>
      </c>
      <c r="M340">
        <f>IF($A340="","",IF($E340&lt;&gt;"",0,IF(COUNTIFS(個体台帳!$A:$A,$B340,個体台帳!$E:$E,"廃棄")&gt;0,1,0)))</f>
        <v>0</v>
      </c>
    </row>
    <row r="341" spans="1:13">
      <c r="A341" t="s">
        <v>892</v>
      </c>
      <c r="B341" t="s">
        <v>6</v>
      </c>
      <c r="C341" t="s">
        <v>6</v>
      </c>
      <c r="D341" s="12" t="s">
        <v>6</v>
      </c>
      <c r="E341" s="11" t="s">
        <v>6</v>
      </c>
      <c r="F341" s="16" t="s">
        <v>6</v>
      </c>
      <c r="G341" t="s">
        <v>6</v>
      </c>
      <c r="H341" t="s">
        <v>6</v>
      </c>
      <c r="I341">
        <f t="shared" si="15"/>
        <v>1</v>
      </c>
      <c r="J341" t="str">
        <f t="shared" ca="1" si="16"/>
        <v/>
      </c>
      <c r="K341" t="e">
        <f t="shared" ca="1" si="17"/>
        <v>#VALUE!</v>
      </c>
      <c r="L341">
        <f>IF($A341="","",IF($E341&lt;&gt;"",0,IF(COUNTIFS(個体台帳!$A:$A,$B341,個体台帳!$E:$E,"&lt;&gt;貸出中")&gt;0,1,0)))</f>
        <v>1</v>
      </c>
      <c r="M341">
        <f>IF($A341="","",IF($E341&lt;&gt;"",0,IF(COUNTIFS(個体台帳!$A:$A,$B341,個体台帳!$E:$E,"廃棄")&gt;0,1,0)))</f>
        <v>0</v>
      </c>
    </row>
    <row r="342" spans="1:13">
      <c r="A342" t="s">
        <v>893</v>
      </c>
      <c r="B342" t="s">
        <v>6</v>
      </c>
      <c r="C342" t="s">
        <v>6</v>
      </c>
      <c r="D342" s="12" t="s">
        <v>6</v>
      </c>
      <c r="E342" s="11" t="s">
        <v>6</v>
      </c>
      <c r="F342" s="16" t="s">
        <v>6</v>
      </c>
      <c r="G342" t="s">
        <v>6</v>
      </c>
      <c r="H342" t="s">
        <v>6</v>
      </c>
      <c r="I342">
        <f t="shared" si="15"/>
        <v>1</v>
      </c>
      <c r="J342" t="str">
        <f t="shared" ca="1" si="16"/>
        <v/>
      </c>
      <c r="K342" t="e">
        <f t="shared" ca="1" si="17"/>
        <v>#VALUE!</v>
      </c>
      <c r="L342">
        <f>IF($A342="","",IF($E342&lt;&gt;"",0,IF(COUNTIFS(個体台帳!$A:$A,$B342,個体台帳!$E:$E,"&lt;&gt;貸出中")&gt;0,1,0)))</f>
        <v>1</v>
      </c>
      <c r="M342">
        <f>IF($A342="","",IF($E342&lt;&gt;"",0,IF(COUNTIFS(個体台帳!$A:$A,$B342,個体台帳!$E:$E,"廃棄")&gt;0,1,0)))</f>
        <v>0</v>
      </c>
    </row>
    <row r="343" spans="1:13">
      <c r="A343" t="s">
        <v>894</v>
      </c>
      <c r="B343" t="s">
        <v>6</v>
      </c>
      <c r="C343" t="s">
        <v>6</v>
      </c>
      <c r="D343" s="12" t="s">
        <v>6</v>
      </c>
      <c r="E343" s="11" t="s">
        <v>6</v>
      </c>
      <c r="F343" s="16" t="s">
        <v>6</v>
      </c>
      <c r="G343" t="s">
        <v>6</v>
      </c>
      <c r="H343" t="s">
        <v>6</v>
      </c>
      <c r="I343">
        <f t="shared" si="15"/>
        <v>1</v>
      </c>
      <c r="J343" t="str">
        <f t="shared" ca="1" si="16"/>
        <v/>
      </c>
      <c r="K343" t="e">
        <f t="shared" ca="1" si="17"/>
        <v>#VALUE!</v>
      </c>
      <c r="L343">
        <f>IF($A343="","",IF($E343&lt;&gt;"",0,IF(COUNTIFS(個体台帳!$A:$A,$B343,個体台帳!$E:$E,"&lt;&gt;貸出中")&gt;0,1,0)))</f>
        <v>1</v>
      </c>
      <c r="M343">
        <f>IF($A343="","",IF($E343&lt;&gt;"",0,IF(COUNTIFS(個体台帳!$A:$A,$B343,個体台帳!$E:$E,"廃棄")&gt;0,1,0)))</f>
        <v>0</v>
      </c>
    </row>
    <row r="344" spans="1:13">
      <c r="A344" t="s">
        <v>895</v>
      </c>
      <c r="B344" t="s">
        <v>6</v>
      </c>
      <c r="C344" t="s">
        <v>6</v>
      </c>
      <c r="D344" s="12" t="s">
        <v>6</v>
      </c>
      <c r="E344" s="11" t="s">
        <v>6</v>
      </c>
      <c r="F344" s="16" t="s">
        <v>6</v>
      </c>
      <c r="G344" t="s">
        <v>6</v>
      </c>
      <c r="H344" t="s">
        <v>6</v>
      </c>
      <c r="I344">
        <f t="shared" si="15"/>
        <v>1</v>
      </c>
      <c r="J344" t="str">
        <f t="shared" ca="1" si="16"/>
        <v/>
      </c>
      <c r="K344" t="e">
        <f t="shared" ca="1" si="17"/>
        <v>#VALUE!</v>
      </c>
      <c r="L344">
        <f>IF($A344="","",IF($E344&lt;&gt;"",0,IF(COUNTIFS(個体台帳!$A:$A,$B344,個体台帳!$E:$E,"&lt;&gt;貸出中")&gt;0,1,0)))</f>
        <v>1</v>
      </c>
      <c r="M344">
        <f>IF($A344="","",IF($E344&lt;&gt;"",0,IF(COUNTIFS(個体台帳!$A:$A,$B344,個体台帳!$E:$E,"廃棄")&gt;0,1,0)))</f>
        <v>0</v>
      </c>
    </row>
    <row r="345" spans="1:13">
      <c r="A345" t="s">
        <v>896</v>
      </c>
      <c r="B345" t="s">
        <v>6</v>
      </c>
      <c r="C345" t="s">
        <v>6</v>
      </c>
      <c r="D345" s="12" t="s">
        <v>6</v>
      </c>
      <c r="E345" s="11" t="s">
        <v>6</v>
      </c>
      <c r="F345" s="16" t="s">
        <v>6</v>
      </c>
      <c r="G345" t="s">
        <v>6</v>
      </c>
      <c r="H345" t="s">
        <v>6</v>
      </c>
      <c r="I345">
        <f t="shared" si="15"/>
        <v>1</v>
      </c>
      <c r="J345" t="str">
        <f t="shared" ca="1" si="16"/>
        <v/>
      </c>
      <c r="K345" t="e">
        <f t="shared" ca="1" si="17"/>
        <v>#VALUE!</v>
      </c>
      <c r="L345">
        <f>IF($A345="","",IF($E345&lt;&gt;"",0,IF(COUNTIFS(個体台帳!$A:$A,$B345,個体台帳!$E:$E,"&lt;&gt;貸出中")&gt;0,1,0)))</f>
        <v>1</v>
      </c>
      <c r="M345">
        <f>IF($A345="","",IF($E345&lt;&gt;"",0,IF(COUNTIFS(個体台帳!$A:$A,$B345,個体台帳!$E:$E,"廃棄")&gt;0,1,0)))</f>
        <v>0</v>
      </c>
    </row>
    <row r="346" spans="1:13">
      <c r="A346" t="s">
        <v>897</v>
      </c>
      <c r="B346" t="s">
        <v>6</v>
      </c>
      <c r="C346" t="s">
        <v>6</v>
      </c>
      <c r="D346" s="12" t="s">
        <v>6</v>
      </c>
      <c r="E346" s="11" t="s">
        <v>6</v>
      </c>
      <c r="F346" s="16" t="s">
        <v>6</v>
      </c>
      <c r="G346" t="s">
        <v>6</v>
      </c>
      <c r="H346" t="s">
        <v>6</v>
      </c>
      <c r="I346">
        <f t="shared" si="15"/>
        <v>1</v>
      </c>
      <c r="J346" t="str">
        <f t="shared" ca="1" si="16"/>
        <v/>
      </c>
      <c r="K346" t="e">
        <f t="shared" ca="1" si="17"/>
        <v>#VALUE!</v>
      </c>
      <c r="L346">
        <f>IF($A346="","",IF($E346&lt;&gt;"",0,IF(COUNTIFS(個体台帳!$A:$A,$B346,個体台帳!$E:$E,"&lt;&gt;貸出中")&gt;0,1,0)))</f>
        <v>1</v>
      </c>
      <c r="M346">
        <f>IF($A346="","",IF($E346&lt;&gt;"",0,IF(COUNTIFS(個体台帳!$A:$A,$B346,個体台帳!$E:$E,"廃棄")&gt;0,1,0)))</f>
        <v>0</v>
      </c>
    </row>
    <row r="347" spans="1:13">
      <c r="A347" t="s">
        <v>898</v>
      </c>
      <c r="B347" t="s">
        <v>6</v>
      </c>
      <c r="C347" t="s">
        <v>6</v>
      </c>
      <c r="D347" s="12" t="s">
        <v>6</v>
      </c>
      <c r="E347" s="11" t="s">
        <v>6</v>
      </c>
      <c r="F347" s="16" t="s">
        <v>6</v>
      </c>
      <c r="G347" t="s">
        <v>6</v>
      </c>
      <c r="H347" t="s">
        <v>6</v>
      </c>
      <c r="I347">
        <f t="shared" si="15"/>
        <v>1</v>
      </c>
      <c r="J347" t="str">
        <f t="shared" ca="1" si="16"/>
        <v/>
      </c>
      <c r="K347" t="e">
        <f t="shared" ca="1" si="17"/>
        <v>#VALUE!</v>
      </c>
      <c r="L347">
        <f>IF($A347="","",IF($E347&lt;&gt;"",0,IF(COUNTIFS(個体台帳!$A:$A,$B347,個体台帳!$E:$E,"&lt;&gt;貸出中")&gt;0,1,0)))</f>
        <v>1</v>
      </c>
      <c r="M347">
        <f>IF($A347="","",IF($E347&lt;&gt;"",0,IF(COUNTIFS(個体台帳!$A:$A,$B347,個体台帳!$E:$E,"廃棄")&gt;0,1,0)))</f>
        <v>0</v>
      </c>
    </row>
    <row r="348" spans="1:13">
      <c r="A348" t="s">
        <v>899</v>
      </c>
      <c r="B348" t="s">
        <v>6</v>
      </c>
      <c r="C348" t="s">
        <v>6</v>
      </c>
      <c r="D348" s="12" t="s">
        <v>6</v>
      </c>
      <c r="E348" s="11" t="s">
        <v>6</v>
      </c>
      <c r="F348" s="16" t="s">
        <v>6</v>
      </c>
      <c r="G348" t="s">
        <v>6</v>
      </c>
      <c r="H348" t="s">
        <v>6</v>
      </c>
      <c r="I348">
        <f t="shared" si="15"/>
        <v>1</v>
      </c>
      <c r="J348" t="str">
        <f t="shared" ca="1" si="16"/>
        <v/>
      </c>
      <c r="K348" t="e">
        <f t="shared" ca="1" si="17"/>
        <v>#VALUE!</v>
      </c>
      <c r="L348">
        <f>IF($A348="","",IF($E348&lt;&gt;"",0,IF(COUNTIFS(個体台帳!$A:$A,$B348,個体台帳!$E:$E,"&lt;&gt;貸出中")&gt;0,1,0)))</f>
        <v>1</v>
      </c>
      <c r="M348">
        <f>IF($A348="","",IF($E348&lt;&gt;"",0,IF(COUNTIFS(個体台帳!$A:$A,$B348,個体台帳!$E:$E,"廃棄")&gt;0,1,0)))</f>
        <v>0</v>
      </c>
    </row>
    <row r="349" spans="1:13">
      <c r="A349" t="s">
        <v>900</v>
      </c>
      <c r="B349" t="s">
        <v>6</v>
      </c>
      <c r="C349" t="s">
        <v>6</v>
      </c>
      <c r="D349" s="12" t="s">
        <v>6</v>
      </c>
      <c r="E349" s="11" t="s">
        <v>6</v>
      </c>
      <c r="F349" s="16" t="s">
        <v>6</v>
      </c>
      <c r="G349" t="s">
        <v>6</v>
      </c>
      <c r="H349" t="s">
        <v>6</v>
      </c>
      <c r="I349">
        <f t="shared" si="15"/>
        <v>1</v>
      </c>
      <c r="J349" t="str">
        <f t="shared" ca="1" si="16"/>
        <v/>
      </c>
      <c r="K349" t="e">
        <f t="shared" ca="1" si="17"/>
        <v>#VALUE!</v>
      </c>
      <c r="L349">
        <f>IF($A349="","",IF($E349&lt;&gt;"",0,IF(COUNTIFS(個体台帳!$A:$A,$B349,個体台帳!$E:$E,"&lt;&gt;貸出中")&gt;0,1,0)))</f>
        <v>1</v>
      </c>
      <c r="M349">
        <f>IF($A349="","",IF($E349&lt;&gt;"",0,IF(COUNTIFS(個体台帳!$A:$A,$B349,個体台帳!$E:$E,"廃棄")&gt;0,1,0)))</f>
        <v>0</v>
      </c>
    </row>
    <row r="350" spans="1:13">
      <c r="A350" t="s">
        <v>901</v>
      </c>
      <c r="B350" t="s">
        <v>6</v>
      </c>
      <c r="C350" t="s">
        <v>6</v>
      </c>
      <c r="D350" s="12" t="s">
        <v>6</v>
      </c>
      <c r="E350" s="11" t="s">
        <v>6</v>
      </c>
      <c r="F350" s="16" t="s">
        <v>6</v>
      </c>
      <c r="G350" t="s">
        <v>6</v>
      </c>
      <c r="H350" t="s">
        <v>6</v>
      </c>
      <c r="I350">
        <f t="shared" si="15"/>
        <v>1</v>
      </c>
      <c r="J350" t="str">
        <f t="shared" ca="1" si="16"/>
        <v/>
      </c>
      <c r="K350" t="e">
        <f t="shared" ca="1" si="17"/>
        <v>#VALUE!</v>
      </c>
      <c r="L350">
        <f>IF($A350="","",IF($E350&lt;&gt;"",0,IF(COUNTIFS(個体台帳!$A:$A,$B350,個体台帳!$E:$E,"&lt;&gt;貸出中")&gt;0,1,0)))</f>
        <v>1</v>
      </c>
      <c r="M350">
        <f>IF($A350="","",IF($E350&lt;&gt;"",0,IF(COUNTIFS(個体台帳!$A:$A,$B350,個体台帳!$E:$E,"廃棄")&gt;0,1,0)))</f>
        <v>0</v>
      </c>
    </row>
    <row r="351" spans="1:13">
      <c r="A351" t="s">
        <v>902</v>
      </c>
      <c r="B351" t="s">
        <v>6</v>
      </c>
      <c r="C351" t="s">
        <v>6</v>
      </c>
      <c r="D351" s="12" t="s">
        <v>6</v>
      </c>
      <c r="E351" s="11" t="s">
        <v>6</v>
      </c>
      <c r="F351" s="16" t="s">
        <v>6</v>
      </c>
      <c r="G351" t="s">
        <v>6</v>
      </c>
      <c r="H351" t="s">
        <v>6</v>
      </c>
      <c r="I351">
        <f t="shared" si="15"/>
        <v>1</v>
      </c>
      <c r="J351" t="str">
        <f t="shared" ca="1" si="16"/>
        <v/>
      </c>
      <c r="K351" t="e">
        <f t="shared" ca="1" si="17"/>
        <v>#VALUE!</v>
      </c>
      <c r="L351">
        <f>IF($A351="","",IF($E351&lt;&gt;"",0,IF(COUNTIFS(個体台帳!$A:$A,$B351,個体台帳!$E:$E,"&lt;&gt;貸出中")&gt;0,1,0)))</f>
        <v>1</v>
      </c>
      <c r="M351">
        <f>IF($A351="","",IF($E351&lt;&gt;"",0,IF(COUNTIFS(個体台帳!$A:$A,$B351,個体台帳!$E:$E,"廃棄")&gt;0,1,0)))</f>
        <v>0</v>
      </c>
    </row>
    <row r="352" spans="1:13">
      <c r="A352" t="s">
        <v>903</v>
      </c>
      <c r="B352" t="s">
        <v>6</v>
      </c>
      <c r="C352" t="s">
        <v>6</v>
      </c>
      <c r="D352" s="12" t="s">
        <v>6</v>
      </c>
      <c r="E352" s="11" t="s">
        <v>6</v>
      </c>
      <c r="F352" s="16" t="s">
        <v>6</v>
      </c>
      <c r="G352" t="s">
        <v>6</v>
      </c>
      <c r="H352" t="s">
        <v>6</v>
      </c>
      <c r="I352">
        <f t="shared" si="15"/>
        <v>1</v>
      </c>
      <c r="J352" t="str">
        <f t="shared" ca="1" si="16"/>
        <v/>
      </c>
      <c r="K352" t="e">
        <f t="shared" ca="1" si="17"/>
        <v>#VALUE!</v>
      </c>
      <c r="L352">
        <f>IF($A352="","",IF($E352&lt;&gt;"",0,IF(COUNTIFS(個体台帳!$A:$A,$B352,個体台帳!$E:$E,"&lt;&gt;貸出中")&gt;0,1,0)))</f>
        <v>1</v>
      </c>
      <c r="M352">
        <f>IF($A352="","",IF($E352&lt;&gt;"",0,IF(COUNTIFS(個体台帳!$A:$A,$B352,個体台帳!$E:$E,"廃棄")&gt;0,1,0)))</f>
        <v>0</v>
      </c>
    </row>
    <row r="353" spans="1:13">
      <c r="A353" t="s">
        <v>904</v>
      </c>
      <c r="B353" t="s">
        <v>6</v>
      </c>
      <c r="C353" t="s">
        <v>6</v>
      </c>
      <c r="D353" s="12" t="s">
        <v>6</v>
      </c>
      <c r="E353" s="11" t="s">
        <v>6</v>
      </c>
      <c r="F353" s="16" t="s">
        <v>6</v>
      </c>
      <c r="G353" t="s">
        <v>6</v>
      </c>
      <c r="H353" t="s">
        <v>6</v>
      </c>
      <c r="I353">
        <f t="shared" si="15"/>
        <v>1</v>
      </c>
      <c r="J353" t="str">
        <f t="shared" ca="1" si="16"/>
        <v/>
      </c>
      <c r="K353" t="e">
        <f t="shared" ca="1" si="17"/>
        <v>#VALUE!</v>
      </c>
      <c r="L353">
        <f>IF($A353="","",IF($E353&lt;&gt;"",0,IF(COUNTIFS(個体台帳!$A:$A,$B353,個体台帳!$E:$E,"&lt;&gt;貸出中")&gt;0,1,0)))</f>
        <v>1</v>
      </c>
      <c r="M353">
        <f>IF($A353="","",IF($E353&lt;&gt;"",0,IF(COUNTIFS(個体台帳!$A:$A,$B353,個体台帳!$E:$E,"廃棄")&gt;0,1,0)))</f>
        <v>0</v>
      </c>
    </row>
    <row r="354" spans="1:13">
      <c r="A354" t="s">
        <v>905</v>
      </c>
      <c r="B354" t="s">
        <v>6</v>
      </c>
      <c r="C354" t="s">
        <v>6</v>
      </c>
      <c r="D354" s="12" t="s">
        <v>6</v>
      </c>
      <c r="E354" s="11" t="s">
        <v>6</v>
      </c>
      <c r="F354" s="16" t="s">
        <v>6</v>
      </c>
      <c r="G354" t="s">
        <v>6</v>
      </c>
      <c r="H354" t="s">
        <v>6</v>
      </c>
      <c r="I354">
        <f t="shared" si="15"/>
        <v>1</v>
      </c>
      <c r="J354" t="str">
        <f t="shared" ca="1" si="16"/>
        <v/>
      </c>
      <c r="K354" t="e">
        <f t="shared" ca="1" si="17"/>
        <v>#VALUE!</v>
      </c>
      <c r="L354">
        <f>IF($A354="","",IF($E354&lt;&gt;"",0,IF(COUNTIFS(個体台帳!$A:$A,$B354,個体台帳!$E:$E,"&lt;&gt;貸出中")&gt;0,1,0)))</f>
        <v>1</v>
      </c>
      <c r="M354">
        <f>IF($A354="","",IF($E354&lt;&gt;"",0,IF(COUNTIFS(個体台帳!$A:$A,$B354,個体台帳!$E:$E,"廃棄")&gt;0,1,0)))</f>
        <v>0</v>
      </c>
    </row>
    <row r="355" spans="1:13">
      <c r="A355" t="s">
        <v>906</v>
      </c>
      <c r="B355" t="s">
        <v>6</v>
      </c>
      <c r="C355" t="s">
        <v>6</v>
      </c>
      <c r="D355" s="12" t="s">
        <v>6</v>
      </c>
      <c r="E355" s="11" t="s">
        <v>6</v>
      </c>
      <c r="F355" s="16" t="s">
        <v>6</v>
      </c>
      <c r="G355" t="s">
        <v>6</v>
      </c>
      <c r="H355" t="s">
        <v>6</v>
      </c>
      <c r="I355">
        <f t="shared" si="15"/>
        <v>1</v>
      </c>
      <c r="J355" t="str">
        <f t="shared" ca="1" si="16"/>
        <v/>
      </c>
      <c r="K355" t="e">
        <f t="shared" ca="1" si="17"/>
        <v>#VALUE!</v>
      </c>
      <c r="L355">
        <f>IF($A355="","",IF($E355&lt;&gt;"",0,IF(COUNTIFS(個体台帳!$A:$A,$B355,個体台帳!$E:$E,"&lt;&gt;貸出中")&gt;0,1,0)))</f>
        <v>1</v>
      </c>
      <c r="M355">
        <f>IF($A355="","",IF($E355&lt;&gt;"",0,IF(COUNTIFS(個体台帳!$A:$A,$B355,個体台帳!$E:$E,"廃棄")&gt;0,1,0)))</f>
        <v>0</v>
      </c>
    </row>
    <row r="356" spans="1:13">
      <c r="A356" t="s">
        <v>907</v>
      </c>
      <c r="B356" t="s">
        <v>6</v>
      </c>
      <c r="C356" t="s">
        <v>6</v>
      </c>
      <c r="D356" s="12" t="s">
        <v>6</v>
      </c>
      <c r="E356" s="11" t="s">
        <v>6</v>
      </c>
      <c r="F356" s="16" t="s">
        <v>6</v>
      </c>
      <c r="G356" t="s">
        <v>6</v>
      </c>
      <c r="H356" t="s">
        <v>6</v>
      </c>
      <c r="I356">
        <f t="shared" si="15"/>
        <v>1</v>
      </c>
      <c r="J356" t="str">
        <f t="shared" ca="1" si="16"/>
        <v/>
      </c>
      <c r="K356" t="e">
        <f t="shared" ca="1" si="17"/>
        <v>#VALUE!</v>
      </c>
      <c r="L356">
        <f>IF($A356="","",IF($E356&lt;&gt;"",0,IF(COUNTIFS(個体台帳!$A:$A,$B356,個体台帳!$E:$E,"&lt;&gt;貸出中")&gt;0,1,0)))</f>
        <v>1</v>
      </c>
      <c r="M356">
        <f>IF($A356="","",IF($E356&lt;&gt;"",0,IF(COUNTIFS(個体台帳!$A:$A,$B356,個体台帳!$E:$E,"廃棄")&gt;0,1,0)))</f>
        <v>0</v>
      </c>
    </row>
    <row r="357" spans="1:13">
      <c r="A357" t="s">
        <v>908</v>
      </c>
      <c r="B357" t="s">
        <v>6</v>
      </c>
      <c r="C357" t="s">
        <v>6</v>
      </c>
      <c r="D357" s="12" t="s">
        <v>6</v>
      </c>
      <c r="E357" s="11" t="s">
        <v>6</v>
      </c>
      <c r="F357" s="16" t="s">
        <v>6</v>
      </c>
      <c r="G357" t="s">
        <v>6</v>
      </c>
      <c r="H357" t="s">
        <v>6</v>
      </c>
      <c r="I357">
        <f t="shared" si="15"/>
        <v>1</v>
      </c>
      <c r="J357" t="str">
        <f t="shared" ca="1" si="16"/>
        <v/>
      </c>
      <c r="K357" t="e">
        <f t="shared" ca="1" si="17"/>
        <v>#VALUE!</v>
      </c>
      <c r="L357">
        <f>IF($A357="","",IF($E357&lt;&gt;"",0,IF(COUNTIFS(個体台帳!$A:$A,$B357,個体台帳!$E:$E,"&lt;&gt;貸出中")&gt;0,1,0)))</f>
        <v>1</v>
      </c>
      <c r="M357">
        <f>IF($A357="","",IF($E357&lt;&gt;"",0,IF(COUNTIFS(個体台帳!$A:$A,$B357,個体台帳!$E:$E,"廃棄")&gt;0,1,0)))</f>
        <v>0</v>
      </c>
    </row>
    <row r="358" spans="1:13">
      <c r="A358" t="s">
        <v>909</v>
      </c>
      <c r="B358" t="s">
        <v>6</v>
      </c>
      <c r="C358" t="s">
        <v>6</v>
      </c>
      <c r="D358" s="12" t="s">
        <v>6</v>
      </c>
      <c r="E358" s="11" t="s">
        <v>6</v>
      </c>
      <c r="F358" s="16" t="s">
        <v>6</v>
      </c>
      <c r="G358" t="s">
        <v>6</v>
      </c>
      <c r="H358" t="s">
        <v>6</v>
      </c>
      <c r="I358">
        <f t="shared" si="15"/>
        <v>1</v>
      </c>
      <c r="J358" t="str">
        <f t="shared" ca="1" si="16"/>
        <v/>
      </c>
      <c r="K358" t="e">
        <f t="shared" ca="1" si="17"/>
        <v>#VALUE!</v>
      </c>
      <c r="L358">
        <f>IF($A358="","",IF($E358&lt;&gt;"",0,IF(COUNTIFS(個体台帳!$A:$A,$B358,個体台帳!$E:$E,"&lt;&gt;貸出中")&gt;0,1,0)))</f>
        <v>1</v>
      </c>
      <c r="M358">
        <f>IF($A358="","",IF($E358&lt;&gt;"",0,IF(COUNTIFS(個体台帳!$A:$A,$B358,個体台帳!$E:$E,"廃棄")&gt;0,1,0)))</f>
        <v>0</v>
      </c>
    </row>
    <row r="359" spans="1:13">
      <c r="A359" t="s">
        <v>910</v>
      </c>
      <c r="B359" t="s">
        <v>6</v>
      </c>
      <c r="C359" t="s">
        <v>6</v>
      </c>
      <c r="D359" s="12" t="s">
        <v>6</v>
      </c>
      <c r="E359" s="11" t="s">
        <v>6</v>
      </c>
      <c r="F359" s="16" t="s">
        <v>6</v>
      </c>
      <c r="G359" t="s">
        <v>6</v>
      </c>
      <c r="H359" t="s">
        <v>6</v>
      </c>
      <c r="I359">
        <f t="shared" si="15"/>
        <v>1</v>
      </c>
      <c r="J359" t="str">
        <f t="shared" ca="1" si="16"/>
        <v/>
      </c>
      <c r="K359" t="e">
        <f t="shared" ca="1" si="17"/>
        <v>#VALUE!</v>
      </c>
      <c r="L359">
        <f>IF($A359="","",IF($E359&lt;&gt;"",0,IF(COUNTIFS(個体台帳!$A:$A,$B359,個体台帳!$E:$E,"&lt;&gt;貸出中")&gt;0,1,0)))</f>
        <v>1</v>
      </c>
      <c r="M359">
        <f>IF($A359="","",IF($E359&lt;&gt;"",0,IF(COUNTIFS(個体台帳!$A:$A,$B359,個体台帳!$E:$E,"廃棄")&gt;0,1,0)))</f>
        <v>0</v>
      </c>
    </row>
    <row r="360" spans="1:13">
      <c r="A360" t="s">
        <v>911</v>
      </c>
      <c r="B360" t="s">
        <v>6</v>
      </c>
      <c r="C360" t="s">
        <v>6</v>
      </c>
      <c r="D360" s="12" t="s">
        <v>6</v>
      </c>
      <c r="E360" s="11" t="s">
        <v>6</v>
      </c>
      <c r="F360" s="16" t="s">
        <v>6</v>
      </c>
      <c r="G360" t="s">
        <v>6</v>
      </c>
      <c r="H360" t="s">
        <v>6</v>
      </c>
      <c r="I360">
        <f t="shared" si="15"/>
        <v>1</v>
      </c>
      <c r="J360" t="str">
        <f t="shared" ca="1" si="16"/>
        <v/>
      </c>
      <c r="K360" t="e">
        <f t="shared" ca="1" si="17"/>
        <v>#VALUE!</v>
      </c>
      <c r="L360">
        <f>IF($A360="","",IF($E360&lt;&gt;"",0,IF(COUNTIFS(個体台帳!$A:$A,$B360,個体台帳!$E:$E,"&lt;&gt;貸出中")&gt;0,1,0)))</f>
        <v>1</v>
      </c>
      <c r="M360">
        <f>IF($A360="","",IF($E360&lt;&gt;"",0,IF(COUNTIFS(個体台帳!$A:$A,$B360,個体台帳!$E:$E,"廃棄")&gt;0,1,0)))</f>
        <v>0</v>
      </c>
    </row>
    <row r="361" spans="1:13">
      <c r="A361" t="s">
        <v>912</v>
      </c>
      <c r="B361" t="s">
        <v>6</v>
      </c>
      <c r="C361" t="s">
        <v>6</v>
      </c>
      <c r="D361" s="12" t="s">
        <v>6</v>
      </c>
      <c r="E361" s="11" t="s">
        <v>6</v>
      </c>
      <c r="F361" s="16" t="s">
        <v>6</v>
      </c>
      <c r="G361" t="s">
        <v>6</v>
      </c>
      <c r="H361" t="s">
        <v>6</v>
      </c>
      <c r="I361">
        <f t="shared" si="15"/>
        <v>1</v>
      </c>
      <c r="J361" t="str">
        <f t="shared" ca="1" si="16"/>
        <v/>
      </c>
      <c r="K361" t="e">
        <f t="shared" ca="1" si="17"/>
        <v>#VALUE!</v>
      </c>
      <c r="L361">
        <f>IF($A361="","",IF($E361&lt;&gt;"",0,IF(COUNTIFS(個体台帳!$A:$A,$B361,個体台帳!$E:$E,"&lt;&gt;貸出中")&gt;0,1,0)))</f>
        <v>1</v>
      </c>
      <c r="M361">
        <f>IF($A361="","",IF($E361&lt;&gt;"",0,IF(COUNTIFS(個体台帳!$A:$A,$B361,個体台帳!$E:$E,"廃棄")&gt;0,1,0)))</f>
        <v>0</v>
      </c>
    </row>
    <row r="362" spans="1:13">
      <c r="A362" t="s">
        <v>913</v>
      </c>
      <c r="B362" t="s">
        <v>6</v>
      </c>
      <c r="C362" t="s">
        <v>6</v>
      </c>
      <c r="D362" s="12" t="s">
        <v>6</v>
      </c>
      <c r="E362" s="11" t="s">
        <v>6</v>
      </c>
      <c r="F362" s="16" t="s">
        <v>6</v>
      </c>
      <c r="G362" t="s">
        <v>6</v>
      </c>
      <c r="H362" t="s">
        <v>6</v>
      </c>
      <c r="I362">
        <f t="shared" si="15"/>
        <v>1</v>
      </c>
      <c r="J362" t="str">
        <f t="shared" ca="1" si="16"/>
        <v/>
      </c>
      <c r="K362" t="e">
        <f t="shared" ca="1" si="17"/>
        <v>#VALUE!</v>
      </c>
      <c r="L362">
        <f>IF($A362="","",IF($E362&lt;&gt;"",0,IF(COUNTIFS(個体台帳!$A:$A,$B362,個体台帳!$E:$E,"&lt;&gt;貸出中")&gt;0,1,0)))</f>
        <v>1</v>
      </c>
      <c r="M362">
        <f>IF($A362="","",IF($E362&lt;&gt;"",0,IF(COUNTIFS(個体台帳!$A:$A,$B362,個体台帳!$E:$E,"廃棄")&gt;0,1,0)))</f>
        <v>0</v>
      </c>
    </row>
    <row r="363" spans="1:13">
      <c r="A363" t="s">
        <v>914</v>
      </c>
      <c r="B363" t="s">
        <v>6</v>
      </c>
      <c r="C363" t="s">
        <v>6</v>
      </c>
      <c r="D363" s="12" t="s">
        <v>6</v>
      </c>
      <c r="E363" s="11" t="s">
        <v>6</v>
      </c>
      <c r="F363" s="16" t="s">
        <v>6</v>
      </c>
      <c r="G363" t="s">
        <v>6</v>
      </c>
      <c r="H363" t="s">
        <v>6</v>
      </c>
      <c r="I363">
        <f t="shared" si="15"/>
        <v>1</v>
      </c>
      <c r="J363" t="str">
        <f t="shared" ca="1" si="16"/>
        <v/>
      </c>
      <c r="K363" t="e">
        <f t="shared" ca="1" si="17"/>
        <v>#VALUE!</v>
      </c>
      <c r="L363">
        <f>IF($A363="","",IF($E363&lt;&gt;"",0,IF(COUNTIFS(個体台帳!$A:$A,$B363,個体台帳!$E:$E,"&lt;&gt;貸出中")&gt;0,1,0)))</f>
        <v>1</v>
      </c>
      <c r="M363">
        <f>IF($A363="","",IF($E363&lt;&gt;"",0,IF(COUNTIFS(個体台帳!$A:$A,$B363,個体台帳!$E:$E,"廃棄")&gt;0,1,0)))</f>
        <v>0</v>
      </c>
    </row>
    <row r="364" spans="1:13">
      <c r="A364" t="s">
        <v>915</v>
      </c>
      <c r="B364" t="s">
        <v>6</v>
      </c>
      <c r="C364" t="s">
        <v>6</v>
      </c>
      <c r="D364" s="12" t="s">
        <v>6</v>
      </c>
      <c r="E364" s="11" t="s">
        <v>6</v>
      </c>
      <c r="F364" s="16" t="s">
        <v>6</v>
      </c>
      <c r="G364" t="s">
        <v>6</v>
      </c>
      <c r="H364" t="s">
        <v>6</v>
      </c>
      <c r="I364">
        <f t="shared" si="15"/>
        <v>1</v>
      </c>
      <c r="J364" t="str">
        <f t="shared" ca="1" si="16"/>
        <v/>
      </c>
      <c r="K364" t="e">
        <f t="shared" ca="1" si="17"/>
        <v>#VALUE!</v>
      </c>
      <c r="L364">
        <f>IF($A364="","",IF($E364&lt;&gt;"",0,IF(COUNTIFS(個体台帳!$A:$A,$B364,個体台帳!$E:$E,"&lt;&gt;貸出中")&gt;0,1,0)))</f>
        <v>1</v>
      </c>
      <c r="M364">
        <f>IF($A364="","",IF($E364&lt;&gt;"",0,IF(COUNTIFS(個体台帳!$A:$A,$B364,個体台帳!$E:$E,"廃棄")&gt;0,1,0)))</f>
        <v>0</v>
      </c>
    </row>
    <row r="365" spans="1:13">
      <c r="A365" t="s">
        <v>916</v>
      </c>
      <c r="B365" t="s">
        <v>6</v>
      </c>
      <c r="C365" t="s">
        <v>6</v>
      </c>
      <c r="D365" s="12" t="s">
        <v>6</v>
      </c>
      <c r="E365" s="11" t="s">
        <v>6</v>
      </c>
      <c r="F365" s="16" t="s">
        <v>6</v>
      </c>
      <c r="G365" t="s">
        <v>6</v>
      </c>
      <c r="H365" t="s">
        <v>6</v>
      </c>
      <c r="I365">
        <f t="shared" si="15"/>
        <v>1</v>
      </c>
      <c r="J365" t="str">
        <f t="shared" ca="1" si="16"/>
        <v/>
      </c>
      <c r="K365" t="e">
        <f t="shared" ca="1" si="17"/>
        <v>#VALUE!</v>
      </c>
      <c r="L365">
        <f>IF($A365="","",IF($E365&lt;&gt;"",0,IF(COUNTIFS(個体台帳!$A:$A,$B365,個体台帳!$E:$E,"&lt;&gt;貸出中")&gt;0,1,0)))</f>
        <v>1</v>
      </c>
      <c r="M365">
        <f>IF($A365="","",IF($E365&lt;&gt;"",0,IF(COUNTIFS(個体台帳!$A:$A,$B365,個体台帳!$E:$E,"廃棄")&gt;0,1,0)))</f>
        <v>0</v>
      </c>
    </row>
    <row r="366" spans="1:13">
      <c r="A366" t="s">
        <v>917</v>
      </c>
      <c r="B366" t="s">
        <v>6</v>
      </c>
      <c r="C366" t="s">
        <v>6</v>
      </c>
      <c r="D366" s="12" t="s">
        <v>6</v>
      </c>
      <c r="E366" s="11" t="s">
        <v>6</v>
      </c>
      <c r="F366" s="16" t="s">
        <v>6</v>
      </c>
      <c r="G366" t="s">
        <v>6</v>
      </c>
      <c r="H366" t="s">
        <v>6</v>
      </c>
      <c r="I366">
        <f t="shared" si="15"/>
        <v>1</v>
      </c>
      <c r="J366" t="str">
        <f t="shared" ca="1" si="16"/>
        <v/>
      </c>
      <c r="K366" t="e">
        <f t="shared" ca="1" si="17"/>
        <v>#VALUE!</v>
      </c>
      <c r="L366">
        <f>IF($A366="","",IF($E366&lt;&gt;"",0,IF(COUNTIFS(個体台帳!$A:$A,$B366,個体台帳!$E:$E,"&lt;&gt;貸出中")&gt;0,1,0)))</f>
        <v>1</v>
      </c>
      <c r="M366">
        <f>IF($A366="","",IF($E366&lt;&gt;"",0,IF(COUNTIFS(個体台帳!$A:$A,$B366,個体台帳!$E:$E,"廃棄")&gt;0,1,0)))</f>
        <v>0</v>
      </c>
    </row>
    <row r="367" spans="1:13">
      <c r="A367" t="s">
        <v>918</v>
      </c>
      <c r="B367" t="s">
        <v>6</v>
      </c>
      <c r="C367" t="s">
        <v>6</v>
      </c>
      <c r="D367" s="12" t="s">
        <v>6</v>
      </c>
      <c r="E367" s="11" t="s">
        <v>6</v>
      </c>
      <c r="F367" s="16" t="s">
        <v>6</v>
      </c>
      <c r="G367" t="s">
        <v>6</v>
      </c>
      <c r="H367" t="s">
        <v>6</v>
      </c>
      <c r="I367">
        <f t="shared" si="15"/>
        <v>1</v>
      </c>
      <c r="J367" t="str">
        <f t="shared" ca="1" si="16"/>
        <v/>
      </c>
      <c r="K367" t="e">
        <f t="shared" ca="1" si="17"/>
        <v>#VALUE!</v>
      </c>
      <c r="L367">
        <f>IF($A367="","",IF($E367&lt;&gt;"",0,IF(COUNTIFS(個体台帳!$A:$A,$B367,個体台帳!$E:$E,"&lt;&gt;貸出中")&gt;0,1,0)))</f>
        <v>1</v>
      </c>
      <c r="M367">
        <f>IF($A367="","",IF($E367&lt;&gt;"",0,IF(COUNTIFS(個体台帳!$A:$A,$B367,個体台帳!$E:$E,"廃棄")&gt;0,1,0)))</f>
        <v>0</v>
      </c>
    </row>
    <row r="368" spans="1:13">
      <c r="A368" t="s">
        <v>919</v>
      </c>
      <c r="B368" t="s">
        <v>6</v>
      </c>
      <c r="C368" t="s">
        <v>6</v>
      </c>
      <c r="D368" s="12" t="s">
        <v>6</v>
      </c>
      <c r="E368" s="11" t="s">
        <v>6</v>
      </c>
      <c r="F368" s="16" t="s">
        <v>6</v>
      </c>
      <c r="G368" t="s">
        <v>6</v>
      </c>
      <c r="H368" t="s">
        <v>6</v>
      </c>
      <c r="I368">
        <f t="shared" si="15"/>
        <v>1</v>
      </c>
      <c r="J368" t="str">
        <f t="shared" ca="1" si="16"/>
        <v/>
      </c>
      <c r="K368" t="e">
        <f t="shared" ca="1" si="17"/>
        <v>#VALUE!</v>
      </c>
      <c r="L368">
        <f>IF($A368="","",IF($E368&lt;&gt;"",0,IF(COUNTIFS(個体台帳!$A:$A,$B368,個体台帳!$E:$E,"&lt;&gt;貸出中")&gt;0,1,0)))</f>
        <v>1</v>
      </c>
      <c r="M368">
        <f>IF($A368="","",IF($E368&lt;&gt;"",0,IF(COUNTIFS(個体台帳!$A:$A,$B368,個体台帳!$E:$E,"廃棄")&gt;0,1,0)))</f>
        <v>0</v>
      </c>
    </row>
    <row r="369" spans="1:13">
      <c r="A369" t="s">
        <v>920</v>
      </c>
      <c r="B369" t="s">
        <v>6</v>
      </c>
      <c r="C369" t="s">
        <v>6</v>
      </c>
      <c r="D369" s="12" t="s">
        <v>6</v>
      </c>
      <c r="E369" s="11" t="s">
        <v>6</v>
      </c>
      <c r="F369" s="16" t="s">
        <v>6</v>
      </c>
      <c r="G369" t="s">
        <v>6</v>
      </c>
      <c r="H369" t="s">
        <v>6</v>
      </c>
      <c r="I369">
        <f t="shared" si="15"/>
        <v>1</v>
      </c>
      <c r="J369" t="str">
        <f t="shared" ca="1" si="16"/>
        <v/>
      </c>
      <c r="K369" t="e">
        <f t="shared" ca="1" si="17"/>
        <v>#VALUE!</v>
      </c>
      <c r="L369">
        <f>IF($A369="","",IF($E369&lt;&gt;"",0,IF(COUNTIFS(個体台帳!$A:$A,$B369,個体台帳!$E:$E,"&lt;&gt;貸出中")&gt;0,1,0)))</f>
        <v>1</v>
      </c>
      <c r="M369">
        <f>IF($A369="","",IF($E369&lt;&gt;"",0,IF(COUNTIFS(個体台帳!$A:$A,$B369,個体台帳!$E:$E,"廃棄")&gt;0,1,0)))</f>
        <v>0</v>
      </c>
    </row>
    <row r="370" spans="1:13">
      <c r="A370" t="s">
        <v>921</v>
      </c>
      <c r="B370" t="s">
        <v>6</v>
      </c>
      <c r="C370" t="s">
        <v>6</v>
      </c>
      <c r="D370" s="12" t="s">
        <v>6</v>
      </c>
      <c r="E370" s="11" t="s">
        <v>6</v>
      </c>
      <c r="F370" s="16" t="s">
        <v>6</v>
      </c>
      <c r="G370" t="s">
        <v>6</v>
      </c>
      <c r="H370" t="s">
        <v>6</v>
      </c>
      <c r="I370">
        <f t="shared" si="15"/>
        <v>1</v>
      </c>
      <c r="J370" t="str">
        <f t="shared" ca="1" si="16"/>
        <v/>
      </c>
      <c r="K370" t="e">
        <f t="shared" ca="1" si="17"/>
        <v>#VALUE!</v>
      </c>
      <c r="L370">
        <f>IF($A370="","",IF($E370&lt;&gt;"",0,IF(COUNTIFS(個体台帳!$A:$A,$B370,個体台帳!$E:$E,"&lt;&gt;貸出中")&gt;0,1,0)))</f>
        <v>1</v>
      </c>
      <c r="M370">
        <f>IF($A370="","",IF($E370&lt;&gt;"",0,IF(COUNTIFS(個体台帳!$A:$A,$B370,個体台帳!$E:$E,"廃棄")&gt;0,1,0)))</f>
        <v>0</v>
      </c>
    </row>
    <row r="371" spans="1:13">
      <c r="A371" t="s">
        <v>922</v>
      </c>
      <c r="B371" t="s">
        <v>6</v>
      </c>
      <c r="C371" t="s">
        <v>6</v>
      </c>
      <c r="D371" s="12" t="s">
        <v>6</v>
      </c>
      <c r="E371" s="11" t="s">
        <v>6</v>
      </c>
      <c r="F371" s="16" t="s">
        <v>6</v>
      </c>
      <c r="G371" t="s">
        <v>6</v>
      </c>
      <c r="H371" t="s">
        <v>6</v>
      </c>
      <c r="I371">
        <f t="shared" si="15"/>
        <v>1</v>
      </c>
      <c r="J371" t="str">
        <f t="shared" ca="1" si="16"/>
        <v/>
      </c>
      <c r="K371" t="e">
        <f t="shared" ca="1" si="17"/>
        <v>#VALUE!</v>
      </c>
      <c r="L371">
        <f>IF($A371="","",IF($E371&lt;&gt;"",0,IF(COUNTIFS(個体台帳!$A:$A,$B371,個体台帳!$E:$E,"&lt;&gt;貸出中")&gt;0,1,0)))</f>
        <v>1</v>
      </c>
      <c r="M371">
        <f>IF($A371="","",IF($E371&lt;&gt;"",0,IF(COUNTIFS(個体台帳!$A:$A,$B371,個体台帳!$E:$E,"廃棄")&gt;0,1,0)))</f>
        <v>0</v>
      </c>
    </row>
    <row r="372" spans="1:13">
      <c r="A372" t="s">
        <v>923</v>
      </c>
      <c r="B372" t="s">
        <v>6</v>
      </c>
      <c r="C372" t="s">
        <v>6</v>
      </c>
      <c r="D372" s="12" t="s">
        <v>6</v>
      </c>
      <c r="E372" s="11" t="s">
        <v>6</v>
      </c>
      <c r="F372" s="16" t="s">
        <v>6</v>
      </c>
      <c r="G372" t="s">
        <v>6</v>
      </c>
      <c r="H372" t="s">
        <v>6</v>
      </c>
      <c r="I372">
        <f t="shared" si="15"/>
        <v>1</v>
      </c>
      <c r="J372" t="str">
        <f t="shared" ca="1" si="16"/>
        <v/>
      </c>
      <c r="K372" t="e">
        <f t="shared" ca="1" si="17"/>
        <v>#VALUE!</v>
      </c>
      <c r="L372">
        <f>IF($A372="","",IF($E372&lt;&gt;"",0,IF(COUNTIFS(個体台帳!$A:$A,$B372,個体台帳!$E:$E,"&lt;&gt;貸出中")&gt;0,1,0)))</f>
        <v>1</v>
      </c>
      <c r="M372">
        <f>IF($A372="","",IF($E372&lt;&gt;"",0,IF(COUNTIFS(個体台帳!$A:$A,$B372,個体台帳!$E:$E,"廃棄")&gt;0,1,0)))</f>
        <v>0</v>
      </c>
    </row>
    <row r="373" spans="1:13">
      <c r="A373" t="s">
        <v>924</v>
      </c>
      <c r="B373" t="s">
        <v>6</v>
      </c>
      <c r="C373" t="s">
        <v>6</v>
      </c>
      <c r="D373" s="12" t="s">
        <v>6</v>
      </c>
      <c r="E373" s="11" t="s">
        <v>6</v>
      </c>
      <c r="F373" s="16" t="s">
        <v>6</v>
      </c>
      <c r="G373" t="s">
        <v>6</v>
      </c>
      <c r="H373" t="s">
        <v>6</v>
      </c>
      <c r="I373">
        <f t="shared" si="15"/>
        <v>1</v>
      </c>
      <c r="J373" t="str">
        <f t="shared" ca="1" si="16"/>
        <v/>
      </c>
      <c r="K373" t="e">
        <f t="shared" ca="1" si="17"/>
        <v>#VALUE!</v>
      </c>
      <c r="L373">
        <f>IF($A373="","",IF($E373&lt;&gt;"",0,IF(COUNTIFS(個体台帳!$A:$A,$B373,個体台帳!$E:$E,"&lt;&gt;貸出中")&gt;0,1,0)))</f>
        <v>1</v>
      </c>
      <c r="M373">
        <f>IF($A373="","",IF($E373&lt;&gt;"",0,IF(COUNTIFS(個体台帳!$A:$A,$B373,個体台帳!$E:$E,"廃棄")&gt;0,1,0)))</f>
        <v>0</v>
      </c>
    </row>
    <row r="374" spans="1:13">
      <c r="A374" t="s">
        <v>925</v>
      </c>
      <c r="B374" t="s">
        <v>6</v>
      </c>
      <c r="C374" t="s">
        <v>6</v>
      </c>
      <c r="D374" s="12" t="s">
        <v>6</v>
      </c>
      <c r="E374" s="11" t="s">
        <v>6</v>
      </c>
      <c r="F374" s="16" t="s">
        <v>6</v>
      </c>
      <c r="G374" t="s">
        <v>6</v>
      </c>
      <c r="H374" t="s">
        <v>6</v>
      </c>
      <c r="I374">
        <f t="shared" si="15"/>
        <v>1</v>
      </c>
      <c r="J374" t="str">
        <f t="shared" ca="1" si="16"/>
        <v/>
      </c>
      <c r="K374" t="e">
        <f t="shared" ca="1" si="17"/>
        <v>#VALUE!</v>
      </c>
      <c r="L374">
        <f>IF($A374="","",IF($E374&lt;&gt;"",0,IF(COUNTIFS(個体台帳!$A:$A,$B374,個体台帳!$E:$E,"&lt;&gt;貸出中")&gt;0,1,0)))</f>
        <v>1</v>
      </c>
      <c r="M374">
        <f>IF($A374="","",IF($E374&lt;&gt;"",0,IF(COUNTIFS(個体台帳!$A:$A,$B374,個体台帳!$E:$E,"廃棄")&gt;0,1,0)))</f>
        <v>0</v>
      </c>
    </row>
    <row r="375" spans="1:13">
      <c r="A375" t="s">
        <v>926</v>
      </c>
      <c r="B375" t="s">
        <v>6</v>
      </c>
      <c r="C375" t="s">
        <v>6</v>
      </c>
      <c r="D375" s="12" t="s">
        <v>6</v>
      </c>
      <c r="E375" s="11" t="s">
        <v>6</v>
      </c>
      <c r="F375" s="16" t="s">
        <v>6</v>
      </c>
      <c r="G375" t="s">
        <v>6</v>
      </c>
      <c r="H375" t="s">
        <v>6</v>
      </c>
      <c r="I375">
        <f t="shared" si="15"/>
        <v>1</v>
      </c>
      <c r="J375" t="str">
        <f t="shared" ca="1" si="16"/>
        <v/>
      </c>
      <c r="K375" t="e">
        <f t="shared" ca="1" si="17"/>
        <v>#VALUE!</v>
      </c>
      <c r="L375">
        <f>IF($A375="","",IF($E375&lt;&gt;"",0,IF(COUNTIFS(個体台帳!$A:$A,$B375,個体台帳!$E:$E,"&lt;&gt;貸出中")&gt;0,1,0)))</f>
        <v>1</v>
      </c>
      <c r="M375">
        <f>IF($A375="","",IF($E375&lt;&gt;"",0,IF(COUNTIFS(個体台帳!$A:$A,$B375,個体台帳!$E:$E,"廃棄")&gt;0,1,0)))</f>
        <v>0</v>
      </c>
    </row>
    <row r="376" spans="1:13">
      <c r="A376" t="s">
        <v>927</v>
      </c>
      <c r="B376" t="s">
        <v>6</v>
      </c>
      <c r="C376" t="s">
        <v>6</v>
      </c>
      <c r="D376" s="12" t="s">
        <v>6</v>
      </c>
      <c r="E376" s="11" t="s">
        <v>6</v>
      </c>
      <c r="F376" s="16" t="s">
        <v>6</v>
      </c>
      <c r="G376" t="s">
        <v>6</v>
      </c>
      <c r="H376" t="s">
        <v>6</v>
      </c>
      <c r="I376">
        <f t="shared" si="15"/>
        <v>1</v>
      </c>
      <c r="J376" t="str">
        <f t="shared" ca="1" si="16"/>
        <v/>
      </c>
      <c r="K376" t="e">
        <f t="shared" ca="1" si="17"/>
        <v>#VALUE!</v>
      </c>
      <c r="L376">
        <f>IF($A376="","",IF($E376&lt;&gt;"",0,IF(COUNTIFS(個体台帳!$A:$A,$B376,個体台帳!$E:$E,"&lt;&gt;貸出中")&gt;0,1,0)))</f>
        <v>1</v>
      </c>
      <c r="M376">
        <f>IF($A376="","",IF($E376&lt;&gt;"",0,IF(COUNTIFS(個体台帳!$A:$A,$B376,個体台帳!$E:$E,"廃棄")&gt;0,1,0)))</f>
        <v>0</v>
      </c>
    </row>
    <row r="377" spans="1:13">
      <c r="A377" t="s">
        <v>928</v>
      </c>
      <c r="B377" t="s">
        <v>6</v>
      </c>
      <c r="C377" t="s">
        <v>6</v>
      </c>
      <c r="D377" s="12" t="s">
        <v>6</v>
      </c>
      <c r="E377" s="11" t="s">
        <v>6</v>
      </c>
      <c r="F377" s="16" t="s">
        <v>6</v>
      </c>
      <c r="G377" t="s">
        <v>6</v>
      </c>
      <c r="H377" t="s">
        <v>6</v>
      </c>
      <c r="I377">
        <f t="shared" si="15"/>
        <v>1</v>
      </c>
      <c r="J377" t="str">
        <f t="shared" ca="1" si="16"/>
        <v/>
      </c>
      <c r="K377" t="e">
        <f t="shared" ca="1" si="17"/>
        <v>#VALUE!</v>
      </c>
      <c r="L377">
        <f>IF($A377="","",IF($E377&lt;&gt;"",0,IF(COUNTIFS(個体台帳!$A:$A,$B377,個体台帳!$E:$E,"&lt;&gt;貸出中")&gt;0,1,0)))</f>
        <v>1</v>
      </c>
      <c r="M377">
        <f>IF($A377="","",IF($E377&lt;&gt;"",0,IF(COUNTIFS(個体台帳!$A:$A,$B377,個体台帳!$E:$E,"廃棄")&gt;0,1,0)))</f>
        <v>0</v>
      </c>
    </row>
    <row r="378" spans="1:13">
      <c r="A378" t="s">
        <v>929</v>
      </c>
      <c r="B378" t="s">
        <v>6</v>
      </c>
      <c r="C378" t="s">
        <v>6</v>
      </c>
      <c r="D378" s="12" t="s">
        <v>6</v>
      </c>
      <c r="E378" s="11" t="s">
        <v>6</v>
      </c>
      <c r="F378" s="16" t="s">
        <v>6</v>
      </c>
      <c r="G378" t="s">
        <v>6</v>
      </c>
      <c r="H378" t="s">
        <v>6</v>
      </c>
      <c r="I378">
        <f t="shared" si="15"/>
        <v>1</v>
      </c>
      <c r="J378" t="str">
        <f t="shared" ca="1" si="16"/>
        <v/>
      </c>
      <c r="K378" t="e">
        <f t="shared" ca="1" si="17"/>
        <v>#VALUE!</v>
      </c>
      <c r="L378">
        <f>IF($A378="","",IF($E378&lt;&gt;"",0,IF(COUNTIFS(個体台帳!$A:$A,$B378,個体台帳!$E:$E,"&lt;&gt;貸出中")&gt;0,1,0)))</f>
        <v>1</v>
      </c>
      <c r="M378">
        <f>IF($A378="","",IF($E378&lt;&gt;"",0,IF(COUNTIFS(個体台帳!$A:$A,$B378,個体台帳!$E:$E,"廃棄")&gt;0,1,0)))</f>
        <v>0</v>
      </c>
    </row>
    <row r="379" spans="1:13">
      <c r="A379" t="s">
        <v>930</v>
      </c>
      <c r="B379" t="s">
        <v>6</v>
      </c>
      <c r="C379" t="s">
        <v>6</v>
      </c>
      <c r="D379" s="12" t="s">
        <v>6</v>
      </c>
      <c r="E379" s="11" t="s">
        <v>6</v>
      </c>
      <c r="F379" s="16" t="s">
        <v>6</v>
      </c>
      <c r="G379" t="s">
        <v>6</v>
      </c>
      <c r="H379" t="s">
        <v>6</v>
      </c>
      <c r="I379">
        <f t="shared" si="15"/>
        <v>1</v>
      </c>
      <c r="J379" t="str">
        <f t="shared" ca="1" si="16"/>
        <v/>
      </c>
      <c r="K379" t="e">
        <f t="shared" ca="1" si="17"/>
        <v>#VALUE!</v>
      </c>
      <c r="L379">
        <f>IF($A379="","",IF($E379&lt;&gt;"",0,IF(COUNTIFS(個体台帳!$A:$A,$B379,個体台帳!$E:$E,"&lt;&gt;貸出中")&gt;0,1,0)))</f>
        <v>1</v>
      </c>
      <c r="M379">
        <f>IF($A379="","",IF($E379&lt;&gt;"",0,IF(COUNTIFS(個体台帳!$A:$A,$B379,個体台帳!$E:$E,"廃棄")&gt;0,1,0)))</f>
        <v>0</v>
      </c>
    </row>
    <row r="380" spans="1:13">
      <c r="A380" t="s">
        <v>931</v>
      </c>
      <c r="B380" t="s">
        <v>6</v>
      </c>
      <c r="C380" t="s">
        <v>6</v>
      </c>
      <c r="D380" s="12" t="s">
        <v>6</v>
      </c>
      <c r="E380" s="11" t="s">
        <v>6</v>
      </c>
      <c r="F380" s="16" t="s">
        <v>6</v>
      </c>
      <c r="G380" t="s">
        <v>6</v>
      </c>
      <c r="H380" t="s">
        <v>6</v>
      </c>
      <c r="I380">
        <f t="shared" si="15"/>
        <v>1</v>
      </c>
      <c r="J380" t="str">
        <f t="shared" ca="1" si="16"/>
        <v/>
      </c>
      <c r="K380" t="e">
        <f t="shared" ca="1" si="17"/>
        <v>#VALUE!</v>
      </c>
      <c r="L380">
        <f>IF($A380="","",IF($E380&lt;&gt;"",0,IF(COUNTIFS(個体台帳!$A:$A,$B380,個体台帳!$E:$E,"&lt;&gt;貸出中")&gt;0,1,0)))</f>
        <v>1</v>
      </c>
      <c r="M380">
        <f>IF($A380="","",IF($E380&lt;&gt;"",0,IF(COUNTIFS(個体台帳!$A:$A,$B380,個体台帳!$E:$E,"廃棄")&gt;0,1,0)))</f>
        <v>0</v>
      </c>
    </row>
    <row r="381" spans="1:13">
      <c r="A381" t="s">
        <v>932</v>
      </c>
      <c r="B381" t="s">
        <v>6</v>
      </c>
      <c r="C381" t="s">
        <v>6</v>
      </c>
      <c r="D381" s="12" t="s">
        <v>6</v>
      </c>
      <c r="E381" s="11" t="s">
        <v>6</v>
      </c>
      <c r="F381" s="16" t="s">
        <v>6</v>
      </c>
      <c r="G381" t="s">
        <v>6</v>
      </c>
      <c r="H381" t="s">
        <v>6</v>
      </c>
      <c r="I381">
        <f t="shared" si="15"/>
        <v>1</v>
      </c>
      <c r="J381" t="str">
        <f t="shared" ca="1" si="16"/>
        <v/>
      </c>
      <c r="K381" t="e">
        <f t="shared" ca="1" si="17"/>
        <v>#VALUE!</v>
      </c>
      <c r="L381">
        <f>IF($A381="","",IF($E381&lt;&gt;"",0,IF(COUNTIFS(個体台帳!$A:$A,$B381,個体台帳!$E:$E,"&lt;&gt;貸出中")&gt;0,1,0)))</f>
        <v>1</v>
      </c>
      <c r="M381">
        <f>IF($A381="","",IF($E381&lt;&gt;"",0,IF(COUNTIFS(個体台帳!$A:$A,$B381,個体台帳!$E:$E,"廃棄")&gt;0,1,0)))</f>
        <v>0</v>
      </c>
    </row>
    <row r="382" spans="1:13">
      <c r="A382" t="s">
        <v>933</v>
      </c>
      <c r="B382" t="s">
        <v>6</v>
      </c>
      <c r="C382" t="s">
        <v>6</v>
      </c>
      <c r="D382" s="12" t="s">
        <v>6</v>
      </c>
      <c r="E382" s="11" t="s">
        <v>6</v>
      </c>
      <c r="F382" s="16" t="s">
        <v>6</v>
      </c>
      <c r="G382" t="s">
        <v>6</v>
      </c>
      <c r="H382" t="s">
        <v>6</v>
      </c>
      <c r="I382">
        <f t="shared" si="15"/>
        <v>1</v>
      </c>
      <c r="J382" t="str">
        <f t="shared" ca="1" si="16"/>
        <v/>
      </c>
      <c r="K382" t="e">
        <f t="shared" ca="1" si="17"/>
        <v>#VALUE!</v>
      </c>
      <c r="L382">
        <f>IF($A382="","",IF($E382&lt;&gt;"",0,IF(COUNTIFS(個体台帳!$A:$A,$B382,個体台帳!$E:$E,"&lt;&gt;貸出中")&gt;0,1,0)))</f>
        <v>1</v>
      </c>
      <c r="M382">
        <f>IF($A382="","",IF($E382&lt;&gt;"",0,IF(COUNTIFS(個体台帳!$A:$A,$B382,個体台帳!$E:$E,"廃棄")&gt;0,1,0)))</f>
        <v>0</v>
      </c>
    </row>
    <row r="383" spans="1:13">
      <c r="A383" t="s">
        <v>934</v>
      </c>
      <c r="B383" t="s">
        <v>6</v>
      </c>
      <c r="C383" t="s">
        <v>6</v>
      </c>
      <c r="D383" s="12" t="s">
        <v>6</v>
      </c>
      <c r="E383" s="11" t="s">
        <v>6</v>
      </c>
      <c r="F383" s="16" t="s">
        <v>6</v>
      </c>
      <c r="G383" t="s">
        <v>6</v>
      </c>
      <c r="H383" t="s">
        <v>6</v>
      </c>
      <c r="I383">
        <f t="shared" si="15"/>
        <v>1</v>
      </c>
      <c r="J383" t="str">
        <f t="shared" ca="1" si="16"/>
        <v/>
      </c>
      <c r="K383" t="e">
        <f t="shared" ca="1" si="17"/>
        <v>#VALUE!</v>
      </c>
      <c r="L383">
        <f>IF($A383="","",IF($E383&lt;&gt;"",0,IF(COUNTIFS(個体台帳!$A:$A,$B383,個体台帳!$E:$E,"&lt;&gt;貸出中")&gt;0,1,0)))</f>
        <v>1</v>
      </c>
      <c r="M383">
        <f>IF($A383="","",IF($E383&lt;&gt;"",0,IF(COUNTIFS(個体台帳!$A:$A,$B383,個体台帳!$E:$E,"廃棄")&gt;0,1,0)))</f>
        <v>0</v>
      </c>
    </row>
    <row r="384" spans="1:13">
      <c r="A384" t="s">
        <v>935</v>
      </c>
      <c r="B384" t="s">
        <v>6</v>
      </c>
      <c r="C384" t="s">
        <v>6</v>
      </c>
      <c r="D384" s="12" t="s">
        <v>6</v>
      </c>
      <c r="E384" s="11" t="s">
        <v>6</v>
      </c>
      <c r="F384" s="16" t="s">
        <v>6</v>
      </c>
      <c r="G384" t="s">
        <v>6</v>
      </c>
      <c r="H384" t="s">
        <v>6</v>
      </c>
      <c r="I384">
        <f t="shared" si="15"/>
        <v>1</v>
      </c>
      <c r="J384" t="str">
        <f t="shared" ca="1" si="16"/>
        <v/>
      </c>
      <c r="K384" t="e">
        <f t="shared" ca="1" si="17"/>
        <v>#VALUE!</v>
      </c>
      <c r="L384">
        <f>IF($A384="","",IF($E384&lt;&gt;"",0,IF(COUNTIFS(個体台帳!$A:$A,$B384,個体台帳!$E:$E,"&lt;&gt;貸出中")&gt;0,1,0)))</f>
        <v>1</v>
      </c>
      <c r="M384">
        <f>IF($A384="","",IF($E384&lt;&gt;"",0,IF(COUNTIFS(個体台帳!$A:$A,$B384,個体台帳!$E:$E,"廃棄")&gt;0,1,0)))</f>
        <v>0</v>
      </c>
    </row>
    <row r="385" spans="1:13">
      <c r="A385" t="s">
        <v>936</v>
      </c>
      <c r="B385" t="s">
        <v>6</v>
      </c>
      <c r="C385" t="s">
        <v>6</v>
      </c>
      <c r="D385" s="12" t="s">
        <v>6</v>
      </c>
      <c r="E385" s="11" t="s">
        <v>6</v>
      </c>
      <c r="F385" s="16" t="s">
        <v>6</v>
      </c>
      <c r="G385" t="s">
        <v>6</v>
      </c>
      <c r="H385" t="s">
        <v>6</v>
      </c>
      <c r="I385">
        <f t="shared" si="15"/>
        <v>1</v>
      </c>
      <c r="J385" t="str">
        <f t="shared" ca="1" si="16"/>
        <v/>
      </c>
      <c r="K385" t="e">
        <f t="shared" ca="1" si="17"/>
        <v>#VALUE!</v>
      </c>
      <c r="L385">
        <f>IF($A385="","",IF($E385&lt;&gt;"",0,IF(COUNTIFS(個体台帳!$A:$A,$B385,個体台帳!$E:$E,"&lt;&gt;貸出中")&gt;0,1,0)))</f>
        <v>1</v>
      </c>
      <c r="M385">
        <f>IF($A385="","",IF($E385&lt;&gt;"",0,IF(COUNTIFS(個体台帳!$A:$A,$B385,個体台帳!$E:$E,"廃棄")&gt;0,1,0)))</f>
        <v>0</v>
      </c>
    </row>
    <row r="386" spans="1:13">
      <c r="A386" t="s">
        <v>937</v>
      </c>
      <c r="B386" t="s">
        <v>6</v>
      </c>
      <c r="C386" t="s">
        <v>6</v>
      </c>
      <c r="D386" s="12" t="s">
        <v>6</v>
      </c>
      <c r="E386" s="11" t="s">
        <v>6</v>
      </c>
      <c r="F386" s="16" t="s">
        <v>6</v>
      </c>
      <c r="G386" t="s">
        <v>6</v>
      </c>
      <c r="H386" t="s">
        <v>6</v>
      </c>
      <c r="I386">
        <f t="shared" ref="I386:I449" si="18">IF($A386="","",--($E386=""))</f>
        <v>1</v>
      </c>
      <c r="J386" t="str">
        <f t="shared" ref="J386:J449" ca="1" si="19">IF($D386="","",TODAY()-$D386)</f>
        <v/>
      </c>
      <c r="K386" t="e">
        <f t="shared" ref="K386:K449" ca="1" si="20">IF($A386="","",IF(AND($E386="", $D386&lt;&gt;"", TODAY()-$D386&gt;=31),1,0))</f>
        <v>#VALUE!</v>
      </c>
      <c r="L386">
        <f>IF($A386="","",IF($E386&lt;&gt;"",0,IF(COUNTIFS(個体台帳!$A:$A,$B386,個体台帳!$E:$E,"&lt;&gt;貸出中")&gt;0,1,0)))</f>
        <v>1</v>
      </c>
      <c r="M386">
        <f>IF($A386="","",IF($E386&lt;&gt;"",0,IF(COUNTIFS(個体台帳!$A:$A,$B386,個体台帳!$E:$E,"廃棄")&gt;0,1,0)))</f>
        <v>0</v>
      </c>
    </row>
    <row r="387" spans="1:13">
      <c r="A387" t="s">
        <v>938</v>
      </c>
      <c r="B387" t="s">
        <v>6</v>
      </c>
      <c r="C387" t="s">
        <v>6</v>
      </c>
      <c r="D387" s="12" t="s">
        <v>6</v>
      </c>
      <c r="E387" s="11" t="s">
        <v>6</v>
      </c>
      <c r="F387" s="16" t="s">
        <v>6</v>
      </c>
      <c r="G387" t="s">
        <v>6</v>
      </c>
      <c r="H387" t="s">
        <v>6</v>
      </c>
      <c r="I387">
        <f t="shared" si="18"/>
        <v>1</v>
      </c>
      <c r="J387" t="str">
        <f t="shared" ca="1" si="19"/>
        <v/>
      </c>
      <c r="K387" t="e">
        <f t="shared" ca="1" si="20"/>
        <v>#VALUE!</v>
      </c>
      <c r="L387">
        <f>IF($A387="","",IF($E387&lt;&gt;"",0,IF(COUNTIFS(個体台帳!$A:$A,$B387,個体台帳!$E:$E,"&lt;&gt;貸出中")&gt;0,1,0)))</f>
        <v>1</v>
      </c>
      <c r="M387">
        <f>IF($A387="","",IF($E387&lt;&gt;"",0,IF(COUNTIFS(個体台帳!$A:$A,$B387,個体台帳!$E:$E,"廃棄")&gt;0,1,0)))</f>
        <v>0</v>
      </c>
    </row>
    <row r="388" spans="1:13">
      <c r="A388" t="s">
        <v>939</v>
      </c>
      <c r="B388" t="s">
        <v>6</v>
      </c>
      <c r="C388" t="s">
        <v>6</v>
      </c>
      <c r="D388" s="12" t="s">
        <v>6</v>
      </c>
      <c r="E388" s="11" t="s">
        <v>6</v>
      </c>
      <c r="F388" s="16" t="s">
        <v>6</v>
      </c>
      <c r="G388" t="s">
        <v>6</v>
      </c>
      <c r="H388" t="s">
        <v>6</v>
      </c>
      <c r="I388">
        <f t="shared" si="18"/>
        <v>1</v>
      </c>
      <c r="J388" t="str">
        <f t="shared" ca="1" si="19"/>
        <v/>
      </c>
      <c r="K388" t="e">
        <f t="shared" ca="1" si="20"/>
        <v>#VALUE!</v>
      </c>
      <c r="L388">
        <f>IF($A388="","",IF($E388&lt;&gt;"",0,IF(COUNTIFS(個体台帳!$A:$A,$B388,個体台帳!$E:$E,"&lt;&gt;貸出中")&gt;0,1,0)))</f>
        <v>1</v>
      </c>
      <c r="M388">
        <f>IF($A388="","",IF($E388&lt;&gt;"",0,IF(COUNTIFS(個体台帳!$A:$A,$B388,個体台帳!$E:$E,"廃棄")&gt;0,1,0)))</f>
        <v>0</v>
      </c>
    </row>
    <row r="389" spans="1:13">
      <c r="A389" t="s">
        <v>940</v>
      </c>
      <c r="B389" t="s">
        <v>6</v>
      </c>
      <c r="C389" t="s">
        <v>6</v>
      </c>
      <c r="D389" s="12" t="s">
        <v>6</v>
      </c>
      <c r="E389" s="11" t="s">
        <v>6</v>
      </c>
      <c r="F389" s="16" t="s">
        <v>6</v>
      </c>
      <c r="G389" t="s">
        <v>6</v>
      </c>
      <c r="H389" t="s">
        <v>6</v>
      </c>
      <c r="I389">
        <f t="shared" si="18"/>
        <v>1</v>
      </c>
      <c r="J389" t="str">
        <f t="shared" ca="1" si="19"/>
        <v/>
      </c>
      <c r="K389" t="e">
        <f t="shared" ca="1" si="20"/>
        <v>#VALUE!</v>
      </c>
      <c r="L389">
        <f>IF($A389="","",IF($E389&lt;&gt;"",0,IF(COUNTIFS(個体台帳!$A:$A,$B389,個体台帳!$E:$E,"&lt;&gt;貸出中")&gt;0,1,0)))</f>
        <v>1</v>
      </c>
      <c r="M389">
        <f>IF($A389="","",IF($E389&lt;&gt;"",0,IF(COUNTIFS(個体台帳!$A:$A,$B389,個体台帳!$E:$E,"廃棄")&gt;0,1,0)))</f>
        <v>0</v>
      </c>
    </row>
    <row r="390" spans="1:13">
      <c r="A390" t="s">
        <v>941</v>
      </c>
      <c r="B390" t="s">
        <v>6</v>
      </c>
      <c r="C390" t="s">
        <v>6</v>
      </c>
      <c r="D390" s="12" t="s">
        <v>6</v>
      </c>
      <c r="E390" s="11" t="s">
        <v>6</v>
      </c>
      <c r="F390" s="16" t="s">
        <v>6</v>
      </c>
      <c r="G390" t="s">
        <v>6</v>
      </c>
      <c r="H390" t="s">
        <v>6</v>
      </c>
      <c r="I390">
        <f t="shared" si="18"/>
        <v>1</v>
      </c>
      <c r="J390" t="str">
        <f t="shared" ca="1" si="19"/>
        <v/>
      </c>
      <c r="K390" t="e">
        <f t="shared" ca="1" si="20"/>
        <v>#VALUE!</v>
      </c>
      <c r="L390">
        <f>IF($A390="","",IF($E390&lt;&gt;"",0,IF(COUNTIFS(個体台帳!$A:$A,$B390,個体台帳!$E:$E,"&lt;&gt;貸出中")&gt;0,1,0)))</f>
        <v>1</v>
      </c>
      <c r="M390">
        <f>IF($A390="","",IF($E390&lt;&gt;"",0,IF(COUNTIFS(個体台帳!$A:$A,$B390,個体台帳!$E:$E,"廃棄")&gt;0,1,0)))</f>
        <v>0</v>
      </c>
    </row>
    <row r="391" spans="1:13">
      <c r="A391" t="s">
        <v>942</v>
      </c>
      <c r="B391" t="s">
        <v>6</v>
      </c>
      <c r="C391" t="s">
        <v>6</v>
      </c>
      <c r="D391" s="12" t="s">
        <v>6</v>
      </c>
      <c r="E391" s="11" t="s">
        <v>6</v>
      </c>
      <c r="F391" s="16" t="s">
        <v>6</v>
      </c>
      <c r="G391" t="s">
        <v>6</v>
      </c>
      <c r="H391" t="s">
        <v>6</v>
      </c>
      <c r="I391">
        <f t="shared" si="18"/>
        <v>1</v>
      </c>
      <c r="J391" t="str">
        <f t="shared" ca="1" si="19"/>
        <v/>
      </c>
      <c r="K391" t="e">
        <f t="shared" ca="1" si="20"/>
        <v>#VALUE!</v>
      </c>
      <c r="L391">
        <f>IF($A391="","",IF($E391&lt;&gt;"",0,IF(COUNTIFS(個体台帳!$A:$A,$B391,個体台帳!$E:$E,"&lt;&gt;貸出中")&gt;0,1,0)))</f>
        <v>1</v>
      </c>
      <c r="M391">
        <f>IF($A391="","",IF($E391&lt;&gt;"",0,IF(COUNTIFS(個体台帳!$A:$A,$B391,個体台帳!$E:$E,"廃棄")&gt;0,1,0)))</f>
        <v>0</v>
      </c>
    </row>
    <row r="392" spans="1:13">
      <c r="A392" t="s">
        <v>943</v>
      </c>
      <c r="B392" t="s">
        <v>6</v>
      </c>
      <c r="C392" t="s">
        <v>6</v>
      </c>
      <c r="D392" s="12" t="s">
        <v>6</v>
      </c>
      <c r="E392" s="11" t="s">
        <v>6</v>
      </c>
      <c r="F392" s="16" t="s">
        <v>6</v>
      </c>
      <c r="G392" t="s">
        <v>6</v>
      </c>
      <c r="H392" t="s">
        <v>6</v>
      </c>
      <c r="I392">
        <f t="shared" si="18"/>
        <v>1</v>
      </c>
      <c r="J392" t="str">
        <f t="shared" ca="1" si="19"/>
        <v/>
      </c>
      <c r="K392" t="e">
        <f t="shared" ca="1" si="20"/>
        <v>#VALUE!</v>
      </c>
      <c r="L392">
        <f>IF($A392="","",IF($E392&lt;&gt;"",0,IF(COUNTIFS(個体台帳!$A:$A,$B392,個体台帳!$E:$E,"&lt;&gt;貸出中")&gt;0,1,0)))</f>
        <v>1</v>
      </c>
      <c r="M392">
        <f>IF($A392="","",IF($E392&lt;&gt;"",0,IF(COUNTIFS(個体台帳!$A:$A,$B392,個体台帳!$E:$E,"廃棄")&gt;0,1,0)))</f>
        <v>0</v>
      </c>
    </row>
    <row r="393" spans="1:13">
      <c r="A393" t="s">
        <v>944</v>
      </c>
      <c r="B393" t="s">
        <v>6</v>
      </c>
      <c r="C393" t="s">
        <v>6</v>
      </c>
      <c r="D393" s="12" t="s">
        <v>6</v>
      </c>
      <c r="E393" s="11" t="s">
        <v>6</v>
      </c>
      <c r="F393" s="16" t="s">
        <v>6</v>
      </c>
      <c r="G393" t="s">
        <v>6</v>
      </c>
      <c r="H393" t="s">
        <v>6</v>
      </c>
      <c r="I393">
        <f t="shared" si="18"/>
        <v>1</v>
      </c>
      <c r="J393" t="str">
        <f t="shared" ca="1" si="19"/>
        <v/>
      </c>
      <c r="K393" t="e">
        <f t="shared" ca="1" si="20"/>
        <v>#VALUE!</v>
      </c>
      <c r="L393">
        <f>IF($A393="","",IF($E393&lt;&gt;"",0,IF(COUNTIFS(個体台帳!$A:$A,$B393,個体台帳!$E:$E,"&lt;&gt;貸出中")&gt;0,1,0)))</f>
        <v>1</v>
      </c>
      <c r="M393">
        <f>IF($A393="","",IF($E393&lt;&gt;"",0,IF(COUNTIFS(個体台帳!$A:$A,$B393,個体台帳!$E:$E,"廃棄")&gt;0,1,0)))</f>
        <v>0</v>
      </c>
    </row>
    <row r="394" spans="1:13">
      <c r="A394" t="s">
        <v>945</v>
      </c>
      <c r="B394" t="s">
        <v>6</v>
      </c>
      <c r="C394" t="s">
        <v>6</v>
      </c>
      <c r="D394" s="12" t="s">
        <v>6</v>
      </c>
      <c r="E394" s="11" t="s">
        <v>6</v>
      </c>
      <c r="F394" s="16" t="s">
        <v>6</v>
      </c>
      <c r="G394" t="s">
        <v>6</v>
      </c>
      <c r="H394" t="s">
        <v>6</v>
      </c>
      <c r="I394">
        <f t="shared" si="18"/>
        <v>1</v>
      </c>
      <c r="J394" t="str">
        <f t="shared" ca="1" si="19"/>
        <v/>
      </c>
      <c r="K394" t="e">
        <f t="shared" ca="1" si="20"/>
        <v>#VALUE!</v>
      </c>
      <c r="L394">
        <f>IF($A394="","",IF($E394&lt;&gt;"",0,IF(COUNTIFS(個体台帳!$A:$A,$B394,個体台帳!$E:$E,"&lt;&gt;貸出中")&gt;0,1,0)))</f>
        <v>1</v>
      </c>
      <c r="M394">
        <f>IF($A394="","",IF($E394&lt;&gt;"",0,IF(COUNTIFS(個体台帳!$A:$A,$B394,個体台帳!$E:$E,"廃棄")&gt;0,1,0)))</f>
        <v>0</v>
      </c>
    </row>
    <row r="395" spans="1:13">
      <c r="A395" t="s">
        <v>946</v>
      </c>
      <c r="B395" t="s">
        <v>6</v>
      </c>
      <c r="C395" t="s">
        <v>6</v>
      </c>
      <c r="D395" s="12" t="s">
        <v>6</v>
      </c>
      <c r="E395" s="11" t="s">
        <v>6</v>
      </c>
      <c r="F395" s="16" t="s">
        <v>6</v>
      </c>
      <c r="G395" t="s">
        <v>6</v>
      </c>
      <c r="H395" t="s">
        <v>6</v>
      </c>
      <c r="I395">
        <f t="shared" si="18"/>
        <v>1</v>
      </c>
      <c r="J395" t="str">
        <f t="shared" ca="1" si="19"/>
        <v/>
      </c>
      <c r="K395" t="e">
        <f t="shared" ca="1" si="20"/>
        <v>#VALUE!</v>
      </c>
      <c r="L395">
        <f>IF($A395="","",IF($E395&lt;&gt;"",0,IF(COUNTIFS(個体台帳!$A:$A,$B395,個体台帳!$E:$E,"&lt;&gt;貸出中")&gt;0,1,0)))</f>
        <v>1</v>
      </c>
      <c r="M395">
        <f>IF($A395="","",IF($E395&lt;&gt;"",0,IF(COUNTIFS(個体台帳!$A:$A,$B395,個体台帳!$E:$E,"廃棄")&gt;0,1,0)))</f>
        <v>0</v>
      </c>
    </row>
    <row r="396" spans="1:13">
      <c r="A396" t="s">
        <v>947</v>
      </c>
      <c r="B396" t="s">
        <v>6</v>
      </c>
      <c r="C396" t="s">
        <v>6</v>
      </c>
      <c r="D396" s="12" t="s">
        <v>6</v>
      </c>
      <c r="E396" s="11" t="s">
        <v>6</v>
      </c>
      <c r="F396" s="16" t="s">
        <v>6</v>
      </c>
      <c r="G396" t="s">
        <v>6</v>
      </c>
      <c r="H396" t="s">
        <v>6</v>
      </c>
      <c r="I396">
        <f t="shared" si="18"/>
        <v>1</v>
      </c>
      <c r="J396" t="str">
        <f t="shared" ca="1" si="19"/>
        <v/>
      </c>
      <c r="K396" t="e">
        <f t="shared" ca="1" si="20"/>
        <v>#VALUE!</v>
      </c>
      <c r="L396">
        <f>IF($A396="","",IF($E396&lt;&gt;"",0,IF(COUNTIFS(個体台帳!$A:$A,$B396,個体台帳!$E:$E,"&lt;&gt;貸出中")&gt;0,1,0)))</f>
        <v>1</v>
      </c>
      <c r="M396">
        <f>IF($A396="","",IF($E396&lt;&gt;"",0,IF(COUNTIFS(個体台帳!$A:$A,$B396,個体台帳!$E:$E,"廃棄")&gt;0,1,0)))</f>
        <v>0</v>
      </c>
    </row>
    <row r="397" spans="1:13">
      <c r="A397" t="s">
        <v>948</v>
      </c>
      <c r="B397" t="s">
        <v>6</v>
      </c>
      <c r="C397" t="s">
        <v>6</v>
      </c>
      <c r="D397" s="12" t="s">
        <v>6</v>
      </c>
      <c r="E397" s="11" t="s">
        <v>6</v>
      </c>
      <c r="F397" s="16" t="s">
        <v>6</v>
      </c>
      <c r="G397" t="s">
        <v>6</v>
      </c>
      <c r="H397" t="s">
        <v>6</v>
      </c>
      <c r="I397">
        <f t="shared" si="18"/>
        <v>1</v>
      </c>
      <c r="J397" t="str">
        <f t="shared" ca="1" si="19"/>
        <v/>
      </c>
      <c r="K397" t="e">
        <f t="shared" ca="1" si="20"/>
        <v>#VALUE!</v>
      </c>
      <c r="L397">
        <f>IF($A397="","",IF($E397&lt;&gt;"",0,IF(COUNTIFS(個体台帳!$A:$A,$B397,個体台帳!$E:$E,"&lt;&gt;貸出中")&gt;0,1,0)))</f>
        <v>1</v>
      </c>
      <c r="M397">
        <f>IF($A397="","",IF($E397&lt;&gt;"",0,IF(COUNTIFS(個体台帳!$A:$A,$B397,個体台帳!$E:$E,"廃棄")&gt;0,1,0)))</f>
        <v>0</v>
      </c>
    </row>
    <row r="398" spans="1:13">
      <c r="A398" t="s">
        <v>949</v>
      </c>
      <c r="B398" t="s">
        <v>6</v>
      </c>
      <c r="C398" t="s">
        <v>6</v>
      </c>
      <c r="D398" s="12" t="s">
        <v>6</v>
      </c>
      <c r="E398" s="11" t="s">
        <v>6</v>
      </c>
      <c r="F398" s="16" t="s">
        <v>6</v>
      </c>
      <c r="G398" t="s">
        <v>6</v>
      </c>
      <c r="H398" t="s">
        <v>6</v>
      </c>
      <c r="I398">
        <f t="shared" si="18"/>
        <v>1</v>
      </c>
      <c r="J398" t="str">
        <f t="shared" ca="1" si="19"/>
        <v/>
      </c>
      <c r="K398" t="e">
        <f t="shared" ca="1" si="20"/>
        <v>#VALUE!</v>
      </c>
      <c r="L398">
        <f>IF($A398="","",IF($E398&lt;&gt;"",0,IF(COUNTIFS(個体台帳!$A:$A,$B398,個体台帳!$E:$E,"&lt;&gt;貸出中")&gt;0,1,0)))</f>
        <v>1</v>
      </c>
      <c r="M398">
        <f>IF($A398="","",IF($E398&lt;&gt;"",0,IF(COUNTIFS(個体台帳!$A:$A,$B398,個体台帳!$E:$E,"廃棄")&gt;0,1,0)))</f>
        <v>0</v>
      </c>
    </row>
    <row r="399" spans="1:13">
      <c r="A399" t="s">
        <v>950</v>
      </c>
      <c r="B399" t="s">
        <v>6</v>
      </c>
      <c r="C399" t="s">
        <v>6</v>
      </c>
      <c r="D399" s="12" t="s">
        <v>6</v>
      </c>
      <c r="E399" s="11" t="s">
        <v>6</v>
      </c>
      <c r="F399" s="16" t="s">
        <v>6</v>
      </c>
      <c r="G399" t="s">
        <v>6</v>
      </c>
      <c r="H399" t="s">
        <v>6</v>
      </c>
      <c r="I399">
        <f t="shared" si="18"/>
        <v>1</v>
      </c>
      <c r="J399" t="str">
        <f t="shared" ca="1" si="19"/>
        <v/>
      </c>
      <c r="K399" t="e">
        <f t="shared" ca="1" si="20"/>
        <v>#VALUE!</v>
      </c>
      <c r="L399">
        <f>IF($A399="","",IF($E399&lt;&gt;"",0,IF(COUNTIFS(個体台帳!$A:$A,$B399,個体台帳!$E:$E,"&lt;&gt;貸出中")&gt;0,1,0)))</f>
        <v>1</v>
      </c>
      <c r="M399">
        <f>IF($A399="","",IF($E399&lt;&gt;"",0,IF(COUNTIFS(個体台帳!$A:$A,$B399,個体台帳!$E:$E,"廃棄")&gt;0,1,0)))</f>
        <v>0</v>
      </c>
    </row>
    <row r="400" spans="1:13">
      <c r="A400" t="s">
        <v>951</v>
      </c>
      <c r="B400" t="s">
        <v>6</v>
      </c>
      <c r="C400" t="s">
        <v>6</v>
      </c>
      <c r="D400" s="12" t="s">
        <v>6</v>
      </c>
      <c r="E400" s="11" t="s">
        <v>6</v>
      </c>
      <c r="F400" s="16" t="s">
        <v>6</v>
      </c>
      <c r="G400" t="s">
        <v>6</v>
      </c>
      <c r="H400" t="s">
        <v>6</v>
      </c>
      <c r="I400">
        <f t="shared" si="18"/>
        <v>1</v>
      </c>
      <c r="J400" t="str">
        <f t="shared" ca="1" si="19"/>
        <v/>
      </c>
      <c r="K400" t="e">
        <f t="shared" ca="1" si="20"/>
        <v>#VALUE!</v>
      </c>
      <c r="L400">
        <f>IF($A400="","",IF($E400&lt;&gt;"",0,IF(COUNTIFS(個体台帳!$A:$A,$B400,個体台帳!$E:$E,"&lt;&gt;貸出中")&gt;0,1,0)))</f>
        <v>1</v>
      </c>
      <c r="M400">
        <f>IF($A400="","",IF($E400&lt;&gt;"",0,IF(COUNTIFS(個体台帳!$A:$A,$B400,個体台帳!$E:$E,"廃棄")&gt;0,1,0)))</f>
        <v>0</v>
      </c>
    </row>
    <row r="401" spans="1:13">
      <c r="A401" t="s">
        <v>952</v>
      </c>
      <c r="B401" t="s">
        <v>6</v>
      </c>
      <c r="C401" t="s">
        <v>6</v>
      </c>
      <c r="D401" s="12" t="s">
        <v>6</v>
      </c>
      <c r="E401" s="11" t="s">
        <v>6</v>
      </c>
      <c r="F401" s="16" t="s">
        <v>6</v>
      </c>
      <c r="G401" t="s">
        <v>6</v>
      </c>
      <c r="H401" t="s">
        <v>6</v>
      </c>
      <c r="I401">
        <f t="shared" si="18"/>
        <v>1</v>
      </c>
      <c r="J401" t="str">
        <f t="shared" ca="1" si="19"/>
        <v/>
      </c>
      <c r="K401" t="e">
        <f t="shared" ca="1" si="20"/>
        <v>#VALUE!</v>
      </c>
      <c r="L401">
        <f>IF($A401="","",IF($E401&lt;&gt;"",0,IF(COUNTIFS(個体台帳!$A:$A,$B401,個体台帳!$E:$E,"&lt;&gt;貸出中")&gt;0,1,0)))</f>
        <v>1</v>
      </c>
      <c r="M401">
        <f>IF($A401="","",IF($E401&lt;&gt;"",0,IF(COUNTIFS(個体台帳!$A:$A,$B401,個体台帳!$E:$E,"廃棄")&gt;0,1,0)))</f>
        <v>0</v>
      </c>
    </row>
    <row r="402" spans="1:13">
      <c r="A402" t="s">
        <v>953</v>
      </c>
      <c r="B402" t="s">
        <v>6</v>
      </c>
      <c r="C402" t="s">
        <v>6</v>
      </c>
      <c r="D402" s="12" t="s">
        <v>6</v>
      </c>
      <c r="E402" s="11" t="s">
        <v>6</v>
      </c>
      <c r="F402" s="16" t="s">
        <v>6</v>
      </c>
      <c r="G402" t="s">
        <v>6</v>
      </c>
      <c r="H402" t="s">
        <v>6</v>
      </c>
      <c r="I402">
        <f t="shared" si="18"/>
        <v>1</v>
      </c>
      <c r="J402" t="str">
        <f t="shared" ca="1" si="19"/>
        <v/>
      </c>
      <c r="K402" t="e">
        <f t="shared" ca="1" si="20"/>
        <v>#VALUE!</v>
      </c>
      <c r="L402">
        <f>IF($A402="","",IF($E402&lt;&gt;"",0,IF(COUNTIFS(個体台帳!$A:$A,$B402,個体台帳!$E:$E,"&lt;&gt;貸出中")&gt;0,1,0)))</f>
        <v>1</v>
      </c>
      <c r="M402">
        <f>IF($A402="","",IF($E402&lt;&gt;"",0,IF(COUNTIFS(個体台帳!$A:$A,$B402,個体台帳!$E:$E,"廃棄")&gt;0,1,0)))</f>
        <v>0</v>
      </c>
    </row>
    <row r="403" spans="1:13">
      <c r="A403" t="s">
        <v>954</v>
      </c>
      <c r="B403" t="s">
        <v>6</v>
      </c>
      <c r="C403" t="s">
        <v>6</v>
      </c>
      <c r="D403" s="12" t="s">
        <v>6</v>
      </c>
      <c r="E403" s="11" t="s">
        <v>6</v>
      </c>
      <c r="F403" s="16" t="s">
        <v>6</v>
      </c>
      <c r="G403" t="s">
        <v>6</v>
      </c>
      <c r="H403" t="s">
        <v>6</v>
      </c>
      <c r="I403">
        <f t="shared" si="18"/>
        <v>1</v>
      </c>
      <c r="J403" t="str">
        <f t="shared" ca="1" si="19"/>
        <v/>
      </c>
      <c r="K403" t="e">
        <f t="shared" ca="1" si="20"/>
        <v>#VALUE!</v>
      </c>
      <c r="L403">
        <f>IF($A403="","",IF($E403&lt;&gt;"",0,IF(COUNTIFS(個体台帳!$A:$A,$B403,個体台帳!$E:$E,"&lt;&gt;貸出中")&gt;0,1,0)))</f>
        <v>1</v>
      </c>
      <c r="M403">
        <f>IF($A403="","",IF($E403&lt;&gt;"",0,IF(COUNTIFS(個体台帳!$A:$A,$B403,個体台帳!$E:$E,"廃棄")&gt;0,1,0)))</f>
        <v>0</v>
      </c>
    </row>
    <row r="404" spans="1:13">
      <c r="A404" t="s">
        <v>955</v>
      </c>
      <c r="B404" t="s">
        <v>6</v>
      </c>
      <c r="C404" t="s">
        <v>6</v>
      </c>
      <c r="D404" s="12" t="s">
        <v>6</v>
      </c>
      <c r="E404" s="11" t="s">
        <v>6</v>
      </c>
      <c r="F404" s="16" t="s">
        <v>6</v>
      </c>
      <c r="G404" t="s">
        <v>6</v>
      </c>
      <c r="H404" t="s">
        <v>6</v>
      </c>
      <c r="I404">
        <f t="shared" si="18"/>
        <v>1</v>
      </c>
      <c r="J404" t="str">
        <f t="shared" ca="1" si="19"/>
        <v/>
      </c>
      <c r="K404" t="e">
        <f t="shared" ca="1" si="20"/>
        <v>#VALUE!</v>
      </c>
      <c r="L404">
        <f>IF($A404="","",IF($E404&lt;&gt;"",0,IF(COUNTIFS(個体台帳!$A:$A,$B404,個体台帳!$E:$E,"&lt;&gt;貸出中")&gt;0,1,0)))</f>
        <v>1</v>
      </c>
      <c r="M404">
        <f>IF($A404="","",IF($E404&lt;&gt;"",0,IF(COUNTIFS(個体台帳!$A:$A,$B404,個体台帳!$E:$E,"廃棄")&gt;0,1,0)))</f>
        <v>0</v>
      </c>
    </row>
    <row r="405" spans="1:13">
      <c r="A405" t="s">
        <v>956</v>
      </c>
      <c r="B405" t="s">
        <v>6</v>
      </c>
      <c r="C405" t="s">
        <v>6</v>
      </c>
      <c r="D405" s="12" t="s">
        <v>6</v>
      </c>
      <c r="E405" s="11" t="s">
        <v>6</v>
      </c>
      <c r="F405" s="16" t="s">
        <v>6</v>
      </c>
      <c r="G405" t="s">
        <v>6</v>
      </c>
      <c r="H405" t="s">
        <v>6</v>
      </c>
      <c r="I405">
        <f t="shared" si="18"/>
        <v>1</v>
      </c>
      <c r="J405" t="str">
        <f t="shared" ca="1" si="19"/>
        <v/>
      </c>
      <c r="K405" t="e">
        <f t="shared" ca="1" si="20"/>
        <v>#VALUE!</v>
      </c>
      <c r="L405">
        <f>IF($A405="","",IF($E405&lt;&gt;"",0,IF(COUNTIFS(個体台帳!$A:$A,$B405,個体台帳!$E:$E,"&lt;&gt;貸出中")&gt;0,1,0)))</f>
        <v>1</v>
      </c>
      <c r="M405">
        <f>IF($A405="","",IF($E405&lt;&gt;"",0,IF(COUNTIFS(個体台帳!$A:$A,$B405,個体台帳!$E:$E,"廃棄")&gt;0,1,0)))</f>
        <v>0</v>
      </c>
    </row>
    <row r="406" spans="1:13">
      <c r="A406" t="s">
        <v>957</v>
      </c>
      <c r="B406" t="s">
        <v>6</v>
      </c>
      <c r="C406" t="s">
        <v>6</v>
      </c>
      <c r="D406" s="12" t="s">
        <v>6</v>
      </c>
      <c r="E406" s="11" t="s">
        <v>6</v>
      </c>
      <c r="F406" s="16" t="s">
        <v>6</v>
      </c>
      <c r="G406" t="s">
        <v>6</v>
      </c>
      <c r="H406" t="s">
        <v>6</v>
      </c>
      <c r="I406">
        <f t="shared" si="18"/>
        <v>1</v>
      </c>
      <c r="J406" t="str">
        <f t="shared" ca="1" si="19"/>
        <v/>
      </c>
      <c r="K406" t="e">
        <f t="shared" ca="1" si="20"/>
        <v>#VALUE!</v>
      </c>
      <c r="L406">
        <f>IF($A406="","",IF($E406&lt;&gt;"",0,IF(COUNTIFS(個体台帳!$A:$A,$B406,個体台帳!$E:$E,"&lt;&gt;貸出中")&gt;0,1,0)))</f>
        <v>1</v>
      </c>
      <c r="M406">
        <f>IF($A406="","",IF($E406&lt;&gt;"",0,IF(COUNTIFS(個体台帳!$A:$A,$B406,個体台帳!$E:$E,"廃棄")&gt;0,1,0)))</f>
        <v>0</v>
      </c>
    </row>
    <row r="407" spans="1:13">
      <c r="A407" t="s">
        <v>958</v>
      </c>
      <c r="B407" t="s">
        <v>6</v>
      </c>
      <c r="C407" t="s">
        <v>6</v>
      </c>
      <c r="D407" s="12" t="s">
        <v>6</v>
      </c>
      <c r="E407" s="11" t="s">
        <v>6</v>
      </c>
      <c r="F407" s="16" t="s">
        <v>6</v>
      </c>
      <c r="G407" t="s">
        <v>6</v>
      </c>
      <c r="H407" t="s">
        <v>6</v>
      </c>
      <c r="I407">
        <f t="shared" si="18"/>
        <v>1</v>
      </c>
      <c r="J407" t="str">
        <f t="shared" ca="1" si="19"/>
        <v/>
      </c>
      <c r="K407" t="e">
        <f t="shared" ca="1" si="20"/>
        <v>#VALUE!</v>
      </c>
      <c r="L407">
        <f>IF($A407="","",IF($E407&lt;&gt;"",0,IF(COUNTIFS(個体台帳!$A:$A,$B407,個体台帳!$E:$E,"&lt;&gt;貸出中")&gt;0,1,0)))</f>
        <v>1</v>
      </c>
      <c r="M407">
        <f>IF($A407="","",IF($E407&lt;&gt;"",0,IF(COUNTIFS(個体台帳!$A:$A,$B407,個体台帳!$E:$E,"廃棄")&gt;0,1,0)))</f>
        <v>0</v>
      </c>
    </row>
    <row r="408" spans="1:13">
      <c r="A408" t="s">
        <v>959</v>
      </c>
      <c r="B408" t="s">
        <v>6</v>
      </c>
      <c r="C408" t="s">
        <v>6</v>
      </c>
      <c r="D408" s="12" t="s">
        <v>6</v>
      </c>
      <c r="E408" s="11" t="s">
        <v>6</v>
      </c>
      <c r="F408" s="16" t="s">
        <v>6</v>
      </c>
      <c r="G408" t="s">
        <v>6</v>
      </c>
      <c r="H408" t="s">
        <v>6</v>
      </c>
      <c r="I408">
        <f t="shared" si="18"/>
        <v>1</v>
      </c>
      <c r="J408" t="str">
        <f t="shared" ca="1" si="19"/>
        <v/>
      </c>
      <c r="K408" t="e">
        <f t="shared" ca="1" si="20"/>
        <v>#VALUE!</v>
      </c>
      <c r="L408">
        <f>IF($A408="","",IF($E408&lt;&gt;"",0,IF(COUNTIFS(個体台帳!$A:$A,$B408,個体台帳!$E:$E,"&lt;&gt;貸出中")&gt;0,1,0)))</f>
        <v>1</v>
      </c>
      <c r="M408">
        <f>IF($A408="","",IF($E408&lt;&gt;"",0,IF(COUNTIFS(個体台帳!$A:$A,$B408,個体台帳!$E:$E,"廃棄")&gt;0,1,0)))</f>
        <v>0</v>
      </c>
    </row>
    <row r="409" spans="1:13">
      <c r="A409" t="s">
        <v>960</v>
      </c>
      <c r="B409" t="s">
        <v>6</v>
      </c>
      <c r="C409" t="s">
        <v>6</v>
      </c>
      <c r="D409" s="12" t="s">
        <v>6</v>
      </c>
      <c r="E409" s="11" t="s">
        <v>6</v>
      </c>
      <c r="F409" s="16" t="s">
        <v>6</v>
      </c>
      <c r="G409" t="s">
        <v>6</v>
      </c>
      <c r="H409" t="s">
        <v>6</v>
      </c>
      <c r="I409">
        <f t="shared" si="18"/>
        <v>1</v>
      </c>
      <c r="J409" t="str">
        <f t="shared" ca="1" si="19"/>
        <v/>
      </c>
      <c r="K409" t="e">
        <f t="shared" ca="1" si="20"/>
        <v>#VALUE!</v>
      </c>
      <c r="L409">
        <f>IF($A409="","",IF($E409&lt;&gt;"",0,IF(COUNTIFS(個体台帳!$A:$A,$B409,個体台帳!$E:$E,"&lt;&gt;貸出中")&gt;0,1,0)))</f>
        <v>1</v>
      </c>
      <c r="M409">
        <f>IF($A409="","",IF($E409&lt;&gt;"",0,IF(COUNTIFS(個体台帳!$A:$A,$B409,個体台帳!$E:$E,"廃棄")&gt;0,1,0)))</f>
        <v>0</v>
      </c>
    </row>
    <row r="410" spans="1:13">
      <c r="A410" t="s">
        <v>961</v>
      </c>
      <c r="B410" t="s">
        <v>6</v>
      </c>
      <c r="C410" t="s">
        <v>6</v>
      </c>
      <c r="D410" s="12" t="s">
        <v>6</v>
      </c>
      <c r="E410" s="11" t="s">
        <v>6</v>
      </c>
      <c r="F410" s="16" t="s">
        <v>6</v>
      </c>
      <c r="G410" t="s">
        <v>6</v>
      </c>
      <c r="H410" t="s">
        <v>6</v>
      </c>
      <c r="I410">
        <f t="shared" si="18"/>
        <v>1</v>
      </c>
      <c r="J410" t="str">
        <f t="shared" ca="1" si="19"/>
        <v/>
      </c>
      <c r="K410" t="e">
        <f t="shared" ca="1" si="20"/>
        <v>#VALUE!</v>
      </c>
      <c r="L410">
        <f>IF($A410="","",IF($E410&lt;&gt;"",0,IF(COUNTIFS(個体台帳!$A:$A,$B410,個体台帳!$E:$E,"&lt;&gt;貸出中")&gt;0,1,0)))</f>
        <v>1</v>
      </c>
      <c r="M410">
        <f>IF($A410="","",IF($E410&lt;&gt;"",0,IF(COUNTIFS(個体台帳!$A:$A,$B410,個体台帳!$E:$E,"廃棄")&gt;0,1,0)))</f>
        <v>0</v>
      </c>
    </row>
    <row r="411" spans="1:13">
      <c r="A411" t="s">
        <v>962</v>
      </c>
      <c r="B411" t="s">
        <v>6</v>
      </c>
      <c r="C411" t="s">
        <v>6</v>
      </c>
      <c r="D411" s="12" t="s">
        <v>6</v>
      </c>
      <c r="E411" s="11" t="s">
        <v>6</v>
      </c>
      <c r="F411" s="16" t="s">
        <v>6</v>
      </c>
      <c r="G411" t="s">
        <v>6</v>
      </c>
      <c r="H411" t="s">
        <v>6</v>
      </c>
      <c r="I411">
        <f t="shared" si="18"/>
        <v>1</v>
      </c>
      <c r="J411" t="str">
        <f t="shared" ca="1" si="19"/>
        <v/>
      </c>
      <c r="K411" t="e">
        <f t="shared" ca="1" si="20"/>
        <v>#VALUE!</v>
      </c>
      <c r="L411">
        <f>IF($A411="","",IF($E411&lt;&gt;"",0,IF(COUNTIFS(個体台帳!$A:$A,$B411,個体台帳!$E:$E,"&lt;&gt;貸出中")&gt;0,1,0)))</f>
        <v>1</v>
      </c>
      <c r="M411">
        <f>IF($A411="","",IF($E411&lt;&gt;"",0,IF(COUNTIFS(個体台帳!$A:$A,$B411,個体台帳!$E:$E,"廃棄")&gt;0,1,0)))</f>
        <v>0</v>
      </c>
    </row>
    <row r="412" spans="1:13">
      <c r="A412" t="s">
        <v>963</v>
      </c>
      <c r="B412" t="s">
        <v>6</v>
      </c>
      <c r="C412" t="s">
        <v>6</v>
      </c>
      <c r="D412" s="12" t="s">
        <v>6</v>
      </c>
      <c r="E412" s="11" t="s">
        <v>6</v>
      </c>
      <c r="F412" s="16" t="s">
        <v>6</v>
      </c>
      <c r="G412" t="s">
        <v>6</v>
      </c>
      <c r="H412" t="s">
        <v>6</v>
      </c>
      <c r="I412">
        <f t="shared" si="18"/>
        <v>1</v>
      </c>
      <c r="J412" t="str">
        <f t="shared" ca="1" si="19"/>
        <v/>
      </c>
      <c r="K412" t="e">
        <f t="shared" ca="1" si="20"/>
        <v>#VALUE!</v>
      </c>
      <c r="L412">
        <f>IF($A412="","",IF($E412&lt;&gt;"",0,IF(COUNTIFS(個体台帳!$A:$A,$B412,個体台帳!$E:$E,"&lt;&gt;貸出中")&gt;0,1,0)))</f>
        <v>1</v>
      </c>
      <c r="M412">
        <f>IF($A412="","",IF($E412&lt;&gt;"",0,IF(COUNTIFS(個体台帳!$A:$A,$B412,個体台帳!$E:$E,"廃棄")&gt;0,1,0)))</f>
        <v>0</v>
      </c>
    </row>
    <row r="413" spans="1:13">
      <c r="A413" t="s">
        <v>964</v>
      </c>
      <c r="B413" t="s">
        <v>6</v>
      </c>
      <c r="C413" t="s">
        <v>6</v>
      </c>
      <c r="D413" s="12" t="s">
        <v>6</v>
      </c>
      <c r="E413" s="11" t="s">
        <v>6</v>
      </c>
      <c r="F413" s="16" t="s">
        <v>6</v>
      </c>
      <c r="G413" t="s">
        <v>6</v>
      </c>
      <c r="H413" t="s">
        <v>6</v>
      </c>
      <c r="I413">
        <f t="shared" si="18"/>
        <v>1</v>
      </c>
      <c r="J413" t="str">
        <f t="shared" ca="1" si="19"/>
        <v/>
      </c>
      <c r="K413" t="e">
        <f t="shared" ca="1" si="20"/>
        <v>#VALUE!</v>
      </c>
      <c r="L413">
        <f>IF($A413="","",IF($E413&lt;&gt;"",0,IF(COUNTIFS(個体台帳!$A:$A,$B413,個体台帳!$E:$E,"&lt;&gt;貸出中")&gt;0,1,0)))</f>
        <v>1</v>
      </c>
      <c r="M413">
        <f>IF($A413="","",IF($E413&lt;&gt;"",0,IF(COUNTIFS(個体台帳!$A:$A,$B413,個体台帳!$E:$E,"廃棄")&gt;0,1,0)))</f>
        <v>0</v>
      </c>
    </row>
    <row r="414" spans="1:13">
      <c r="A414" t="s">
        <v>965</v>
      </c>
      <c r="B414" t="s">
        <v>6</v>
      </c>
      <c r="C414" t="s">
        <v>6</v>
      </c>
      <c r="D414" s="12" t="s">
        <v>6</v>
      </c>
      <c r="E414" s="11" t="s">
        <v>6</v>
      </c>
      <c r="F414" s="16" t="s">
        <v>6</v>
      </c>
      <c r="G414" t="s">
        <v>6</v>
      </c>
      <c r="H414" t="s">
        <v>6</v>
      </c>
      <c r="I414">
        <f t="shared" si="18"/>
        <v>1</v>
      </c>
      <c r="J414" t="str">
        <f t="shared" ca="1" si="19"/>
        <v/>
      </c>
      <c r="K414" t="e">
        <f t="shared" ca="1" si="20"/>
        <v>#VALUE!</v>
      </c>
      <c r="L414">
        <f>IF($A414="","",IF($E414&lt;&gt;"",0,IF(COUNTIFS(個体台帳!$A:$A,$B414,個体台帳!$E:$E,"&lt;&gt;貸出中")&gt;0,1,0)))</f>
        <v>1</v>
      </c>
      <c r="M414">
        <f>IF($A414="","",IF($E414&lt;&gt;"",0,IF(COUNTIFS(個体台帳!$A:$A,$B414,個体台帳!$E:$E,"廃棄")&gt;0,1,0)))</f>
        <v>0</v>
      </c>
    </row>
    <row r="415" spans="1:13">
      <c r="A415" t="s">
        <v>966</v>
      </c>
      <c r="B415" t="s">
        <v>6</v>
      </c>
      <c r="C415" t="s">
        <v>6</v>
      </c>
      <c r="D415" s="12" t="s">
        <v>6</v>
      </c>
      <c r="E415" s="11" t="s">
        <v>6</v>
      </c>
      <c r="F415" s="16" t="s">
        <v>6</v>
      </c>
      <c r="G415" t="s">
        <v>6</v>
      </c>
      <c r="H415" t="s">
        <v>6</v>
      </c>
      <c r="I415">
        <f t="shared" si="18"/>
        <v>1</v>
      </c>
      <c r="J415" t="str">
        <f t="shared" ca="1" si="19"/>
        <v/>
      </c>
      <c r="K415" t="e">
        <f t="shared" ca="1" si="20"/>
        <v>#VALUE!</v>
      </c>
      <c r="L415">
        <f>IF($A415="","",IF($E415&lt;&gt;"",0,IF(COUNTIFS(個体台帳!$A:$A,$B415,個体台帳!$E:$E,"&lt;&gt;貸出中")&gt;0,1,0)))</f>
        <v>1</v>
      </c>
      <c r="M415">
        <f>IF($A415="","",IF($E415&lt;&gt;"",0,IF(COUNTIFS(個体台帳!$A:$A,$B415,個体台帳!$E:$E,"廃棄")&gt;0,1,0)))</f>
        <v>0</v>
      </c>
    </row>
    <row r="416" spans="1:13">
      <c r="A416" t="s">
        <v>967</v>
      </c>
      <c r="B416" t="s">
        <v>6</v>
      </c>
      <c r="C416" t="s">
        <v>6</v>
      </c>
      <c r="D416" s="12" t="s">
        <v>6</v>
      </c>
      <c r="E416" s="11" t="s">
        <v>6</v>
      </c>
      <c r="F416" s="16" t="s">
        <v>6</v>
      </c>
      <c r="G416" t="s">
        <v>6</v>
      </c>
      <c r="H416" t="s">
        <v>6</v>
      </c>
      <c r="I416">
        <f t="shared" si="18"/>
        <v>1</v>
      </c>
      <c r="J416" t="str">
        <f t="shared" ca="1" si="19"/>
        <v/>
      </c>
      <c r="K416" t="e">
        <f t="shared" ca="1" si="20"/>
        <v>#VALUE!</v>
      </c>
      <c r="L416">
        <f>IF($A416="","",IF($E416&lt;&gt;"",0,IF(COUNTIFS(個体台帳!$A:$A,$B416,個体台帳!$E:$E,"&lt;&gt;貸出中")&gt;0,1,0)))</f>
        <v>1</v>
      </c>
      <c r="M416">
        <f>IF($A416="","",IF($E416&lt;&gt;"",0,IF(COUNTIFS(個体台帳!$A:$A,$B416,個体台帳!$E:$E,"廃棄")&gt;0,1,0)))</f>
        <v>0</v>
      </c>
    </row>
    <row r="417" spans="1:13">
      <c r="A417" t="s">
        <v>968</v>
      </c>
      <c r="B417" t="s">
        <v>6</v>
      </c>
      <c r="C417" t="s">
        <v>6</v>
      </c>
      <c r="D417" s="12" t="s">
        <v>6</v>
      </c>
      <c r="E417" s="11" t="s">
        <v>6</v>
      </c>
      <c r="F417" s="16" t="s">
        <v>6</v>
      </c>
      <c r="G417" t="s">
        <v>6</v>
      </c>
      <c r="H417" t="s">
        <v>6</v>
      </c>
      <c r="I417">
        <f t="shared" si="18"/>
        <v>1</v>
      </c>
      <c r="J417" t="str">
        <f t="shared" ca="1" si="19"/>
        <v/>
      </c>
      <c r="K417" t="e">
        <f t="shared" ca="1" si="20"/>
        <v>#VALUE!</v>
      </c>
      <c r="L417">
        <f>IF($A417="","",IF($E417&lt;&gt;"",0,IF(COUNTIFS(個体台帳!$A:$A,$B417,個体台帳!$E:$E,"&lt;&gt;貸出中")&gt;0,1,0)))</f>
        <v>1</v>
      </c>
      <c r="M417">
        <f>IF($A417="","",IF($E417&lt;&gt;"",0,IF(COUNTIFS(個体台帳!$A:$A,$B417,個体台帳!$E:$E,"廃棄")&gt;0,1,0)))</f>
        <v>0</v>
      </c>
    </row>
    <row r="418" spans="1:13">
      <c r="A418" t="s">
        <v>969</v>
      </c>
      <c r="B418" t="s">
        <v>6</v>
      </c>
      <c r="C418" t="s">
        <v>6</v>
      </c>
      <c r="D418" s="12" t="s">
        <v>6</v>
      </c>
      <c r="E418" s="11" t="s">
        <v>6</v>
      </c>
      <c r="F418" s="16" t="s">
        <v>6</v>
      </c>
      <c r="G418" t="s">
        <v>6</v>
      </c>
      <c r="H418" t="s">
        <v>6</v>
      </c>
      <c r="I418">
        <f t="shared" si="18"/>
        <v>1</v>
      </c>
      <c r="J418" t="str">
        <f t="shared" ca="1" si="19"/>
        <v/>
      </c>
      <c r="K418" t="e">
        <f t="shared" ca="1" si="20"/>
        <v>#VALUE!</v>
      </c>
      <c r="L418">
        <f>IF($A418="","",IF($E418&lt;&gt;"",0,IF(COUNTIFS(個体台帳!$A:$A,$B418,個体台帳!$E:$E,"&lt;&gt;貸出中")&gt;0,1,0)))</f>
        <v>1</v>
      </c>
      <c r="M418">
        <f>IF($A418="","",IF($E418&lt;&gt;"",0,IF(COUNTIFS(個体台帳!$A:$A,$B418,個体台帳!$E:$E,"廃棄")&gt;0,1,0)))</f>
        <v>0</v>
      </c>
    </row>
    <row r="419" spans="1:13">
      <c r="A419" t="s">
        <v>970</v>
      </c>
      <c r="B419" t="s">
        <v>6</v>
      </c>
      <c r="C419" t="s">
        <v>6</v>
      </c>
      <c r="D419" s="12" t="s">
        <v>6</v>
      </c>
      <c r="E419" s="11" t="s">
        <v>6</v>
      </c>
      <c r="F419" s="16" t="s">
        <v>6</v>
      </c>
      <c r="G419" t="s">
        <v>6</v>
      </c>
      <c r="H419" t="s">
        <v>6</v>
      </c>
      <c r="I419">
        <f t="shared" si="18"/>
        <v>1</v>
      </c>
      <c r="J419" t="str">
        <f t="shared" ca="1" si="19"/>
        <v/>
      </c>
      <c r="K419" t="e">
        <f t="shared" ca="1" si="20"/>
        <v>#VALUE!</v>
      </c>
      <c r="L419">
        <f>IF($A419="","",IF($E419&lt;&gt;"",0,IF(COUNTIFS(個体台帳!$A:$A,$B419,個体台帳!$E:$E,"&lt;&gt;貸出中")&gt;0,1,0)))</f>
        <v>1</v>
      </c>
      <c r="M419">
        <f>IF($A419="","",IF($E419&lt;&gt;"",0,IF(COUNTIFS(個体台帳!$A:$A,$B419,個体台帳!$E:$E,"廃棄")&gt;0,1,0)))</f>
        <v>0</v>
      </c>
    </row>
    <row r="420" spans="1:13">
      <c r="A420" t="s">
        <v>971</v>
      </c>
      <c r="B420" t="s">
        <v>6</v>
      </c>
      <c r="C420" t="s">
        <v>6</v>
      </c>
      <c r="D420" s="12" t="s">
        <v>6</v>
      </c>
      <c r="E420" s="11" t="s">
        <v>6</v>
      </c>
      <c r="F420" s="16" t="s">
        <v>6</v>
      </c>
      <c r="G420" t="s">
        <v>6</v>
      </c>
      <c r="H420" t="s">
        <v>6</v>
      </c>
      <c r="I420">
        <f t="shared" si="18"/>
        <v>1</v>
      </c>
      <c r="J420" t="str">
        <f t="shared" ca="1" si="19"/>
        <v/>
      </c>
      <c r="K420" t="e">
        <f t="shared" ca="1" si="20"/>
        <v>#VALUE!</v>
      </c>
      <c r="L420">
        <f>IF($A420="","",IF($E420&lt;&gt;"",0,IF(COUNTIFS(個体台帳!$A:$A,$B420,個体台帳!$E:$E,"&lt;&gt;貸出中")&gt;0,1,0)))</f>
        <v>1</v>
      </c>
      <c r="M420">
        <f>IF($A420="","",IF($E420&lt;&gt;"",0,IF(COUNTIFS(個体台帳!$A:$A,$B420,個体台帳!$E:$E,"廃棄")&gt;0,1,0)))</f>
        <v>0</v>
      </c>
    </row>
    <row r="421" spans="1:13">
      <c r="A421" t="s">
        <v>972</v>
      </c>
      <c r="B421" t="s">
        <v>6</v>
      </c>
      <c r="C421" t="s">
        <v>6</v>
      </c>
      <c r="D421" s="12" t="s">
        <v>6</v>
      </c>
      <c r="E421" s="11" t="s">
        <v>6</v>
      </c>
      <c r="F421" s="16" t="s">
        <v>6</v>
      </c>
      <c r="G421" t="s">
        <v>6</v>
      </c>
      <c r="H421" t="s">
        <v>6</v>
      </c>
      <c r="I421">
        <f t="shared" si="18"/>
        <v>1</v>
      </c>
      <c r="J421" t="str">
        <f t="shared" ca="1" si="19"/>
        <v/>
      </c>
      <c r="K421" t="e">
        <f t="shared" ca="1" si="20"/>
        <v>#VALUE!</v>
      </c>
      <c r="L421">
        <f>IF($A421="","",IF($E421&lt;&gt;"",0,IF(COUNTIFS(個体台帳!$A:$A,$B421,個体台帳!$E:$E,"&lt;&gt;貸出中")&gt;0,1,0)))</f>
        <v>1</v>
      </c>
      <c r="M421">
        <f>IF($A421="","",IF($E421&lt;&gt;"",0,IF(COUNTIFS(個体台帳!$A:$A,$B421,個体台帳!$E:$E,"廃棄")&gt;0,1,0)))</f>
        <v>0</v>
      </c>
    </row>
    <row r="422" spans="1:13">
      <c r="A422" t="s">
        <v>973</v>
      </c>
      <c r="B422" t="s">
        <v>6</v>
      </c>
      <c r="C422" t="s">
        <v>6</v>
      </c>
      <c r="D422" s="12" t="s">
        <v>6</v>
      </c>
      <c r="E422" s="11" t="s">
        <v>6</v>
      </c>
      <c r="F422" s="16" t="s">
        <v>6</v>
      </c>
      <c r="G422" t="s">
        <v>6</v>
      </c>
      <c r="H422" t="s">
        <v>6</v>
      </c>
      <c r="I422">
        <f t="shared" si="18"/>
        <v>1</v>
      </c>
      <c r="J422" t="str">
        <f t="shared" ca="1" si="19"/>
        <v/>
      </c>
      <c r="K422" t="e">
        <f t="shared" ca="1" si="20"/>
        <v>#VALUE!</v>
      </c>
      <c r="L422">
        <f>IF($A422="","",IF($E422&lt;&gt;"",0,IF(COUNTIFS(個体台帳!$A:$A,$B422,個体台帳!$E:$E,"&lt;&gt;貸出中")&gt;0,1,0)))</f>
        <v>1</v>
      </c>
      <c r="M422">
        <f>IF($A422="","",IF($E422&lt;&gt;"",0,IF(COUNTIFS(個体台帳!$A:$A,$B422,個体台帳!$E:$E,"廃棄")&gt;0,1,0)))</f>
        <v>0</v>
      </c>
    </row>
    <row r="423" spans="1:13">
      <c r="A423" t="s">
        <v>974</v>
      </c>
      <c r="B423" t="s">
        <v>6</v>
      </c>
      <c r="C423" t="s">
        <v>6</v>
      </c>
      <c r="D423" s="12" t="s">
        <v>6</v>
      </c>
      <c r="E423" s="11" t="s">
        <v>6</v>
      </c>
      <c r="F423" s="16" t="s">
        <v>6</v>
      </c>
      <c r="G423" t="s">
        <v>6</v>
      </c>
      <c r="H423" t="s">
        <v>6</v>
      </c>
      <c r="I423">
        <f t="shared" si="18"/>
        <v>1</v>
      </c>
      <c r="J423" t="str">
        <f t="shared" ca="1" si="19"/>
        <v/>
      </c>
      <c r="K423" t="e">
        <f t="shared" ca="1" si="20"/>
        <v>#VALUE!</v>
      </c>
      <c r="L423">
        <f>IF($A423="","",IF($E423&lt;&gt;"",0,IF(COUNTIFS(個体台帳!$A:$A,$B423,個体台帳!$E:$E,"&lt;&gt;貸出中")&gt;0,1,0)))</f>
        <v>1</v>
      </c>
      <c r="M423">
        <f>IF($A423="","",IF($E423&lt;&gt;"",0,IF(COUNTIFS(個体台帳!$A:$A,$B423,個体台帳!$E:$E,"廃棄")&gt;0,1,0)))</f>
        <v>0</v>
      </c>
    </row>
    <row r="424" spans="1:13">
      <c r="A424" t="s">
        <v>975</v>
      </c>
      <c r="B424" t="s">
        <v>6</v>
      </c>
      <c r="C424" t="s">
        <v>6</v>
      </c>
      <c r="D424" s="12" t="s">
        <v>6</v>
      </c>
      <c r="E424" s="11" t="s">
        <v>6</v>
      </c>
      <c r="F424" s="16" t="s">
        <v>6</v>
      </c>
      <c r="G424" t="s">
        <v>6</v>
      </c>
      <c r="H424" t="s">
        <v>6</v>
      </c>
      <c r="I424">
        <f t="shared" si="18"/>
        <v>1</v>
      </c>
      <c r="J424" t="str">
        <f t="shared" ca="1" si="19"/>
        <v/>
      </c>
      <c r="K424" t="e">
        <f t="shared" ca="1" si="20"/>
        <v>#VALUE!</v>
      </c>
      <c r="L424">
        <f>IF($A424="","",IF($E424&lt;&gt;"",0,IF(COUNTIFS(個体台帳!$A:$A,$B424,個体台帳!$E:$E,"&lt;&gt;貸出中")&gt;0,1,0)))</f>
        <v>1</v>
      </c>
      <c r="M424">
        <f>IF($A424="","",IF($E424&lt;&gt;"",0,IF(COUNTIFS(個体台帳!$A:$A,$B424,個体台帳!$E:$E,"廃棄")&gt;0,1,0)))</f>
        <v>0</v>
      </c>
    </row>
    <row r="425" spans="1:13">
      <c r="A425" t="s">
        <v>976</v>
      </c>
      <c r="B425" t="s">
        <v>6</v>
      </c>
      <c r="C425" t="s">
        <v>6</v>
      </c>
      <c r="D425" s="12" t="s">
        <v>6</v>
      </c>
      <c r="E425" s="11" t="s">
        <v>6</v>
      </c>
      <c r="F425" s="16" t="s">
        <v>6</v>
      </c>
      <c r="G425" t="s">
        <v>6</v>
      </c>
      <c r="H425" t="s">
        <v>6</v>
      </c>
      <c r="I425">
        <f t="shared" si="18"/>
        <v>1</v>
      </c>
      <c r="J425" t="str">
        <f t="shared" ca="1" si="19"/>
        <v/>
      </c>
      <c r="K425" t="e">
        <f t="shared" ca="1" si="20"/>
        <v>#VALUE!</v>
      </c>
      <c r="L425">
        <f>IF($A425="","",IF($E425&lt;&gt;"",0,IF(COUNTIFS(個体台帳!$A:$A,$B425,個体台帳!$E:$E,"&lt;&gt;貸出中")&gt;0,1,0)))</f>
        <v>1</v>
      </c>
      <c r="M425">
        <f>IF($A425="","",IF($E425&lt;&gt;"",0,IF(COUNTIFS(個体台帳!$A:$A,$B425,個体台帳!$E:$E,"廃棄")&gt;0,1,0)))</f>
        <v>0</v>
      </c>
    </row>
    <row r="426" spans="1:13">
      <c r="A426" t="s">
        <v>977</v>
      </c>
      <c r="B426" t="s">
        <v>6</v>
      </c>
      <c r="C426" t="s">
        <v>6</v>
      </c>
      <c r="D426" s="12" t="s">
        <v>6</v>
      </c>
      <c r="E426" s="11" t="s">
        <v>6</v>
      </c>
      <c r="F426" s="16" t="s">
        <v>6</v>
      </c>
      <c r="G426" t="s">
        <v>6</v>
      </c>
      <c r="H426" t="s">
        <v>6</v>
      </c>
      <c r="I426">
        <f t="shared" si="18"/>
        <v>1</v>
      </c>
      <c r="J426" t="str">
        <f t="shared" ca="1" si="19"/>
        <v/>
      </c>
      <c r="K426" t="e">
        <f t="shared" ca="1" si="20"/>
        <v>#VALUE!</v>
      </c>
      <c r="L426">
        <f>IF($A426="","",IF($E426&lt;&gt;"",0,IF(COUNTIFS(個体台帳!$A:$A,$B426,個体台帳!$E:$E,"&lt;&gt;貸出中")&gt;0,1,0)))</f>
        <v>1</v>
      </c>
      <c r="M426">
        <f>IF($A426="","",IF($E426&lt;&gt;"",0,IF(COUNTIFS(個体台帳!$A:$A,$B426,個体台帳!$E:$E,"廃棄")&gt;0,1,0)))</f>
        <v>0</v>
      </c>
    </row>
    <row r="427" spans="1:13">
      <c r="A427" t="s">
        <v>978</v>
      </c>
      <c r="B427" t="s">
        <v>6</v>
      </c>
      <c r="C427" t="s">
        <v>6</v>
      </c>
      <c r="D427" s="12" t="s">
        <v>6</v>
      </c>
      <c r="E427" s="11" t="s">
        <v>6</v>
      </c>
      <c r="F427" s="16" t="s">
        <v>6</v>
      </c>
      <c r="G427" t="s">
        <v>6</v>
      </c>
      <c r="H427" t="s">
        <v>6</v>
      </c>
      <c r="I427">
        <f t="shared" si="18"/>
        <v>1</v>
      </c>
      <c r="J427" t="str">
        <f t="shared" ca="1" si="19"/>
        <v/>
      </c>
      <c r="K427" t="e">
        <f t="shared" ca="1" si="20"/>
        <v>#VALUE!</v>
      </c>
      <c r="L427">
        <f>IF($A427="","",IF($E427&lt;&gt;"",0,IF(COUNTIFS(個体台帳!$A:$A,$B427,個体台帳!$E:$E,"&lt;&gt;貸出中")&gt;0,1,0)))</f>
        <v>1</v>
      </c>
      <c r="M427">
        <f>IF($A427="","",IF($E427&lt;&gt;"",0,IF(COUNTIFS(個体台帳!$A:$A,$B427,個体台帳!$E:$E,"廃棄")&gt;0,1,0)))</f>
        <v>0</v>
      </c>
    </row>
    <row r="428" spans="1:13">
      <c r="A428" t="s">
        <v>979</v>
      </c>
      <c r="B428" t="s">
        <v>6</v>
      </c>
      <c r="C428" t="s">
        <v>6</v>
      </c>
      <c r="D428" s="12" t="s">
        <v>6</v>
      </c>
      <c r="E428" s="11" t="s">
        <v>6</v>
      </c>
      <c r="F428" s="16" t="s">
        <v>6</v>
      </c>
      <c r="G428" t="s">
        <v>6</v>
      </c>
      <c r="H428" t="s">
        <v>6</v>
      </c>
      <c r="I428">
        <f t="shared" si="18"/>
        <v>1</v>
      </c>
      <c r="J428" t="str">
        <f t="shared" ca="1" si="19"/>
        <v/>
      </c>
      <c r="K428" t="e">
        <f t="shared" ca="1" si="20"/>
        <v>#VALUE!</v>
      </c>
      <c r="L428">
        <f>IF($A428="","",IF($E428&lt;&gt;"",0,IF(COUNTIFS(個体台帳!$A:$A,$B428,個体台帳!$E:$E,"&lt;&gt;貸出中")&gt;0,1,0)))</f>
        <v>1</v>
      </c>
      <c r="M428">
        <f>IF($A428="","",IF($E428&lt;&gt;"",0,IF(COUNTIFS(個体台帳!$A:$A,$B428,個体台帳!$E:$E,"廃棄")&gt;0,1,0)))</f>
        <v>0</v>
      </c>
    </row>
    <row r="429" spans="1:13">
      <c r="A429" t="s">
        <v>980</v>
      </c>
      <c r="B429" t="s">
        <v>6</v>
      </c>
      <c r="C429" t="s">
        <v>6</v>
      </c>
      <c r="D429" s="12" t="s">
        <v>6</v>
      </c>
      <c r="E429" s="11" t="s">
        <v>6</v>
      </c>
      <c r="F429" s="16" t="s">
        <v>6</v>
      </c>
      <c r="G429" t="s">
        <v>6</v>
      </c>
      <c r="H429" t="s">
        <v>6</v>
      </c>
      <c r="I429">
        <f t="shared" si="18"/>
        <v>1</v>
      </c>
      <c r="J429" t="str">
        <f t="shared" ca="1" si="19"/>
        <v/>
      </c>
      <c r="K429" t="e">
        <f t="shared" ca="1" si="20"/>
        <v>#VALUE!</v>
      </c>
      <c r="L429">
        <f>IF($A429="","",IF($E429&lt;&gt;"",0,IF(COUNTIFS(個体台帳!$A:$A,$B429,個体台帳!$E:$E,"&lt;&gt;貸出中")&gt;0,1,0)))</f>
        <v>1</v>
      </c>
      <c r="M429">
        <f>IF($A429="","",IF($E429&lt;&gt;"",0,IF(COUNTIFS(個体台帳!$A:$A,$B429,個体台帳!$E:$E,"廃棄")&gt;0,1,0)))</f>
        <v>0</v>
      </c>
    </row>
    <row r="430" spans="1:13">
      <c r="A430" t="s">
        <v>981</v>
      </c>
      <c r="B430" t="s">
        <v>6</v>
      </c>
      <c r="C430" t="s">
        <v>6</v>
      </c>
      <c r="D430" s="12" t="s">
        <v>6</v>
      </c>
      <c r="E430" s="11" t="s">
        <v>6</v>
      </c>
      <c r="F430" s="16" t="s">
        <v>6</v>
      </c>
      <c r="G430" t="s">
        <v>6</v>
      </c>
      <c r="H430" t="s">
        <v>6</v>
      </c>
      <c r="I430">
        <f t="shared" si="18"/>
        <v>1</v>
      </c>
      <c r="J430" t="str">
        <f t="shared" ca="1" si="19"/>
        <v/>
      </c>
      <c r="K430" t="e">
        <f t="shared" ca="1" si="20"/>
        <v>#VALUE!</v>
      </c>
      <c r="L430">
        <f>IF($A430="","",IF($E430&lt;&gt;"",0,IF(COUNTIFS(個体台帳!$A:$A,$B430,個体台帳!$E:$E,"&lt;&gt;貸出中")&gt;0,1,0)))</f>
        <v>1</v>
      </c>
      <c r="M430">
        <f>IF($A430="","",IF($E430&lt;&gt;"",0,IF(COUNTIFS(個体台帳!$A:$A,$B430,個体台帳!$E:$E,"廃棄")&gt;0,1,0)))</f>
        <v>0</v>
      </c>
    </row>
    <row r="431" spans="1:13">
      <c r="A431" t="s">
        <v>982</v>
      </c>
      <c r="B431" t="s">
        <v>6</v>
      </c>
      <c r="C431" t="s">
        <v>6</v>
      </c>
      <c r="D431" s="12" t="s">
        <v>6</v>
      </c>
      <c r="E431" s="11" t="s">
        <v>6</v>
      </c>
      <c r="F431" s="16" t="s">
        <v>6</v>
      </c>
      <c r="G431" t="s">
        <v>6</v>
      </c>
      <c r="H431" t="s">
        <v>6</v>
      </c>
      <c r="I431">
        <f t="shared" si="18"/>
        <v>1</v>
      </c>
      <c r="J431" t="str">
        <f t="shared" ca="1" si="19"/>
        <v/>
      </c>
      <c r="K431" t="e">
        <f t="shared" ca="1" si="20"/>
        <v>#VALUE!</v>
      </c>
      <c r="L431">
        <f>IF($A431="","",IF($E431&lt;&gt;"",0,IF(COUNTIFS(個体台帳!$A:$A,$B431,個体台帳!$E:$E,"&lt;&gt;貸出中")&gt;0,1,0)))</f>
        <v>1</v>
      </c>
      <c r="M431">
        <f>IF($A431="","",IF($E431&lt;&gt;"",0,IF(COUNTIFS(個体台帳!$A:$A,$B431,個体台帳!$E:$E,"廃棄")&gt;0,1,0)))</f>
        <v>0</v>
      </c>
    </row>
    <row r="432" spans="1:13">
      <c r="A432" t="s">
        <v>983</v>
      </c>
      <c r="B432" t="s">
        <v>6</v>
      </c>
      <c r="C432" t="s">
        <v>6</v>
      </c>
      <c r="D432" s="12" t="s">
        <v>6</v>
      </c>
      <c r="E432" s="11" t="s">
        <v>6</v>
      </c>
      <c r="F432" s="16" t="s">
        <v>6</v>
      </c>
      <c r="G432" t="s">
        <v>6</v>
      </c>
      <c r="H432" t="s">
        <v>6</v>
      </c>
      <c r="I432">
        <f t="shared" si="18"/>
        <v>1</v>
      </c>
      <c r="J432" t="str">
        <f t="shared" ca="1" si="19"/>
        <v/>
      </c>
      <c r="K432" t="e">
        <f t="shared" ca="1" si="20"/>
        <v>#VALUE!</v>
      </c>
      <c r="L432">
        <f>IF($A432="","",IF($E432&lt;&gt;"",0,IF(COUNTIFS(個体台帳!$A:$A,$B432,個体台帳!$E:$E,"&lt;&gt;貸出中")&gt;0,1,0)))</f>
        <v>1</v>
      </c>
      <c r="M432">
        <f>IF($A432="","",IF($E432&lt;&gt;"",0,IF(COUNTIFS(個体台帳!$A:$A,$B432,個体台帳!$E:$E,"廃棄")&gt;0,1,0)))</f>
        <v>0</v>
      </c>
    </row>
    <row r="433" spans="1:13">
      <c r="A433" t="s">
        <v>984</v>
      </c>
      <c r="B433" t="s">
        <v>6</v>
      </c>
      <c r="C433" t="s">
        <v>6</v>
      </c>
      <c r="D433" s="12" t="s">
        <v>6</v>
      </c>
      <c r="E433" s="11" t="s">
        <v>6</v>
      </c>
      <c r="F433" s="16" t="s">
        <v>6</v>
      </c>
      <c r="G433" t="s">
        <v>6</v>
      </c>
      <c r="H433" t="s">
        <v>6</v>
      </c>
      <c r="I433">
        <f t="shared" si="18"/>
        <v>1</v>
      </c>
      <c r="J433" t="str">
        <f t="shared" ca="1" si="19"/>
        <v/>
      </c>
      <c r="K433" t="e">
        <f t="shared" ca="1" si="20"/>
        <v>#VALUE!</v>
      </c>
      <c r="L433">
        <f>IF($A433="","",IF($E433&lt;&gt;"",0,IF(COUNTIFS(個体台帳!$A:$A,$B433,個体台帳!$E:$E,"&lt;&gt;貸出中")&gt;0,1,0)))</f>
        <v>1</v>
      </c>
      <c r="M433">
        <f>IF($A433="","",IF($E433&lt;&gt;"",0,IF(COUNTIFS(個体台帳!$A:$A,$B433,個体台帳!$E:$E,"廃棄")&gt;0,1,0)))</f>
        <v>0</v>
      </c>
    </row>
    <row r="434" spans="1:13">
      <c r="A434" t="s">
        <v>985</v>
      </c>
      <c r="B434" t="s">
        <v>6</v>
      </c>
      <c r="C434" t="s">
        <v>6</v>
      </c>
      <c r="D434" s="12" t="s">
        <v>6</v>
      </c>
      <c r="E434" s="11" t="s">
        <v>6</v>
      </c>
      <c r="F434" s="16" t="s">
        <v>6</v>
      </c>
      <c r="G434" t="s">
        <v>6</v>
      </c>
      <c r="H434" t="s">
        <v>6</v>
      </c>
      <c r="I434">
        <f t="shared" si="18"/>
        <v>1</v>
      </c>
      <c r="J434" t="str">
        <f t="shared" ca="1" si="19"/>
        <v/>
      </c>
      <c r="K434" t="e">
        <f t="shared" ca="1" si="20"/>
        <v>#VALUE!</v>
      </c>
      <c r="L434">
        <f>IF($A434="","",IF($E434&lt;&gt;"",0,IF(COUNTIFS(個体台帳!$A:$A,$B434,個体台帳!$E:$E,"&lt;&gt;貸出中")&gt;0,1,0)))</f>
        <v>1</v>
      </c>
      <c r="M434">
        <f>IF($A434="","",IF($E434&lt;&gt;"",0,IF(COUNTIFS(個体台帳!$A:$A,$B434,個体台帳!$E:$E,"廃棄")&gt;0,1,0)))</f>
        <v>0</v>
      </c>
    </row>
    <row r="435" spans="1:13">
      <c r="A435" t="s">
        <v>986</v>
      </c>
      <c r="B435" t="s">
        <v>6</v>
      </c>
      <c r="C435" t="s">
        <v>6</v>
      </c>
      <c r="D435" s="12" t="s">
        <v>6</v>
      </c>
      <c r="E435" s="11" t="s">
        <v>6</v>
      </c>
      <c r="F435" s="16" t="s">
        <v>6</v>
      </c>
      <c r="G435" t="s">
        <v>6</v>
      </c>
      <c r="H435" t="s">
        <v>6</v>
      </c>
      <c r="I435">
        <f t="shared" si="18"/>
        <v>1</v>
      </c>
      <c r="J435" t="str">
        <f t="shared" ca="1" si="19"/>
        <v/>
      </c>
      <c r="K435" t="e">
        <f t="shared" ca="1" si="20"/>
        <v>#VALUE!</v>
      </c>
      <c r="L435">
        <f>IF($A435="","",IF($E435&lt;&gt;"",0,IF(COUNTIFS(個体台帳!$A:$A,$B435,個体台帳!$E:$E,"&lt;&gt;貸出中")&gt;0,1,0)))</f>
        <v>1</v>
      </c>
      <c r="M435">
        <f>IF($A435="","",IF($E435&lt;&gt;"",0,IF(COUNTIFS(個体台帳!$A:$A,$B435,個体台帳!$E:$E,"廃棄")&gt;0,1,0)))</f>
        <v>0</v>
      </c>
    </row>
    <row r="436" spans="1:13">
      <c r="A436" t="s">
        <v>987</v>
      </c>
      <c r="B436" t="s">
        <v>6</v>
      </c>
      <c r="C436" t="s">
        <v>6</v>
      </c>
      <c r="D436" s="12" t="s">
        <v>6</v>
      </c>
      <c r="E436" s="11" t="s">
        <v>6</v>
      </c>
      <c r="F436" s="16" t="s">
        <v>6</v>
      </c>
      <c r="G436" t="s">
        <v>6</v>
      </c>
      <c r="H436" t="s">
        <v>6</v>
      </c>
      <c r="I436">
        <f t="shared" si="18"/>
        <v>1</v>
      </c>
      <c r="J436" t="str">
        <f t="shared" ca="1" si="19"/>
        <v/>
      </c>
      <c r="K436" t="e">
        <f t="shared" ca="1" si="20"/>
        <v>#VALUE!</v>
      </c>
      <c r="L436">
        <f>IF($A436="","",IF($E436&lt;&gt;"",0,IF(COUNTIFS(個体台帳!$A:$A,$B436,個体台帳!$E:$E,"&lt;&gt;貸出中")&gt;0,1,0)))</f>
        <v>1</v>
      </c>
      <c r="M436">
        <f>IF($A436="","",IF($E436&lt;&gt;"",0,IF(COUNTIFS(個体台帳!$A:$A,$B436,個体台帳!$E:$E,"廃棄")&gt;0,1,0)))</f>
        <v>0</v>
      </c>
    </row>
    <row r="437" spans="1:13">
      <c r="A437" t="s">
        <v>988</v>
      </c>
      <c r="B437" t="s">
        <v>6</v>
      </c>
      <c r="C437" t="s">
        <v>6</v>
      </c>
      <c r="D437" s="12" t="s">
        <v>6</v>
      </c>
      <c r="E437" s="11" t="s">
        <v>6</v>
      </c>
      <c r="F437" s="16" t="s">
        <v>6</v>
      </c>
      <c r="G437" t="s">
        <v>6</v>
      </c>
      <c r="H437" t="s">
        <v>6</v>
      </c>
      <c r="I437">
        <f t="shared" si="18"/>
        <v>1</v>
      </c>
      <c r="J437" t="str">
        <f t="shared" ca="1" si="19"/>
        <v/>
      </c>
      <c r="K437" t="e">
        <f t="shared" ca="1" si="20"/>
        <v>#VALUE!</v>
      </c>
      <c r="L437">
        <f>IF($A437="","",IF($E437&lt;&gt;"",0,IF(COUNTIFS(個体台帳!$A:$A,$B437,個体台帳!$E:$E,"&lt;&gt;貸出中")&gt;0,1,0)))</f>
        <v>1</v>
      </c>
      <c r="M437">
        <f>IF($A437="","",IF($E437&lt;&gt;"",0,IF(COUNTIFS(個体台帳!$A:$A,$B437,個体台帳!$E:$E,"廃棄")&gt;0,1,0)))</f>
        <v>0</v>
      </c>
    </row>
    <row r="438" spans="1:13">
      <c r="A438" t="s">
        <v>989</v>
      </c>
      <c r="B438" t="s">
        <v>6</v>
      </c>
      <c r="C438" t="s">
        <v>6</v>
      </c>
      <c r="D438" s="12" t="s">
        <v>6</v>
      </c>
      <c r="E438" s="11" t="s">
        <v>6</v>
      </c>
      <c r="F438" s="16" t="s">
        <v>6</v>
      </c>
      <c r="G438" t="s">
        <v>6</v>
      </c>
      <c r="H438" t="s">
        <v>6</v>
      </c>
      <c r="I438">
        <f t="shared" si="18"/>
        <v>1</v>
      </c>
      <c r="J438" t="str">
        <f t="shared" ca="1" si="19"/>
        <v/>
      </c>
      <c r="K438" t="e">
        <f t="shared" ca="1" si="20"/>
        <v>#VALUE!</v>
      </c>
      <c r="L438">
        <f>IF($A438="","",IF($E438&lt;&gt;"",0,IF(COUNTIFS(個体台帳!$A:$A,$B438,個体台帳!$E:$E,"&lt;&gt;貸出中")&gt;0,1,0)))</f>
        <v>1</v>
      </c>
      <c r="M438">
        <f>IF($A438="","",IF($E438&lt;&gt;"",0,IF(COUNTIFS(個体台帳!$A:$A,$B438,個体台帳!$E:$E,"廃棄")&gt;0,1,0)))</f>
        <v>0</v>
      </c>
    </row>
    <row r="439" spans="1:13">
      <c r="A439" t="s">
        <v>990</v>
      </c>
      <c r="B439" t="s">
        <v>6</v>
      </c>
      <c r="C439" t="s">
        <v>6</v>
      </c>
      <c r="D439" s="12" t="s">
        <v>6</v>
      </c>
      <c r="E439" s="11" t="s">
        <v>6</v>
      </c>
      <c r="F439" s="16" t="s">
        <v>6</v>
      </c>
      <c r="G439" t="s">
        <v>6</v>
      </c>
      <c r="H439" t="s">
        <v>6</v>
      </c>
      <c r="I439">
        <f t="shared" si="18"/>
        <v>1</v>
      </c>
      <c r="J439" t="str">
        <f t="shared" ca="1" si="19"/>
        <v/>
      </c>
      <c r="K439" t="e">
        <f t="shared" ca="1" si="20"/>
        <v>#VALUE!</v>
      </c>
      <c r="L439">
        <f>IF($A439="","",IF($E439&lt;&gt;"",0,IF(COUNTIFS(個体台帳!$A:$A,$B439,個体台帳!$E:$E,"&lt;&gt;貸出中")&gt;0,1,0)))</f>
        <v>1</v>
      </c>
      <c r="M439">
        <f>IF($A439="","",IF($E439&lt;&gt;"",0,IF(COUNTIFS(個体台帳!$A:$A,$B439,個体台帳!$E:$E,"廃棄")&gt;0,1,0)))</f>
        <v>0</v>
      </c>
    </row>
    <row r="440" spans="1:13">
      <c r="A440" t="s">
        <v>991</v>
      </c>
      <c r="B440" t="s">
        <v>6</v>
      </c>
      <c r="C440" t="s">
        <v>6</v>
      </c>
      <c r="D440" s="12" t="s">
        <v>6</v>
      </c>
      <c r="E440" s="11" t="s">
        <v>6</v>
      </c>
      <c r="F440" s="16" t="s">
        <v>6</v>
      </c>
      <c r="G440" t="s">
        <v>6</v>
      </c>
      <c r="H440" t="s">
        <v>6</v>
      </c>
      <c r="I440">
        <f t="shared" si="18"/>
        <v>1</v>
      </c>
      <c r="J440" t="str">
        <f t="shared" ca="1" si="19"/>
        <v/>
      </c>
      <c r="K440" t="e">
        <f t="shared" ca="1" si="20"/>
        <v>#VALUE!</v>
      </c>
      <c r="L440">
        <f>IF($A440="","",IF($E440&lt;&gt;"",0,IF(COUNTIFS(個体台帳!$A:$A,$B440,個体台帳!$E:$E,"&lt;&gt;貸出中")&gt;0,1,0)))</f>
        <v>1</v>
      </c>
      <c r="M440">
        <f>IF($A440="","",IF($E440&lt;&gt;"",0,IF(COUNTIFS(個体台帳!$A:$A,$B440,個体台帳!$E:$E,"廃棄")&gt;0,1,0)))</f>
        <v>0</v>
      </c>
    </row>
    <row r="441" spans="1:13">
      <c r="A441" t="s">
        <v>992</v>
      </c>
      <c r="B441" t="s">
        <v>6</v>
      </c>
      <c r="C441" t="s">
        <v>6</v>
      </c>
      <c r="D441" s="12" t="s">
        <v>6</v>
      </c>
      <c r="E441" s="11" t="s">
        <v>6</v>
      </c>
      <c r="F441" s="16" t="s">
        <v>6</v>
      </c>
      <c r="G441" t="s">
        <v>6</v>
      </c>
      <c r="H441" t="s">
        <v>6</v>
      </c>
      <c r="I441">
        <f t="shared" si="18"/>
        <v>1</v>
      </c>
      <c r="J441" t="str">
        <f t="shared" ca="1" si="19"/>
        <v/>
      </c>
      <c r="K441" t="e">
        <f t="shared" ca="1" si="20"/>
        <v>#VALUE!</v>
      </c>
      <c r="L441">
        <f>IF($A441="","",IF($E441&lt;&gt;"",0,IF(COUNTIFS(個体台帳!$A:$A,$B441,個体台帳!$E:$E,"&lt;&gt;貸出中")&gt;0,1,0)))</f>
        <v>1</v>
      </c>
      <c r="M441">
        <f>IF($A441="","",IF($E441&lt;&gt;"",0,IF(COUNTIFS(個体台帳!$A:$A,$B441,個体台帳!$E:$E,"廃棄")&gt;0,1,0)))</f>
        <v>0</v>
      </c>
    </row>
    <row r="442" spans="1:13">
      <c r="A442" t="s">
        <v>993</v>
      </c>
      <c r="B442" t="s">
        <v>6</v>
      </c>
      <c r="C442" t="s">
        <v>6</v>
      </c>
      <c r="D442" s="12" t="s">
        <v>6</v>
      </c>
      <c r="E442" s="11" t="s">
        <v>6</v>
      </c>
      <c r="F442" s="16" t="s">
        <v>6</v>
      </c>
      <c r="G442" t="s">
        <v>6</v>
      </c>
      <c r="H442" t="s">
        <v>6</v>
      </c>
      <c r="I442">
        <f t="shared" si="18"/>
        <v>1</v>
      </c>
      <c r="J442" t="str">
        <f t="shared" ca="1" si="19"/>
        <v/>
      </c>
      <c r="K442" t="e">
        <f t="shared" ca="1" si="20"/>
        <v>#VALUE!</v>
      </c>
      <c r="L442">
        <f>IF($A442="","",IF($E442&lt;&gt;"",0,IF(COUNTIFS(個体台帳!$A:$A,$B442,個体台帳!$E:$E,"&lt;&gt;貸出中")&gt;0,1,0)))</f>
        <v>1</v>
      </c>
      <c r="M442">
        <f>IF($A442="","",IF($E442&lt;&gt;"",0,IF(COUNTIFS(個体台帳!$A:$A,$B442,個体台帳!$E:$E,"廃棄")&gt;0,1,0)))</f>
        <v>0</v>
      </c>
    </row>
    <row r="443" spans="1:13">
      <c r="A443" t="s">
        <v>994</v>
      </c>
      <c r="B443" t="s">
        <v>6</v>
      </c>
      <c r="C443" t="s">
        <v>6</v>
      </c>
      <c r="D443" s="12" t="s">
        <v>6</v>
      </c>
      <c r="E443" s="11" t="s">
        <v>6</v>
      </c>
      <c r="F443" s="16" t="s">
        <v>6</v>
      </c>
      <c r="G443" t="s">
        <v>6</v>
      </c>
      <c r="H443" t="s">
        <v>6</v>
      </c>
      <c r="I443">
        <f t="shared" si="18"/>
        <v>1</v>
      </c>
      <c r="J443" t="str">
        <f t="shared" ca="1" si="19"/>
        <v/>
      </c>
      <c r="K443" t="e">
        <f t="shared" ca="1" si="20"/>
        <v>#VALUE!</v>
      </c>
      <c r="L443">
        <f>IF($A443="","",IF($E443&lt;&gt;"",0,IF(COUNTIFS(個体台帳!$A:$A,$B443,個体台帳!$E:$E,"&lt;&gt;貸出中")&gt;0,1,0)))</f>
        <v>1</v>
      </c>
      <c r="M443">
        <f>IF($A443="","",IF($E443&lt;&gt;"",0,IF(COUNTIFS(個体台帳!$A:$A,$B443,個体台帳!$E:$E,"廃棄")&gt;0,1,0)))</f>
        <v>0</v>
      </c>
    </row>
    <row r="444" spans="1:13">
      <c r="A444" t="s">
        <v>995</v>
      </c>
      <c r="B444" t="s">
        <v>6</v>
      </c>
      <c r="C444" t="s">
        <v>6</v>
      </c>
      <c r="D444" s="12" t="s">
        <v>6</v>
      </c>
      <c r="E444" s="11" t="s">
        <v>6</v>
      </c>
      <c r="F444" s="16" t="s">
        <v>6</v>
      </c>
      <c r="G444" t="s">
        <v>6</v>
      </c>
      <c r="H444" t="s">
        <v>6</v>
      </c>
      <c r="I444">
        <f t="shared" si="18"/>
        <v>1</v>
      </c>
      <c r="J444" t="str">
        <f t="shared" ca="1" si="19"/>
        <v/>
      </c>
      <c r="K444" t="e">
        <f t="shared" ca="1" si="20"/>
        <v>#VALUE!</v>
      </c>
      <c r="L444">
        <f>IF($A444="","",IF($E444&lt;&gt;"",0,IF(COUNTIFS(個体台帳!$A:$A,$B444,個体台帳!$E:$E,"&lt;&gt;貸出中")&gt;0,1,0)))</f>
        <v>1</v>
      </c>
      <c r="M444">
        <f>IF($A444="","",IF($E444&lt;&gt;"",0,IF(COUNTIFS(個体台帳!$A:$A,$B444,個体台帳!$E:$E,"廃棄")&gt;0,1,0)))</f>
        <v>0</v>
      </c>
    </row>
    <row r="445" spans="1:13">
      <c r="A445" t="s">
        <v>996</v>
      </c>
      <c r="B445" t="s">
        <v>6</v>
      </c>
      <c r="C445" t="s">
        <v>6</v>
      </c>
      <c r="D445" s="12" t="s">
        <v>6</v>
      </c>
      <c r="E445" s="11" t="s">
        <v>6</v>
      </c>
      <c r="F445" s="16" t="s">
        <v>6</v>
      </c>
      <c r="G445" t="s">
        <v>6</v>
      </c>
      <c r="H445" t="s">
        <v>6</v>
      </c>
      <c r="I445">
        <f t="shared" si="18"/>
        <v>1</v>
      </c>
      <c r="J445" t="str">
        <f t="shared" ca="1" si="19"/>
        <v/>
      </c>
      <c r="K445" t="e">
        <f t="shared" ca="1" si="20"/>
        <v>#VALUE!</v>
      </c>
      <c r="L445">
        <f>IF($A445="","",IF($E445&lt;&gt;"",0,IF(COUNTIFS(個体台帳!$A:$A,$B445,個体台帳!$E:$E,"&lt;&gt;貸出中")&gt;0,1,0)))</f>
        <v>1</v>
      </c>
      <c r="M445">
        <f>IF($A445="","",IF($E445&lt;&gt;"",0,IF(COUNTIFS(個体台帳!$A:$A,$B445,個体台帳!$E:$E,"廃棄")&gt;0,1,0)))</f>
        <v>0</v>
      </c>
    </row>
    <row r="446" spans="1:13">
      <c r="A446" t="s">
        <v>997</v>
      </c>
      <c r="B446" t="s">
        <v>6</v>
      </c>
      <c r="C446" t="s">
        <v>6</v>
      </c>
      <c r="D446" s="12" t="s">
        <v>6</v>
      </c>
      <c r="E446" s="11" t="s">
        <v>6</v>
      </c>
      <c r="F446" s="16" t="s">
        <v>6</v>
      </c>
      <c r="G446" t="s">
        <v>6</v>
      </c>
      <c r="H446" t="s">
        <v>6</v>
      </c>
      <c r="I446">
        <f t="shared" si="18"/>
        <v>1</v>
      </c>
      <c r="J446" t="str">
        <f t="shared" ca="1" si="19"/>
        <v/>
      </c>
      <c r="K446" t="e">
        <f t="shared" ca="1" si="20"/>
        <v>#VALUE!</v>
      </c>
      <c r="L446">
        <f>IF($A446="","",IF($E446&lt;&gt;"",0,IF(COUNTIFS(個体台帳!$A:$A,$B446,個体台帳!$E:$E,"&lt;&gt;貸出中")&gt;0,1,0)))</f>
        <v>1</v>
      </c>
      <c r="M446">
        <f>IF($A446="","",IF($E446&lt;&gt;"",0,IF(COUNTIFS(個体台帳!$A:$A,$B446,個体台帳!$E:$E,"廃棄")&gt;0,1,0)))</f>
        <v>0</v>
      </c>
    </row>
    <row r="447" spans="1:13">
      <c r="A447" t="s">
        <v>998</v>
      </c>
      <c r="B447" t="s">
        <v>6</v>
      </c>
      <c r="C447" t="s">
        <v>6</v>
      </c>
      <c r="D447" s="12" t="s">
        <v>6</v>
      </c>
      <c r="E447" s="11" t="s">
        <v>6</v>
      </c>
      <c r="F447" s="16" t="s">
        <v>6</v>
      </c>
      <c r="G447" t="s">
        <v>6</v>
      </c>
      <c r="H447" t="s">
        <v>6</v>
      </c>
      <c r="I447">
        <f t="shared" si="18"/>
        <v>1</v>
      </c>
      <c r="J447" t="str">
        <f t="shared" ca="1" si="19"/>
        <v/>
      </c>
      <c r="K447" t="e">
        <f t="shared" ca="1" si="20"/>
        <v>#VALUE!</v>
      </c>
      <c r="L447">
        <f>IF($A447="","",IF($E447&lt;&gt;"",0,IF(COUNTIFS(個体台帳!$A:$A,$B447,個体台帳!$E:$E,"&lt;&gt;貸出中")&gt;0,1,0)))</f>
        <v>1</v>
      </c>
      <c r="M447">
        <f>IF($A447="","",IF($E447&lt;&gt;"",0,IF(COUNTIFS(個体台帳!$A:$A,$B447,個体台帳!$E:$E,"廃棄")&gt;0,1,0)))</f>
        <v>0</v>
      </c>
    </row>
    <row r="448" spans="1:13">
      <c r="A448" t="s">
        <v>999</v>
      </c>
      <c r="B448" t="s">
        <v>6</v>
      </c>
      <c r="C448" t="s">
        <v>6</v>
      </c>
      <c r="D448" s="12" t="s">
        <v>6</v>
      </c>
      <c r="E448" s="11" t="s">
        <v>6</v>
      </c>
      <c r="F448" s="16" t="s">
        <v>6</v>
      </c>
      <c r="G448" t="s">
        <v>6</v>
      </c>
      <c r="H448" t="s">
        <v>6</v>
      </c>
      <c r="I448">
        <f t="shared" si="18"/>
        <v>1</v>
      </c>
      <c r="J448" t="str">
        <f t="shared" ca="1" si="19"/>
        <v/>
      </c>
      <c r="K448" t="e">
        <f t="shared" ca="1" si="20"/>
        <v>#VALUE!</v>
      </c>
      <c r="L448">
        <f>IF($A448="","",IF($E448&lt;&gt;"",0,IF(COUNTIFS(個体台帳!$A:$A,$B448,個体台帳!$E:$E,"&lt;&gt;貸出中")&gt;0,1,0)))</f>
        <v>1</v>
      </c>
      <c r="M448">
        <f>IF($A448="","",IF($E448&lt;&gt;"",0,IF(COUNTIFS(個体台帳!$A:$A,$B448,個体台帳!$E:$E,"廃棄")&gt;0,1,0)))</f>
        <v>0</v>
      </c>
    </row>
    <row r="449" spans="1:13">
      <c r="A449" t="s">
        <v>1000</v>
      </c>
      <c r="B449" t="s">
        <v>6</v>
      </c>
      <c r="C449" t="s">
        <v>6</v>
      </c>
      <c r="D449" s="12" t="s">
        <v>6</v>
      </c>
      <c r="E449" s="11" t="s">
        <v>6</v>
      </c>
      <c r="F449" s="16" t="s">
        <v>6</v>
      </c>
      <c r="G449" t="s">
        <v>6</v>
      </c>
      <c r="H449" t="s">
        <v>6</v>
      </c>
      <c r="I449">
        <f t="shared" si="18"/>
        <v>1</v>
      </c>
      <c r="J449" t="str">
        <f t="shared" ca="1" si="19"/>
        <v/>
      </c>
      <c r="K449" t="e">
        <f t="shared" ca="1" si="20"/>
        <v>#VALUE!</v>
      </c>
      <c r="L449">
        <f>IF($A449="","",IF($E449&lt;&gt;"",0,IF(COUNTIFS(個体台帳!$A:$A,$B449,個体台帳!$E:$E,"&lt;&gt;貸出中")&gt;0,1,0)))</f>
        <v>1</v>
      </c>
      <c r="M449">
        <f>IF($A449="","",IF($E449&lt;&gt;"",0,IF(COUNTIFS(個体台帳!$A:$A,$B449,個体台帳!$E:$E,"廃棄")&gt;0,1,0)))</f>
        <v>0</v>
      </c>
    </row>
    <row r="450" spans="1:13">
      <c r="A450" t="s">
        <v>1001</v>
      </c>
      <c r="B450" t="s">
        <v>6</v>
      </c>
      <c r="C450" t="s">
        <v>6</v>
      </c>
      <c r="D450" s="12" t="s">
        <v>6</v>
      </c>
      <c r="E450" s="11" t="s">
        <v>6</v>
      </c>
      <c r="F450" s="16" t="s">
        <v>6</v>
      </c>
      <c r="G450" t="s">
        <v>6</v>
      </c>
      <c r="H450" t="s">
        <v>6</v>
      </c>
      <c r="I450">
        <f t="shared" ref="I450:I500" si="21">IF($A450="","",--($E450=""))</f>
        <v>1</v>
      </c>
      <c r="J450" t="str">
        <f t="shared" ref="J450:J500" ca="1" si="22">IF($D450="","",TODAY()-$D450)</f>
        <v/>
      </c>
      <c r="K450" t="e">
        <f t="shared" ref="K450:K500" ca="1" si="23">IF($A450="","",IF(AND($E450="", $D450&lt;&gt;"", TODAY()-$D450&gt;=31),1,0))</f>
        <v>#VALUE!</v>
      </c>
      <c r="L450">
        <f>IF($A450="","",IF($E450&lt;&gt;"",0,IF(COUNTIFS(個体台帳!$A:$A,$B450,個体台帳!$E:$E,"&lt;&gt;貸出中")&gt;0,1,0)))</f>
        <v>1</v>
      </c>
      <c r="M450">
        <f>IF($A450="","",IF($E450&lt;&gt;"",0,IF(COUNTIFS(個体台帳!$A:$A,$B450,個体台帳!$E:$E,"廃棄")&gt;0,1,0)))</f>
        <v>0</v>
      </c>
    </row>
    <row r="451" spans="1:13">
      <c r="A451" t="s">
        <v>1002</v>
      </c>
      <c r="B451" t="s">
        <v>6</v>
      </c>
      <c r="C451" t="s">
        <v>6</v>
      </c>
      <c r="D451" s="12" t="s">
        <v>6</v>
      </c>
      <c r="E451" s="11" t="s">
        <v>6</v>
      </c>
      <c r="F451" s="16" t="s">
        <v>6</v>
      </c>
      <c r="G451" t="s">
        <v>6</v>
      </c>
      <c r="H451" t="s">
        <v>6</v>
      </c>
      <c r="I451">
        <f t="shared" si="21"/>
        <v>1</v>
      </c>
      <c r="J451" t="str">
        <f t="shared" ca="1" si="22"/>
        <v/>
      </c>
      <c r="K451" t="e">
        <f t="shared" ca="1" si="23"/>
        <v>#VALUE!</v>
      </c>
      <c r="L451">
        <f>IF($A451="","",IF($E451&lt;&gt;"",0,IF(COUNTIFS(個体台帳!$A:$A,$B451,個体台帳!$E:$E,"&lt;&gt;貸出中")&gt;0,1,0)))</f>
        <v>1</v>
      </c>
      <c r="M451">
        <f>IF($A451="","",IF($E451&lt;&gt;"",0,IF(COUNTIFS(個体台帳!$A:$A,$B451,個体台帳!$E:$E,"廃棄")&gt;0,1,0)))</f>
        <v>0</v>
      </c>
    </row>
    <row r="452" spans="1:13">
      <c r="A452" t="s">
        <v>1003</v>
      </c>
      <c r="B452" t="s">
        <v>6</v>
      </c>
      <c r="C452" t="s">
        <v>6</v>
      </c>
      <c r="D452" s="12" t="s">
        <v>6</v>
      </c>
      <c r="E452" s="11" t="s">
        <v>6</v>
      </c>
      <c r="F452" s="16" t="s">
        <v>6</v>
      </c>
      <c r="G452" t="s">
        <v>6</v>
      </c>
      <c r="H452" t="s">
        <v>6</v>
      </c>
      <c r="I452">
        <f t="shared" si="21"/>
        <v>1</v>
      </c>
      <c r="J452" t="str">
        <f t="shared" ca="1" si="22"/>
        <v/>
      </c>
      <c r="K452" t="e">
        <f t="shared" ca="1" si="23"/>
        <v>#VALUE!</v>
      </c>
      <c r="L452">
        <f>IF($A452="","",IF($E452&lt;&gt;"",0,IF(COUNTIFS(個体台帳!$A:$A,$B452,個体台帳!$E:$E,"&lt;&gt;貸出中")&gt;0,1,0)))</f>
        <v>1</v>
      </c>
      <c r="M452">
        <f>IF($A452="","",IF($E452&lt;&gt;"",0,IF(COUNTIFS(個体台帳!$A:$A,$B452,個体台帳!$E:$E,"廃棄")&gt;0,1,0)))</f>
        <v>0</v>
      </c>
    </row>
    <row r="453" spans="1:13">
      <c r="A453" t="s">
        <v>1004</v>
      </c>
      <c r="B453" t="s">
        <v>6</v>
      </c>
      <c r="C453" t="s">
        <v>6</v>
      </c>
      <c r="D453" s="12" t="s">
        <v>6</v>
      </c>
      <c r="E453" s="11" t="s">
        <v>6</v>
      </c>
      <c r="F453" s="16" t="s">
        <v>6</v>
      </c>
      <c r="G453" t="s">
        <v>6</v>
      </c>
      <c r="H453" t="s">
        <v>6</v>
      </c>
      <c r="I453">
        <f t="shared" si="21"/>
        <v>1</v>
      </c>
      <c r="J453" t="str">
        <f t="shared" ca="1" si="22"/>
        <v/>
      </c>
      <c r="K453" t="e">
        <f t="shared" ca="1" si="23"/>
        <v>#VALUE!</v>
      </c>
      <c r="L453">
        <f>IF($A453="","",IF($E453&lt;&gt;"",0,IF(COUNTIFS(個体台帳!$A:$A,$B453,個体台帳!$E:$E,"&lt;&gt;貸出中")&gt;0,1,0)))</f>
        <v>1</v>
      </c>
      <c r="M453">
        <f>IF($A453="","",IF($E453&lt;&gt;"",0,IF(COUNTIFS(個体台帳!$A:$A,$B453,個体台帳!$E:$E,"廃棄")&gt;0,1,0)))</f>
        <v>0</v>
      </c>
    </row>
    <row r="454" spans="1:13">
      <c r="A454" t="s">
        <v>1005</v>
      </c>
      <c r="B454" t="s">
        <v>6</v>
      </c>
      <c r="C454" t="s">
        <v>6</v>
      </c>
      <c r="D454" s="12" t="s">
        <v>6</v>
      </c>
      <c r="E454" s="11" t="s">
        <v>6</v>
      </c>
      <c r="F454" s="16" t="s">
        <v>6</v>
      </c>
      <c r="G454" t="s">
        <v>6</v>
      </c>
      <c r="H454" t="s">
        <v>6</v>
      </c>
      <c r="I454">
        <f t="shared" si="21"/>
        <v>1</v>
      </c>
      <c r="J454" t="str">
        <f t="shared" ca="1" si="22"/>
        <v/>
      </c>
      <c r="K454" t="e">
        <f t="shared" ca="1" si="23"/>
        <v>#VALUE!</v>
      </c>
      <c r="L454">
        <f>IF($A454="","",IF($E454&lt;&gt;"",0,IF(COUNTIFS(個体台帳!$A:$A,$B454,個体台帳!$E:$E,"&lt;&gt;貸出中")&gt;0,1,0)))</f>
        <v>1</v>
      </c>
      <c r="M454">
        <f>IF($A454="","",IF($E454&lt;&gt;"",0,IF(COUNTIFS(個体台帳!$A:$A,$B454,個体台帳!$E:$E,"廃棄")&gt;0,1,0)))</f>
        <v>0</v>
      </c>
    </row>
    <row r="455" spans="1:13">
      <c r="A455" t="s">
        <v>1006</v>
      </c>
      <c r="B455" t="s">
        <v>6</v>
      </c>
      <c r="C455" t="s">
        <v>6</v>
      </c>
      <c r="D455" s="12" t="s">
        <v>6</v>
      </c>
      <c r="E455" s="11" t="s">
        <v>6</v>
      </c>
      <c r="F455" s="16" t="s">
        <v>6</v>
      </c>
      <c r="G455" t="s">
        <v>6</v>
      </c>
      <c r="H455" t="s">
        <v>6</v>
      </c>
      <c r="I455">
        <f t="shared" si="21"/>
        <v>1</v>
      </c>
      <c r="J455" t="str">
        <f t="shared" ca="1" si="22"/>
        <v/>
      </c>
      <c r="K455" t="e">
        <f t="shared" ca="1" si="23"/>
        <v>#VALUE!</v>
      </c>
      <c r="L455">
        <f>IF($A455="","",IF($E455&lt;&gt;"",0,IF(COUNTIFS(個体台帳!$A:$A,$B455,個体台帳!$E:$E,"&lt;&gt;貸出中")&gt;0,1,0)))</f>
        <v>1</v>
      </c>
      <c r="M455">
        <f>IF($A455="","",IF($E455&lt;&gt;"",0,IF(COUNTIFS(個体台帳!$A:$A,$B455,個体台帳!$E:$E,"廃棄")&gt;0,1,0)))</f>
        <v>0</v>
      </c>
    </row>
    <row r="456" spans="1:13">
      <c r="A456" t="s">
        <v>1007</v>
      </c>
      <c r="B456" t="s">
        <v>6</v>
      </c>
      <c r="C456" t="s">
        <v>6</v>
      </c>
      <c r="D456" s="12" t="s">
        <v>6</v>
      </c>
      <c r="E456" s="11" t="s">
        <v>6</v>
      </c>
      <c r="F456" s="16" t="s">
        <v>6</v>
      </c>
      <c r="G456" t="s">
        <v>6</v>
      </c>
      <c r="H456" t="s">
        <v>6</v>
      </c>
      <c r="I456">
        <f t="shared" si="21"/>
        <v>1</v>
      </c>
      <c r="J456" t="str">
        <f t="shared" ca="1" si="22"/>
        <v/>
      </c>
      <c r="K456" t="e">
        <f t="shared" ca="1" si="23"/>
        <v>#VALUE!</v>
      </c>
      <c r="L456">
        <f>IF($A456="","",IF($E456&lt;&gt;"",0,IF(COUNTIFS(個体台帳!$A:$A,$B456,個体台帳!$E:$E,"&lt;&gt;貸出中")&gt;0,1,0)))</f>
        <v>1</v>
      </c>
      <c r="M456">
        <f>IF($A456="","",IF($E456&lt;&gt;"",0,IF(COUNTIFS(個体台帳!$A:$A,$B456,個体台帳!$E:$E,"廃棄")&gt;0,1,0)))</f>
        <v>0</v>
      </c>
    </row>
    <row r="457" spans="1:13">
      <c r="A457" t="s">
        <v>1008</v>
      </c>
      <c r="B457" t="s">
        <v>6</v>
      </c>
      <c r="C457" t="s">
        <v>6</v>
      </c>
      <c r="D457" s="12" t="s">
        <v>6</v>
      </c>
      <c r="E457" s="11" t="s">
        <v>6</v>
      </c>
      <c r="F457" s="16" t="s">
        <v>6</v>
      </c>
      <c r="G457" t="s">
        <v>6</v>
      </c>
      <c r="H457" t="s">
        <v>6</v>
      </c>
      <c r="I457">
        <f t="shared" si="21"/>
        <v>1</v>
      </c>
      <c r="J457" t="str">
        <f t="shared" ca="1" si="22"/>
        <v/>
      </c>
      <c r="K457" t="e">
        <f t="shared" ca="1" si="23"/>
        <v>#VALUE!</v>
      </c>
      <c r="L457">
        <f>IF($A457="","",IF($E457&lt;&gt;"",0,IF(COUNTIFS(個体台帳!$A:$A,$B457,個体台帳!$E:$E,"&lt;&gt;貸出中")&gt;0,1,0)))</f>
        <v>1</v>
      </c>
      <c r="M457">
        <f>IF($A457="","",IF($E457&lt;&gt;"",0,IF(COUNTIFS(個体台帳!$A:$A,$B457,個体台帳!$E:$E,"廃棄")&gt;0,1,0)))</f>
        <v>0</v>
      </c>
    </row>
    <row r="458" spans="1:13">
      <c r="A458" t="s">
        <v>1009</v>
      </c>
      <c r="B458" t="s">
        <v>6</v>
      </c>
      <c r="C458" t="s">
        <v>6</v>
      </c>
      <c r="D458" s="12" t="s">
        <v>6</v>
      </c>
      <c r="E458" s="11" t="s">
        <v>6</v>
      </c>
      <c r="F458" s="16" t="s">
        <v>6</v>
      </c>
      <c r="G458" t="s">
        <v>6</v>
      </c>
      <c r="H458" t="s">
        <v>6</v>
      </c>
      <c r="I458">
        <f t="shared" si="21"/>
        <v>1</v>
      </c>
      <c r="J458" t="str">
        <f t="shared" ca="1" si="22"/>
        <v/>
      </c>
      <c r="K458" t="e">
        <f t="shared" ca="1" si="23"/>
        <v>#VALUE!</v>
      </c>
      <c r="L458">
        <f>IF($A458="","",IF($E458&lt;&gt;"",0,IF(COUNTIFS(個体台帳!$A:$A,$B458,個体台帳!$E:$E,"&lt;&gt;貸出中")&gt;0,1,0)))</f>
        <v>1</v>
      </c>
      <c r="M458">
        <f>IF($A458="","",IF($E458&lt;&gt;"",0,IF(COUNTIFS(個体台帳!$A:$A,$B458,個体台帳!$E:$E,"廃棄")&gt;0,1,0)))</f>
        <v>0</v>
      </c>
    </row>
    <row r="459" spans="1:13">
      <c r="A459" t="s">
        <v>1010</v>
      </c>
      <c r="B459" t="s">
        <v>6</v>
      </c>
      <c r="C459" t="s">
        <v>6</v>
      </c>
      <c r="D459" s="12" t="s">
        <v>6</v>
      </c>
      <c r="E459" s="11" t="s">
        <v>6</v>
      </c>
      <c r="F459" s="16" t="s">
        <v>6</v>
      </c>
      <c r="G459" t="s">
        <v>6</v>
      </c>
      <c r="H459" t="s">
        <v>6</v>
      </c>
      <c r="I459">
        <f t="shared" si="21"/>
        <v>1</v>
      </c>
      <c r="J459" t="str">
        <f t="shared" ca="1" si="22"/>
        <v/>
      </c>
      <c r="K459" t="e">
        <f t="shared" ca="1" si="23"/>
        <v>#VALUE!</v>
      </c>
      <c r="L459">
        <f>IF($A459="","",IF($E459&lt;&gt;"",0,IF(COUNTIFS(個体台帳!$A:$A,$B459,個体台帳!$E:$E,"&lt;&gt;貸出中")&gt;0,1,0)))</f>
        <v>1</v>
      </c>
      <c r="M459">
        <f>IF($A459="","",IF($E459&lt;&gt;"",0,IF(COUNTIFS(個体台帳!$A:$A,$B459,個体台帳!$E:$E,"廃棄")&gt;0,1,0)))</f>
        <v>0</v>
      </c>
    </row>
    <row r="460" spans="1:13">
      <c r="A460" t="s">
        <v>1011</v>
      </c>
      <c r="B460" t="s">
        <v>6</v>
      </c>
      <c r="C460" t="s">
        <v>6</v>
      </c>
      <c r="D460" s="12" t="s">
        <v>6</v>
      </c>
      <c r="E460" s="11" t="s">
        <v>6</v>
      </c>
      <c r="F460" s="16" t="s">
        <v>6</v>
      </c>
      <c r="G460" t="s">
        <v>6</v>
      </c>
      <c r="H460" t="s">
        <v>6</v>
      </c>
      <c r="I460">
        <f t="shared" si="21"/>
        <v>1</v>
      </c>
      <c r="J460" t="str">
        <f t="shared" ca="1" si="22"/>
        <v/>
      </c>
      <c r="K460" t="e">
        <f t="shared" ca="1" si="23"/>
        <v>#VALUE!</v>
      </c>
      <c r="L460">
        <f>IF($A460="","",IF($E460&lt;&gt;"",0,IF(COUNTIFS(個体台帳!$A:$A,$B460,個体台帳!$E:$E,"&lt;&gt;貸出中")&gt;0,1,0)))</f>
        <v>1</v>
      </c>
      <c r="M460">
        <f>IF($A460="","",IF($E460&lt;&gt;"",0,IF(COUNTIFS(個体台帳!$A:$A,$B460,個体台帳!$E:$E,"廃棄")&gt;0,1,0)))</f>
        <v>0</v>
      </c>
    </row>
    <row r="461" spans="1:13">
      <c r="A461" t="s">
        <v>1012</v>
      </c>
      <c r="B461" t="s">
        <v>6</v>
      </c>
      <c r="C461" t="s">
        <v>6</v>
      </c>
      <c r="D461" s="12" t="s">
        <v>6</v>
      </c>
      <c r="E461" s="11" t="s">
        <v>6</v>
      </c>
      <c r="F461" s="16" t="s">
        <v>6</v>
      </c>
      <c r="G461" t="s">
        <v>6</v>
      </c>
      <c r="H461" t="s">
        <v>6</v>
      </c>
      <c r="I461">
        <f t="shared" si="21"/>
        <v>1</v>
      </c>
      <c r="J461" t="str">
        <f t="shared" ca="1" si="22"/>
        <v/>
      </c>
      <c r="K461" t="e">
        <f t="shared" ca="1" si="23"/>
        <v>#VALUE!</v>
      </c>
      <c r="L461">
        <f>IF($A461="","",IF($E461&lt;&gt;"",0,IF(COUNTIFS(個体台帳!$A:$A,$B461,個体台帳!$E:$E,"&lt;&gt;貸出中")&gt;0,1,0)))</f>
        <v>1</v>
      </c>
      <c r="M461">
        <f>IF($A461="","",IF($E461&lt;&gt;"",0,IF(COUNTIFS(個体台帳!$A:$A,$B461,個体台帳!$E:$E,"廃棄")&gt;0,1,0)))</f>
        <v>0</v>
      </c>
    </row>
    <row r="462" spans="1:13">
      <c r="A462" t="s">
        <v>1013</v>
      </c>
      <c r="B462" t="s">
        <v>6</v>
      </c>
      <c r="C462" t="s">
        <v>6</v>
      </c>
      <c r="D462" s="12" t="s">
        <v>6</v>
      </c>
      <c r="E462" s="11" t="s">
        <v>6</v>
      </c>
      <c r="F462" s="16" t="s">
        <v>6</v>
      </c>
      <c r="G462" t="s">
        <v>6</v>
      </c>
      <c r="H462" t="s">
        <v>6</v>
      </c>
      <c r="I462">
        <f t="shared" si="21"/>
        <v>1</v>
      </c>
      <c r="J462" t="str">
        <f t="shared" ca="1" si="22"/>
        <v/>
      </c>
      <c r="K462" t="e">
        <f t="shared" ca="1" si="23"/>
        <v>#VALUE!</v>
      </c>
      <c r="L462">
        <f>IF($A462="","",IF($E462&lt;&gt;"",0,IF(COUNTIFS(個体台帳!$A:$A,$B462,個体台帳!$E:$E,"&lt;&gt;貸出中")&gt;0,1,0)))</f>
        <v>1</v>
      </c>
      <c r="M462">
        <f>IF($A462="","",IF($E462&lt;&gt;"",0,IF(COUNTIFS(個体台帳!$A:$A,$B462,個体台帳!$E:$E,"廃棄")&gt;0,1,0)))</f>
        <v>0</v>
      </c>
    </row>
    <row r="463" spans="1:13">
      <c r="A463" t="s">
        <v>1014</v>
      </c>
      <c r="B463" t="s">
        <v>6</v>
      </c>
      <c r="C463" t="s">
        <v>6</v>
      </c>
      <c r="D463" s="12" t="s">
        <v>6</v>
      </c>
      <c r="E463" s="11" t="s">
        <v>6</v>
      </c>
      <c r="F463" s="16" t="s">
        <v>6</v>
      </c>
      <c r="G463" t="s">
        <v>6</v>
      </c>
      <c r="H463" t="s">
        <v>6</v>
      </c>
      <c r="I463">
        <f t="shared" si="21"/>
        <v>1</v>
      </c>
      <c r="J463" t="str">
        <f t="shared" ca="1" si="22"/>
        <v/>
      </c>
      <c r="K463" t="e">
        <f t="shared" ca="1" si="23"/>
        <v>#VALUE!</v>
      </c>
      <c r="L463">
        <f>IF($A463="","",IF($E463&lt;&gt;"",0,IF(COUNTIFS(個体台帳!$A:$A,$B463,個体台帳!$E:$E,"&lt;&gt;貸出中")&gt;0,1,0)))</f>
        <v>1</v>
      </c>
      <c r="M463">
        <f>IF($A463="","",IF($E463&lt;&gt;"",0,IF(COUNTIFS(個体台帳!$A:$A,$B463,個体台帳!$E:$E,"廃棄")&gt;0,1,0)))</f>
        <v>0</v>
      </c>
    </row>
    <row r="464" spans="1:13">
      <c r="A464" t="s">
        <v>1015</v>
      </c>
      <c r="B464" t="s">
        <v>6</v>
      </c>
      <c r="C464" t="s">
        <v>6</v>
      </c>
      <c r="D464" s="12" t="s">
        <v>6</v>
      </c>
      <c r="E464" s="11" t="s">
        <v>6</v>
      </c>
      <c r="F464" s="16" t="s">
        <v>6</v>
      </c>
      <c r="G464" t="s">
        <v>6</v>
      </c>
      <c r="H464" t="s">
        <v>6</v>
      </c>
      <c r="I464">
        <f t="shared" si="21"/>
        <v>1</v>
      </c>
      <c r="J464" t="str">
        <f t="shared" ca="1" si="22"/>
        <v/>
      </c>
      <c r="K464" t="e">
        <f t="shared" ca="1" si="23"/>
        <v>#VALUE!</v>
      </c>
      <c r="L464">
        <f>IF($A464="","",IF($E464&lt;&gt;"",0,IF(COUNTIFS(個体台帳!$A:$A,$B464,個体台帳!$E:$E,"&lt;&gt;貸出中")&gt;0,1,0)))</f>
        <v>1</v>
      </c>
      <c r="M464">
        <f>IF($A464="","",IF($E464&lt;&gt;"",0,IF(COUNTIFS(個体台帳!$A:$A,$B464,個体台帳!$E:$E,"廃棄")&gt;0,1,0)))</f>
        <v>0</v>
      </c>
    </row>
    <row r="465" spans="1:13">
      <c r="A465" t="s">
        <v>1016</v>
      </c>
      <c r="B465" t="s">
        <v>6</v>
      </c>
      <c r="C465" t="s">
        <v>6</v>
      </c>
      <c r="D465" s="12" t="s">
        <v>6</v>
      </c>
      <c r="E465" s="11" t="s">
        <v>6</v>
      </c>
      <c r="F465" s="16" t="s">
        <v>6</v>
      </c>
      <c r="G465" t="s">
        <v>6</v>
      </c>
      <c r="H465" t="s">
        <v>6</v>
      </c>
      <c r="I465">
        <f t="shared" si="21"/>
        <v>1</v>
      </c>
      <c r="J465" t="str">
        <f t="shared" ca="1" si="22"/>
        <v/>
      </c>
      <c r="K465" t="e">
        <f t="shared" ca="1" si="23"/>
        <v>#VALUE!</v>
      </c>
      <c r="L465">
        <f>IF($A465="","",IF($E465&lt;&gt;"",0,IF(COUNTIFS(個体台帳!$A:$A,$B465,個体台帳!$E:$E,"&lt;&gt;貸出中")&gt;0,1,0)))</f>
        <v>1</v>
      </c>
      <c r="M465">
        <f>IF($A465="","",IF($E465&lt;&gt;"",0,IF(COUNTIFS(個体台帳!$A:$A,$B465,個体台帳!$E:$E,"廃棄")&gt;0,1,0)))</f>
        <v>0</v>
      </c>
    </row>
    <row r="466" spans="1:13">
      <c r="A466" t="s">
        <v>1017</v>
      </c>
      <c r="B466" t="s">
        <v>6</v>
      </c>
      <c r="C466" t="s">
        <v>6</v>
      </c>
      <c r="D466" s="12" t="s">
        <v>6</v>
      </c>
      <c r="E466" s="11" t="s">
        <v>6</v>
      </c>
      <c r="F466" s="16" t="s">
        <v>6</v>
      </c>
      <c r="G466" t="s">
        <v>6</v>
      </c>
      <c r="H466" t="s">
        <v>6</v>
      </c>
      <c r="I466">
        <f t="shared" si="21"/>
        <v>1</v>
      </c>
      <c r="J466" t="str">
        <f t="shared" ca="1" si="22"/>
        <v/>
      </c>
      <c r="K466" t="e">
        <f t="shared" ca="1" si="23"/>
        <v>#VALUE!</v>
      </c>
      <c r="L466">
        <f>IF($A466="","",IF($E466&lt;&gt;"",0,IF(COUNTIFS(個体台帳!$A:$A,$B466,個体台帳!$E:$E,"&lt;&gt;貸出中")&gt;0,1,0)))</f>
        <v>1</v>
      </c>
      <c r="M466">
        <f>IF($A466="","",IF($E466&lt;&gt;"",0,IF(COUNTIFS(個体台帳!$A:$A,$B466,個体台帳!$E:$E,"廃棄")&gt;0,1,0)))</f>
        <v>0</v>
      </c>
    </row>
    <row r="467" spans="1:13">
      <c r="A467" t="s">
        <v>1018</v>
      </c>
      <c r="B467" t="s">
        <v>6</v>
      </c>
      <c r="C467" t="s">
        <v>6</v>
      </c>
      <c r="D467" s="12" t="s">
        <v>6</v>
      </c>
      <c r="E467" s="11" t="s">
        <v>6</v>
      </c>
      <c r="F467" s="16" t="s">
        <v>6</v>
      </c>
      <c r="G467" t="s">
        <v>6</v>
      </c>
      <c r="H467" t="s">
        <v>6</v>
      </c>
      <c r="I467">
        <f t="shared" si="21"/>
        <v>1</v>
      </c>
      <c r="J467" t="str">
        <f t="shared" ca="1" si="22"/>
        <v/>
      </c>
      <c r="K467" t="e">
        <f t="shared" ca="1" si="23"/>
        <v>#VALUE!</v>
      </c>
      <c r="L467">
        <f>IF($A467="","",IF($E467&lt;&gt;"",0,IF(COUNTIFS(個体台帳!$A:$A,$B467,個体台帳!$E:$E,"&lt;&gt;貸出中")&gt;0,1,0)))</f>
        <v>1</v>
      </c>
      <c r="M467">
        <f>IF($A467="","",IF($E467&lt;&gt;"",0,IF(COUNTIFS(個体台帳!$A:$A,$B467,個体台帳!$E:$E,"廃棄")&gt;0,1,0)))</f>
        <v>0</v>
      </c>
    </row>
    <row r="468" spans="1:13">
      <c r="A468" t="s">
        <v>1019</v>
      </c>
      <c r="B468" t="s">
        <v>6</v>
      </c>
      <c r="C468" t="s">
        <v>6</v>
      </c>
      <c r="D468" s="12" t="s">
        <v>6</v>
      </c>
      <c r="E468" s="11" t="s">
        <v>6</v>
      </c>
      <c r="F468" s="16" t="s">
        <v>6</v>
      </c>
      <c r="G468" t="s">
        <v>6</v>
      </c>
      <c r="H468" t="s">
        <v>6</v>
      </c>
      <c r="I468">
        <f t="shared" si="21"/>
        <v>1</v>
      </c>
      <c r="J468" t="str">
        <f t="shared" ca="1" si="22"/>
        <v/>
      </c>
      <c r="K468" t="e">
        <f t="shared" ca="1" si="23"/>
        <v>#VALUE!</v>
      </c>
      <c r="L468">
        <f>IF($A468="","",IF($E468&lt;&gt;"",0,IF(COUNTIFS(個体台帳!$A:$A,$B468,個体台帳!$E:$E,"&lt;&gt;貸出中")&gt;0,1,0)))</f>
        <v>1</v>
      </c>
      <c r="M468">
        <f>IF($A468="","",IF($E468&lt;&gt;"",0,IF(COUNTIFS(個体台帳!$A:$A,$B468,個体台帳!$E:$E,"廃棄")&gt;0,1,0)))</f>
        <v>0</v>
      </c>
    </row>
    <row r="469" spans="1:13">
      <c r="A469" t="s">
        <v>1020</v>
      </c>
      <c r="B469" t="s">
        <v>6</v>
      </c>
      <c r="C469" t="s">
        <v>6</v>
      </c>
      <c r="D469" s="12" t="s">
        <v>6</v>
      </c>
      <c r="E469" s="11" t="s">
        <v>6</v>
      </c>
      <c r="F469" s="16" t="s">
        <v>6</v>
      </c>
      <c r="G469" t="s">
        <v>6</v>
      </c>
      <c r="H469" t="s">
        <v>6</v>
      </c>
      <c r="I469">
        <f t="shared" si="21"/>
        <v>1</v>
      </c>
      <c r="J469" t="str">
        <f t="shared" ca="1" si="22"/>
        <v/>
      </c>
      <c r="K469" t="e">
        <f t="shared" ca="1" si="23"/>
        <v>#VALUE!</v>
      </c>
      <c r="L469">
        <f>IF($A469="","",IF($E469&lt;&gt;"",0,IF(COUNTIFS(個体台帳!$A:$A,$B469,個体台帳!$E:$E,"&lt;&gt;貸出中")&gt;0,1,0)))</f>
        <v>1</v>
      </c>
      <c r="M469">
        <f>IF($A469="","",IF($E469&lt;&gt;"",0,IF(COUNTIFS(個体台帳!$A:$A,$B469,個体台帳!$E:$E,"廃棄")&gt;0,1,0)))</f>
        <v>0</v>
      </c>
    </row>
    <row r="470" spans="1:13">
      <c r="A470" t="s">
        <v>1021</v>
      </c>
      <c r="B470" t="s">
        <v>6</v>
      </c>
      <c r="C470" t="s">
        <v>6</v>
      </c>
      <c r="D470" s="12" t="s">
        <v>6</v>
      </c>
      <c r="E470" s="11" t="s">
        <v>6</v>
      </c>
      <c r="F470" s="16" t="s">
        <v>6</v>
      </c>
      <c r="G470" t="s">
        <v>6</v>
      </c>
      <c r="H470" t="s">
        <v>6</v>
      </c>
      <c r="I470">
        <f t="shared" si="21"/>
        <v>1</v>
      </c>
      <c r="J470" t="str">
        <f t="shared" ca="1" si="22"/>
        <v/>
      </c>
      <c r="K470" t="e">
        <f t="shared" ca="1" si="23"/>
        <v>#VALUE!</v>
      </c>
      <c r="L470">
        <f>IF($A470="","",IF($E470&lt;&gt;"",0,IF(COUNTIFS(個体台帳!$A:$A,$B470,個体台帳!$E:$E,"&lt;&gt;貸出中")&gt;0,1,0)))</f>
        <v>1</v>
      </c>
      <c r="M470">
        <f>IF($A470="","",IF($E470&lt;&gt;"",0,IF(COUNTIFS(個体台帳!$A:$A,$B470,個体台帳!$E:$E,"廃棄")&gt;0,1,0)))</f>
        <v>0</v>
      </c>
    </row>
    <row r="471" spans="1:13">
      <c r="A471" t="s">
        <v>1022</v>
      </c>
      <c r="B471" t="s">
        <v>6</v>
      </c>
      <c r="C471" t="s">
        <v>6</v>
      </c>
      <c r="D471" s="12" t="s">
        <v>6</v>
      </c>
      <c r="E471" s="11" t="s">
        <v>6</v>
      </c>
      <c r="F471" s="16" t="s">
        <v>6</v>
      </c>
      <c r="G471" t="s">
        <v>6</v>
      </c>
      <c r="H471" t="s">
        <v>6</v>
      </c>
      <c r="I471">
        <f t="shared" si="21"/>
        <v>1</v>
      </c>
      <c r="J471" t="str">
        <f t="shared" ca="1" si="22"/>
        <v/>
      </c>
      <c r="K471" t="e">
        <f t="shared" ca="1" si="23"/>
        <v>#VALUE!</v>
      </c>
      <c r="L471">
        <f>IF($A471="","",IF($E471&lt;&gt;"",0,IF(COUNTIFS(個体台帳!$A:$A,$B471,個体台帳!$E:$E,"&lt;&gt;貸出中")&gt;0,1,0)))</f>
        <v>1</v>
      </c>
      <c r="M471">
        <f>IF($A471="","",IF($E471&lt;&gt;"",0,IF(COUNTIFS(個体台帳!$A:$A,$B471,個体台帳!$E:$E,"廃棄")&gt;0,1,0)))</f>
        <v>0</v>
      </c>
    </row>
    <row r="472" spans="1:13">
      <c r="A472" t="s">
        <v>1023</v>
      </c>
      <c r="B472" t="s">
        <v>6</v>
      </c>
      <c r="C472" t="s">
        <v>6</v>
      </c>
      <c r="D472" s="12" t="s">
        <v>6</v>
      </c>
      <c r="E472" s="11" t="s">
        <v>6</v>
      </c>
      <c r="F472" s="16" t="s">
        <v>6</v>
      </c>
      <c r="G472" t="s">
        <v>6</v>
      </c>
      <c r="H472" t="s">
        <v>6</v>
      </c>
      <c r="I472">
        <f t="shared" si="21"/>
        <v>1</v>
      </c>
      <c r="J472" t="str">
        <f t="shared" ca="1" si="22"/>
        <v/>
      </c>
      <c r="K472" t="e">
        <f t="shared" ca="1" si="23"/>
        <v>#VALUE!</v>
      </c>
      <c r="L472">
        <f>IF($A472="","",IF($E472&lt;&gt;"",0,IF(COUNTIFS(個体台帳!$A:$A,$B472,個体台帳!$E:$E,"&lt;&gt;貸出中")&gt;0,1,0)))</f>
        <v>1</v>
      </c>
      <c r="M472">
        <f>IF($A472="","",IF($E472&lt;&gt;"",0,IF(COUNTIFS(個体台帳!$A:$A,$B472,個体台帳!$E:$E,"廃棄")&gt;0,1,0)))</f>
        <v>0</v>
      </c>
    </row>
    <row r="473" spans="1:13">
      <c r="A473" t="s">
        <v>1024</v>
      </c>
      <c r="B473" t="s">
        <v>6</v>
      </c>
      <c r="C473" t="s">
        <v>6</v>
      </c>
      <c r="D473" s="12" t="s">
        <v>6</v>
      </c>
      <c r="E473" s="11" t="s">
        <v>6</v>
      </c>
      <c r="F473" s="16" t="s">
        <v>6</v>
      </c>
      <c r="G473" t="s">
        <v>6</v>
      </c>
      <c r="H473" t="s">
        <v>6</v>
      </c>
      <c r="I473">
        <f t="shared" si="21"/>
        <v>1</v>
      </c>
      <c r="J473" t="str">
        <f t="shared" ca="1" si="22"/>
        <v/>
      </c>
      <c r="K473" t="e">
        <f t="shared" ca="1" si="23"/>
        <v>#VALUE!</v>
      </c>
      <c r="L473">
        <f>IF($A473="","",IF($E473&lt;&gt;"",0,IF(COUNTIFS(個体台帳!$A:$A,$B473,個体台帳!$E:$E,"&lt;&gt;貸出中")&gt;0,1,0)))</f>
        <v>1</v>
      </c>
      <c r="M473">
        <f>IF($A473="","",IF($E473&lt;&gt;"",0,IF(COUNTIFS(個体台帳!$A:$A,$B473,個体台帳!$E:$E,"廃棄")&gt;0,1,0)))</f>
        <v>0</v>
      </c>
    </row>
    <row r="474" spans="1:13">
      <c r="A474" t="s">
        <v>1025</v>
      </c>
      <c r="B474" t="s">
        <v>6</v>
      </c>
      <c r="C474" t="s">
        <v>6</v>
      </c>
      <c r="D474" s="12" t="s">
        <v>6</v>
      </c>
      <c r="E474" s="11" t="s">
        <v>6</v>
      </c>
      <c r="F474" s="16" t="s">
        <v>6</v>
      </c>
      <c r="G474" t="s">
        <v>6</v>
      </c>
      <c r="H474" t="s">
        <v>6</v>
      </c>
      <c r="I474">
        <f t="shared" si="21"/>
        <v>1</v>
      </c>
      <c r="J474" t="str">
        <f t="shared" ca="1" si="22"/>
        <v/>
      </c>
      <c r="K474" t="e">
        <f t="shared" ca="1" si="23"/>
        <v>#VALUE!</v>
      </c>
      <c r="L474">
        <f>IF($A474="","",IF($E474&lt;&gt;"",0,IF(COUNTIFS(個体台帳!$A:$A,$B474,個体台帳!$E:$E,"&lt;&gt;貸出中")&gt;0,1,0)))</f>
        <v>1</v>
      </c>
      <c r="M474">
        <f>IF($A474="","",IF($E474&lt;&gt;"",0,IF(COUNTIFS(個体台帳!$A:$A,$B474,個体台帳!$E:$E,"廃棄")&gt;0,1,0)))</f>
        <v>0</v>
      </c>
    </row>
    <row r="475" spans="1:13">
      <c r="A475" t="s">
        <v>1026</v>
      </c>
      <c r="B475" t="s">
        <v>6</v>
      </c>
      <c r="C475" t="s">
        <v>6</v>
      </c>
      <c r="D475" s="12" t="s">
        <v>6</v>
      </c>
      <c r="E475" s="11" t="s">
        <v>6</v>
      </c>
      <c r="F475" s="16" t="s">
        <v>6</v>
      </c>
      <c r="G475" t="s">
        <v>6</v>
      </c>
      <c r="H475" t="s">
        <v>6</v>
      </c>
      <c r="I475">
        <f t="shared" si="21"/>
        <v>1</v>
      </c>
      <c r="J475" t="str">
        <f t="shared" ca="1" si="22"/>
        <v/>
      </c>
      <c r="K475" t="e">
        <f t="shared" ca="1" si="23"/>
        <v>#VALUE!</v>
      </c>
      <c r="L475">
        <f>IF($A475="","",IF($E475&lt;&gt;"",0,IF(COUNTIFS(個体台帳!$A:$A,$B475,個体台帳!$E:$E,"&lt;&gt;貸出中")&gt;0,1,0)))</f>
        <v>1</v>
      </c>
      <c r="M475">
        <f>IF($A475="","",IF($E475&lt;&gt;"",0,IF(COUNTIFS(個体台帳!$A:$A,$B475,個体台帳!$E:$E,"廃棄")&gt;0,1,0)))</f>
        <v>0</v>
      </c>
    </row>
    <row r="476" spans="1:13">
      <c r="A476" t="s">
        <v>1027</v>
      </c>
      <c r="B476" t="s">
        <v>6</v>
      </c>
      <c r="C476" t="s">
        <v>6</v>
      </c>
      <c r="D476" s="12" t="s">
        <v>6</v>
      </c>
      <c r="E476" s="11" t="s">
        <v>6</v>
      </c>
      <c r="F476" s="16" t="s">
        <v>6</v>
      </c>
      <c r="G476" t="s">
        <v>6</v>
      </c>
      <c r="H476" t="s">
        <v>6</v>
      </c>
      <c r="I476">
        <f t="shared" si="21"/>
        <v>1</v>
      </c>
      <c r="J476" t="str">
        <f t="shared" ca="1" si="22"/>
        <v/>
      </c>
      <c r="K476" t="e">
        <f t="shared" ca="1" si="23"/>
        <v>#VALUE!</v>
      </c>
      <c r="L476">
        <f>IF($A476="","",IF($E476&lt;&gt;"",0,IF(COUNTIFS(個体台帳!$A:$A,$B476,個体台帳!$E:$E,"&lt;&gt;貸出中")&gt;0,1,0)))</f>
        <v>1</v>
      </c>
      <c r="M476">
        <f>IF($A476="","",IF($E476&lt;&gt;"",0,IF(COUNTIFS(個体台帳!$A:$A,$B476,個体台帳!$E:$E,"廃棄")&gt;0,1,0)))</f>
        <v>0</v>
      </c>
    </row>
    <row r="477" spans="1:13">
      <c r="A477" t="s">
        <v>1028</v>
      </c>
      <c r="B477" t="s">
        <v>6</v>
      </c>
      <c r="C477" t="s">
        <v>6</v>
      </c>
      <c r="D477" s="12" t="s">
        <v>6</v>
      </c>
      <c r="E477" s="11" t="s">
        <v>6</v>
      </c>
      <c r="F477" s="16" t="s">
        <v>6</v>
      </c>
      <c r="G477" t="s">
        <v>6</v>
      </c>
      <c r="H477" t="s">
        <v>6</v>
      </c>
      <c r="I477">
        <f t="shared" si="21"/>
        <v>1</v>
      </c>
      <c r="J477" t="str">
        <f t="shared" ca="1" si="22"/>
        <v/>
      </c>
      <c r="K477" t="e">
        <f t="shared" ca="1" si="23"/>
        <v>#VALUE!</v>
      </c>
      <c r="L477">
        <f>IF($A477="","",IF($E477&lt;&gt;"",0,IF(COUNTIFS(個体台帳!$A:$A,$B477,個体台帳!$E:$E,"&lt;&gt;貸出中")&gt;0,1,0)))</f>
        <v>1</v>
      </c>
      <c r="M477">
        <f>IF($A477="","",IF($E477&lt;&gt;"",0,IF(COUNTIFS(個体台帳!$A:$A,$B477,個体台帳!$E:$E,"廃棄")&gt;0,1,0)))</f>
        <v>0</v>
      </c>
    </row>
    <row r="478" spans="1:13">
      <c r="A478" t="s">
        <v>1029</v>
      </c>
      <c r="B478" t="s">
        <v>6</v>
      </c>
      <c r="C478" t="s">
        <v>6</v>
      </c>
      <c r="D478" s="12" t="s">
        <v>6</v>
      </c>
      <c r="E478" s="11" t="s">
        <v>6</v>
      </c>
      <c r="F478" s="16" t="s">
        <v>6</v>
      </c>
      <c r="G478" t="s">
        <v>6</v>
      </c>
      <c r="H478" t="s">
        <v>6</v>
      </c>
      <c r="I478">
        <f t="shared" si="21"/>
        <v>1</v>
      </c>
      <c r="J478" t="str">
        <f t="shared" ca="1" si="22"/>
        <v/>
      </c>
      <c r="K478" t="e">
        <f t="shared" ca="1" si="23"/>
        <v>#VALUE!</v>
      </c>
      <c r="L478">
        <f>IF($A478="","",IF($E478&lt;&gt;"",0,IF(COUNTIFS(個体台帳!$A:$A,$B478,個体台帳!$E:$E,"&lt;&gt;貸出中")&gt;0,1,0)))</f>
        <v>1</v>
      </c>
      <c r="M478">
        <f>IF($A478="","",IF($E478&lt;&gt;"",0,IF(COUNTIFS(個体台帳!$A:$A,$B478,個体台帳!$E:$E,"廃棄")&gt;0,1,0)))</f>
        <v>0</v>
      </c>
    </row>
    <row r="479" spans="1:13">
      <c r="A479" t="s">
        <v>1030</v>
      </c>
      <c r="B479" t="s">
        <v>6</v>
      </c>
      <c r="C479" t="s">
        <v>6</v>
      </c>
      <c r="D479" s="12" t="s">
        <v>6</v>
      </c>
      <c r="E479" s="11" t="s">
        <v>6</v>
      </c>
      <c r="F479" s="16" t="s">
        <v>6</v>
      </c>
      <c r="G479" t="s">
        <v>6</v>
      </c>
      <c r="H479" t="s">
        <v>6</v>
      </c>
      <c r="I479">
        <f t="shared" si="21"/>
        <v>1</v>
      </c>
      <c r="J479" t="str">
        <f t="shared" ca="1" si="22"/>
        <v/>
      </c>
      <c r="K479" t="e">
        <f t="shared" ca="1" si="23"/>
        <v>#VALUE!</v>
      </c>
      <c r="L479">
        <f>IF($A479="","",IF($E479&lt;&gt;"",0,IF(COUNTIFS(個体台帳!$A:$A,$B479,個体台帳!$E:$E,"&lt;&gt;貸出中")&gt;0,1,0)))</f>
        <v>1</v>
      </c>
      <c r="M479">
        <f>IF($A479="","",IF($E479&lt;&gt;"",0,IF(COUNTIFS(個体台帳!$A:$A,$B479,個体台帳!$E:$E,"廃棄")&gt;0,1,0)))</f>
        <v>0</v>
      </c>
    </row>
    <row r="480" spans="1:13">
      <c r="A480" t="s">
        <v>1031</v>
      </c>
      <c r="B480" t="s">
        <v>6</v>
      </c>
      <c r="C480" t="s">
        <v>6</v>
      </c>
      <c r="D480" s="12" t="s">
        <v>6</v>
      </c>
      <c r="E480" s="11" t="s">
        <v>6</v>
      </c>
      <c r="F480" s="16" t="s">
        <v>6</v>
      </c>
      <c r="G480" t="s">
        <v>6</v>
      </c>
      <c r="H480" t="s">
        <v>6</v>
      </c>
      <c r="I480">
        <f t="shared" si="21"/>
        <v>1</v>
      </c>
      <c r="J480" t="str">
        <f t="shared" ca="1" si="22"/>
        <v/>
      </c>
      <c r="K480" t="e">
        <f t="shared" ca="1" si="23"/>
        <v>#VALUE!</v>
      </c>
      <c r="L480">
        <f>IF($A480="","",IF($E480&lt;&gt;"",0,IF(COUNTIFS(個体台帳!$A:$A,$B480,個体台帳!$E:$E,"&lt;&gt;貸出中")&gt;0,1,0)))</f>
        <v>1</v>
      </c>
      <c r="M480">
        <f>IF($A480="","",IF($E480&lt;&gt;"",0,IF(COUNTIFS(個体台帳!$A:$A,$B480,個体台帳!$E:$E,"廃棄")&gt;0,1,0)))</f>
        <v>0</v>
      </c>
    </row>
    <row r="481" spans="1:13">
      <c r="A481" t="s">
        <v>1032</v>
      </c>
      <c r="B481" t="s">
        <v>6</v>
      </c>
      <c r="C481" t="s">
        <v>6</v>
      </c>
      <c r="D481" s="12" t="s">
        <v>6</v>
      </c>
      <c r="E481" s="11" t="s">
        <v>6</v>
      </c>
      <c r="F481" s="16" t="s">
        <v>6</v>
      </c>
      <c r="G481" t="s">
        <v>6</v>
      </c>
      <c r="H481" t="s">
        <v>6</v>
      </c>
      <c r="I481">
        <f t="shared" si="21"/>
        <v>1</v>
      </c>
      <c r="J481" t="str">
        <f t="shared" ca="1" si="22"/>
        <v/>
      </c>
      <c r="K481" t="e">
        <f t="shared" ca="1" si="23"/>
        <v>#VALUE!</v>
      </c>
      <c r="L481">
        <f>IF($A481="","",IF($E481&lt;&gt;"",0,IF(COUNTIFS(個体台帳!$A:$A,$B481,個体台帳!$E:$E,"&lt;&gt;貸出中")&gt;0,1,0)))</f>
        <v>1</v>
      </c>
      <c r="M481">
        <f>IF($A481="","",IF($E481&lt;&gt;"",0,IF(COUNTIFS(個体台帳!$A:$A,$B481,個体台帳!$E:$E,"廃棄")&gt;0,1,0)))</f>
        <v>0</v>
      </c>
    </row>
    <row r="482" spans="1:13">
      <c r="A482" t="s">
        <v>1033</v>
      </c>
      <c r="B482" t="s">
        <v>6</v>
      </c>
      <c r="C482" t="s">
        <v>6</v>
      </c>
      <c r="D482" s="12" t="s">
        <v>6</v>
      </c>
      <c r="E482" s="11" t="s">
        <v>6</v>
      </c>
      <c r="F482" s="16" t="s">
        <v>6</v>
      </c>
      <c r="G482" t="s">
        <v>6</v>
      </c>
      <c r="H482" t="s">
        <v>6</v>
      </c>
      <c r="I482">
        <f t="shared" si="21"/>
        <v>1</v>
      </c>
      <c r="J482" t="str">
        <f t="shared" ca="1" si="22"/>
        <v/>
      </c>
      <c r="K482" t="e">
        <f t="shared" ca="1" si="23"/>
        <v>#VALUE!</v>
      </c>
      <c r="L482">
        <f>IF($A482="","",IF($E482&lt;&gt;"",0,IF(COUNTIFS(個体台帳!$A:$A,$B482,個体台帳!$E:$E,"&lt;&gt;貸出中")&gt;0,1,0)))</f>
        <v>1</v>
      </c>
      <c r="M482">
        <f>IF($A482="","",IF($E482&lt;&gt;"",0,IF(COUNTIFS(個体台帳!$A:$A,$B482,個体台帳!$E:$E,"廃棄")&gt;0,1,0)))</f>
        <v>0</v>
      </c>
    </row>
    <row r="483" spans="1:13">
      <c r="A483" t="s">
        <v>1034</v>
      </c>
      <c r="B483" t="s">
        <v>6</v>
      </c>
      <c r="C483" t="s">
        <v>6</v>
      </c>
      <c r="D483" s="12" t="s">
        <v>6</v>
      </c>
      <c r="E483" s="11" t="s">
        <v>6</v>
      </c>
      <c r="F483" s="16" t="s">
        <v>6</v>
      </c>
      <c r="G483" t="s">
        <v>6</v>
      </c>
      <c r="H483" t="s">
        <v>6</v>
      </c>
      <c r="I483">
        <f t="shared" si="21"/>
        <v>1</v>
      </c>
      <c r="J483" t="str">
        <f t="shared" ca="1" si="22"/>
        <v/>
      </c>
      <c r="K483" t="e">
        <f t="shared" ca="1" si="23"/>
        <v>#VALUE!</v>
      </c>
      <c r="L483">
        <f>IF($A483="","",IF($E483&lt;&gt;"",0,IF(COUNTIFS(個体台帳!$A:$A,$B483,個体台帳!$E:$E,"&lt;&gt;貸出中")&gt;0,1,0)))</f>
        <v>1</v>
      </c>
      <c r="M483">
        <f>IF($A483="","",IF($E483&lt;&gt;"",0,IF(COUNTIFS(個体台帳!$A:$A,$B483,個体台帳!$E:$E,"廃棄")&gt;0,1,0)))</f>
        <v>0</v>
      </c>
    </row>
    <row r="484" spans="1:13">
      <c r="A484" t="s">
        <v>1035</v>
      </c>
      <c r="B484" t="s">
        <v>6</v>
      </c>
      <c r="C484" t="s">
        <v>6</v>
      </c>
      <c r="D484" s="12" t="s">
        <v>6</v>
      </c>
      <c r="E484" s="11" t="s">
        <v>6</v>
      </c>
      <c r="F484" s="16" t="s">
        <v>6</v>
      </c>
      <c r="G484" t="s">
        <v>6</v>
      </c>
      <c r="H484" t="s">
        <v>6</v>
      </c>
      <c r="I484">
        <f t="shared" si="21"/>
        <v>1</v>
      </c>
      <c r="J484" t="str">
        <f t="shared" ca="1" si="22"/>
        <v/>
      </c>
      <c r="K484" t="e">
        <f t="shared" ca="1" si="23"/>
        <v>#VALUE!</v>
      </c>
      <c r="L484">
        <f>IF($A484="","",IF($E484&lt;&gt;"",0,IF(COUNTIFS(個体台帳!$A:$A,$B484,個体台帳!$E:$E,"&lt;&gt;貸出中")&gt;0,1,0)))</f>
        <v>1</v>
      </c>
      <c r="M484">
        <f>IF($A484="","",IF($E484&lt;&gt;"",0,IF(COUNTIFS(個体台帳!$A:$A,$B484,個体台帳!$E:$E,"廃棄")&gt;0,1,0)))</f>
        <v>0</v>
      </c>
    </row>
    <row r="485" spans="1:13">
      <c r="A485" t="s">
        <v>1036</v>
      </c>
      <c r="B485" t="s">
        <v>6</v>
      </c>
      <c r="C485" t="s">
        <v>6</v>
      </c>
      <c r="D485" s="12" t="s">
        <v>6</v>
      </c>
      <c r="E485" s="11" t="s">
        <v>6</v>
      </c>
      <c r="F485" s="16" t="s">
        <v>6</v>
      </c>
      <c r="G485" t="s">
        <v>6</v>
      </c>
      <c r="H485" t="s">
        <v>6</v>
      </c>
      <c r="I485">
        <f t="shared" si="21"/>
        <v>1</v>
      </c>
      <c r="J485" t="str">
        <f t="shared" ca="1" si="22"/>
        <v/>
      </c>
      <c r="K485" t="e">
        <f t="shared" ca="1" si="23"/>
        <v>#VALUE!</v>
      </c>
      <c r="L485">
        <f>IF($A485="","",IF($E485&lt;&gt;"",0,IF(COUNTIFS(個体台帳!$A:$A,$B485,個体台帳!$E:$E,"&lt;&gt;貸出中")&gt;0,1,0)))</f>
        <v>1</v>
      </c>
      <c r="M485">
        <f>IF($A485="","",IF($E485&lt;&gt;"",0,IF(COUNTIFS(個体台帳!$A:$A,$B485,個体台帳!$E:$E,"廃棄")&gt;0,1,0)))</f>
        <v>0</v>
      </c>
    </row>
    <row r="486" spans="1:13">
      <c r="A486" t="s">
        <v>1037</v>
      </c>
      <c r="B486" t="s">
        <v>6</v>
      </c>
      <c r="C486" t="s">
        <v>6</v>
      </c>
      <c r="D486" s="12" t="s">
        <v>6</v>
      </c>
      <c r="E486" s="11" t="s">
        <v>6</v>
      </c>
      <c r="F486" s="16" t="s">
        <v>6</v>
      </c>
      <c r="G486" t="s">
        <v>6</v>
      </c>
      <c r="H486" t="s">
        <v>6</v>
      </c>
      <c r="I486">
        <f t="shared" si="21"/>
        <v>1</v>
      </c>
      <c r="J486" t="str">
        <f t="shared" ca="1" si="22"/>
        <v/>
      </c>
      <c r="K486" t="e">
        <f t="shared" ca="1" si="23"/>
        <v>#VALUE!</v>
      </c>
      <c r="L486">
        <f>IF($A486="","",IF($E486&lt;&gt;"",0,IF(COUNTIFS(個体台帳!$A:$A,$B486,個体台帳!$E:$E,"&lt;&gt;貸出中")&gt;0,1,0)))</f>
        <v>1</v>
      </c>
      <c r="M486">
        <f>IF($A486="","",IF($E486&lt;&gt;"",0,IF(COUNTIFS(個体台帳!$A:$A,$B486,個体台帳!$E:$E,"廃棄")&gt;0,1,0)))</f>
        <v>0</v>
      </c>
    </row>
    <row r="487" spans="1:13">
      <c r="A487" t="s">
        <v>1038</v>
      </c>
      <c r="B487" t="s">
        <v>6</v>
      </c>
      <c r="C487" t="s">
        <v>6</v>
      </c>
      <c r="D487" s="12" t="s">
        <v>6</v>
      </c>
      <c r="E487" s="11" t="s">
        <v>6</v>
      </c>
      <c r="F487" s="16" t="s">
        <v>6</v>
      </c>
      <c r="G487" t="s">
        <v>6</v>
      </c>
      <c r="H487" t="s">
        <v>6</v>
      </c>
      <c r="I487">
        <f t="shared" si="21"/>
        <v>1</v>
      </c>
      <c r="J487" t="str">
        <f t="shared" ca="1" si="22"/>
        <v/>
      </c>
      <c r="K487" t="e">
        <f t="shared" ca="1" si="23"/>
        <v>#VALUE!</v>
      </c>
      <c r="L487">
        <f>IF($A487="","",IF($E487&lt;&gt;"",0,IF(COUNTIFS(個体台帳!$A:$A,$B487,個体台帳!$E:$E,"&lt;&gt;貸出中")&gt;0,1,0)))</f>
        <v>1</v>
      </c>
      <c r="M487">
        <f>IF($A487="","",IF($E487&lt;&gt;"",0,IF(COUNTIFS(個体台帳!$A:$A,$B487,個体台帳!$E:$E,"廃棄")&gt;0,1,0)))</f>
        <v>0</v>
      </c>
    </row>
    <row r="488" spans="1:13">
      <c r="A488" t="s">
        <v>1039</v>
      </c>
      <c r="B488" t="s">
        <v>6</v>
      </c>
      <c r="C488" t="s">
        <v>6</v>
      </c>
      <c r="D488" s="12" t="s">
        <v>6</v>
      </c>
      <c r="E488" s="11" t="s">
        <v>6</v>
      </c>
      <c r="F488" s="16" t="s">
        <v>6</v>
      </c>
      <c r="G488" t="s">
        <v>6</v>
      </c>
      <c r="H488" t="s">
        <v>6</v>
      </c>
      <c r="I488">
        <f t="shared" si="21"/>
        <v>1</v>
      </c>
      <c r="J488" t="str">
        <f t="shared" ca="1" si="22"/>
        <v/>
      </c>
      <c r="K488" t="e">
        <f t="shared" ca="1" si="23"/>
        <v>#VALUE!</v>
      </c>
      <c r="L488">
        <f>IF($A488="","",IF($E488&lt;&gt;"",0,IF(COUNTIFS(個体台帳!$A:$A,$B488,個体台帳!$E:$E,"&lt;&gt;貸出中")&gt;0,1,0)))</f>
        <v>1</v>
      </c>
      <c r="M488">
        <f>IF($A488="","",IF($E488&lt;&gt;"",0,IF(COUNTIFS(個体台帳!$A:$A,$B488,個体台帳!$E:$E,"廃棄")&gt;0,1,0)))</f>
        <v>0</v>
      </c>
    </row>
    <row r="489" spans="1:13">
      <c r="A489" t="s">
        <v>1040</v>
      </c>
      <c r="B489" t="s">
        <v>6</v>
      </c>
      <c r="C489" t="s">
        <v>6</v>
      </c>
      <c r="D489" s="12" t="s">
        <v>6</v>
      </c>
      <c r="E489" s="11" t="s">
        <v>6</v>
      </c>
      <c r="F489" s="16" t="s">
        <v>6</v>
      </c>
      <c r="G489" t="s">
        <v>6</v>
      </c>
      <c r="H489" t="s">
        <v>6</v>
      </c>
      <c r="I489">
        <f t="shared" si="21"/>
        <v>1</v>
      </c>
      <c r="J489" t="str">
        <f t="shared" ca="1" si="22"/>
        <v/>
      </c>
      <c r="K489" t="e">
        <f t="shared" ca="1" si="23"/>
        <v>#VALUE!</v>
      </c>
      <c r="L489">
        <f>IF($A489="","",IF($E489&lt;&gt;"",0,IF(COUNTIFS(個体台帳!$A:$A,$B489,個体台帳!$E:$E,"&lt;&gt;貸出中")&gt;0,1,0)))</f>
        <v>1</v>
      </c>
      <c r="M489">
        <f>IF($A489="","",IF($E489&lt;&gt;"",0,IF(COUNTIFS(個体台帳!$A:$A,$B489,個体台帳!$E:$E,"廃棄")&gt;0,1,0)))</f>
        <v>0</v>
      </c>
    </row>
    <row r="490" spans="1:13">
      <c r="A490" t="s">
        <v>1041</v>
      </c>
      <c r="B490" t="s">
        <v>6</v>
      </c>
      <c r="C490" t="s">
        <v>6</v>
      </c>
      <c r="D490" s="12" t="s">
        <v>6</v>
      </c>
      <c r="E490" s="11" t="s">
        <v>6</v>
      </c>
      <c r="F490" s="16" t="s">
        <v>6</v>
      </c>
      <c r="G490" t="s">
        <v>6</v>
      </c>
      <c r="H490" t="s">
        <v>6</v>
      </c>
      <c r="I490">
        <f t="shared" si="21"/>
        <v>1</v>
      </c>
      <c r="J490" t="str">
        <f t="shared" ca="1" si="22"/>
        <v/>
      </c>
      <c r="K490" t="e">
        <f t="shared" ca="1" si="23"/>
        <v>#VALUE!</v>
      </c>
      <c r="L490">
        <f>IF($A490="","",IF($E490&lt;&gt;"",0,IF(COUNTIFS(個体台帳!$A:$A,$B490,個体台帳!$E:$E,"&lt;&gt;貸出中")&gt;0,1,0)))</f>
        <v>1</v>
      </c>
      <c r="M490">
        <f>IF($A490="","",IF($E490&lt;&gt;"",0,IF(COUNTIFS(個体台帳!$A:$A,$B490,個体台帳!$E:$E,"廃棄")&gt;0,1,0)))</f>
        <v>0</v>
      </c>
    </row>
    <row r="491" spans="1:13">
      <c r="A491" t="s">
        <v>1042</v>
      </c>
      <c r="B491" t="s">
        <v>6</v>
      </c>
      <c r="C491" t="s">
        <v>6</v>
      </c>
      <c r="D491" s="12" t="s">
        <v>6</v>
      </c>
      <c r="E491" s="11" t="s">
        <v>6</v>
      </c>
      <c r="F491" s="16" t="s">
        <v>6</v>
      </c>
      <c r="G491" t="s">
        <v>6</v>
      </c>
      <c r="H491" t="s">
        <v>6</v>
      </c>
      <c r="I491">
        <f t="shared" si="21"/>
        <v>1</v>
      </c>
      <c r="J491" t="str">
        <f t="shared" ca="1" si="22"/>
        <v/>
      </c>
      <c r="K491" t="e">
        <f t="shared" ca="1" si="23"/>
        <v>#VALUE!</v>
      </c>
      <c r="L491">
        <f>IF($A491="","",IF($E491&lt;&gt;"",0,IF(COUNTIFS(個体台帳!$A:$A,$B491,個体台帳!$E:$E,"&lt;&gt;貸出中")&gt;0,1,0)))</f>
        <v>1</v>
      </c>
      <c r="M491">
        <f>IF($A491="","",IF($E491&lt;&gt;"",0,IF(COUNTIFS(個体台帳!$A:$A,$B491,個体台帳!$E:$E,"廃棄")&gt;0,1,0)))</f>
        <v>0</v>
      </c>
    </row>
    <row r="492" spans="1:13">
      <c r="A492" t="s">
        <v>1043</v>
      </c>
      <c r="B492" t="s">
        <v>6</v>
      </c>
      <c r="C492" t="s">
        <v>6</v>
      </c>
      <c r="D492" s="12" t="s">
        <v>6</v>
      </c>
      <c r="E492" s="11" t="s">
        <v>6</v>
      </c>
      <c r="F492" s="16" t="s">
        <v>6</v>
      </c>
      <c r="G492" t="s">
        <v>6</v>
      </c>
      <c r="H492" t="s">
        <v>6</v>
      </c>
      <c r="I492">
        <f t="shared" si="21"/>
        <v>1</v>
      </c>
      <c r="J492" t="str">
        <f t="shared" ca="1" si="22"/>
        <v/>
      </c>
      <c r="K492" t="e">
        <f t="shared" ca="1" si="23"/>
        <v>#VALUE!</v>
      </c>
      <c r="L492">
        <f>IF($A492="","",IF($E492&lt;&gt;"",0,IF(COUNTIFS(個体台帳!$A:$A,$B492,個体台帳!$E:$E,"&lt;&gt;貸出中")&gt;0,1,0)))</f>
        <v>1</v>
      </c>
      <c r="M492">
        <f>IF($A492="","",IF($E492&lt;&gt;"",0,IF(COUNTIFS(個体台帳!$A:$A,$B492,個体台帳!$E:$E,"廃棄")&gt;0,1,0)))</f>
        <v>0</v>
      </c>
    </row>
    <row r="493" spans="1:13">
      <c r="A493" t="s">
        <v>1044</v>
      </c>
      <c r="B493" t="s">
        <v>6</v>
      </c>
      <c r="C493" t="s">
        <v>6</v>
      </c>
      <c r="D493" s="12" t="s">
        <v>6</v>
      </c>
      <c r="E493" s="11" t="s">
        <v>6</v>
      </c>
      <c r="F493" s="16" t="s">
        <v>6</v>
      </c>
      <c r="G493" t="s">
        <v>6</v>
      </c>
      <c r="H493" t="s">
        <v>6</v>
      </c>
      <c r="I493">
        <f t="shared" si="21"/>
        <v>1</v>
      </c>
      <c r="J493" t="str">
        <f t="shared" ca="1" si="22"/>
        <v/>
      </c>
      <c r="K493" t="e">
        <f t="shared" ca="1" si="23"/>
        <v>#VALUE!</v>
      </c>
      <c r="L493">
        <f>IF($A493="","",IF($E493&lt;&gt;"",0,IF(COUNTIFS(個体台帳!$A:$A,$B493,個体台帳!$E:$E,"&lt;&gt;貸出中")&gt;0,1,0)))</f>
        <v>1</v>
      </c>
      <c r="M493">
        <f>IF($A493="","",IF($E493&lt;&gt;"",0,IF(COUNTIFS(個体台帳!$A:$A,$B493,個体台帳!$E:$E,"廃棄")&gt;0,1,0)))</f>
        <v>0</v>
      </c>
    </row>
    <row r="494" spans="1:13">
      <c r="A494" t="s">
        <v>1045</v>
      </c>
      <c r="B494" t="s">
        <v>6</v>
      </c>
      <c r="C494" t="s">
        <v>6</v>
      </c>
      <c r="D494" s="12" t="s">
        <v>6</v>
      </c>
      <c r="E494" s="11" t="s">
        <v>6</v>
      </c>
      <c r="F494" s="16" t="s">
        <v>6</v>
      </c>
      <c r="G494" t="s">
        <v>6</v>
      </c>
      <c r="H494" t="s">
        <v>6</v>
      </c>
      <c r="I494">
        <f t="shared" si="21"/>
        <v>1</v>
      </c>
      <c r="J494" t="str">
        <f t="shared" ca="1" si="22"/>
        <v/>
      </c>
      <c r="K494" t="e">
        <f t="shared" ca="1" si="23"/>
        <v>#VALUE!</v>
      </c>
      <c r="L494">
        <f>IF($A494="","",IF($E494&lt;&gt;"",0,IF(COUNTIFS(個体台帳!$A:$A,$B494,個体台帳!$E:$E,"&lt;&gt;貸出中")&gt;0,1,0)))</f>
        <v>1</v>
      </c>
      <c r="M494">
        <f>IF($A494="","",IF($E494&lt;&gt;"",0,IF(COUNTIFS(個体台帳!$A:$A,$B494,個体台帳!$E:$E,"廃棄")&gt;0,1,0)))</f>
        <v>0</v>
      </c>
    </row>
    <row r="495" spans="1:13">
      <c r="A495" t="s">
        <v>1046</v>
      </c>
      <c r="B495" t="s">
        <v>6</v>
      </c>
      <c r="C495" t="s">
        <v>6</v>
      </c>
      <c r="D495" s="12" t="s">
        <v>6</v>
      </c>
      <c r="E495" s="11" t="s">
        <v>6</v>
      </c>
      <c r="F495" s="16" t="s">
        <v>6</v>
      </c>
      <c r="G495" t="s">
        <v>6</v>
      </c>
      <c r="H495" t="s">
        <v>6</v>
      </c>
      <c r="I495">
        <f t="shared" si="21"/>
        <v>1</v>
      </c>
      <c r="J495" t="str">
        <f t="shared" ca="1" si="22"/>
        <v/>
      </c>
      <c r="K495" t="e">
        <f t="shared" ca="1" si="23"/>
        <v>#VALUE!</v>
      </c>
      <c r="L495">
        <f>IF($A495="","",IF($E495&lt;&gt;"",0,IF(COUNTIFS(個体台帳!$A:$A,$B495,個体台帳!$E:$E,"&lt;&gt;貸出中")&gt;0,1,0)))</f>
        <v>1</v>
      </c>
      <c r="M495">
        <f>IF($A495="","",IF($E495&lt;&gt;"",0,IF(COUNTIFS(個体台帳!$A:$A,$B495,個体台帳!$E:$E,"廃棄")&gt;0,1,0)))</f>
        <v>0</v>
      </c>
    </row>
    <row r="496" spans="1:13">
      <c r="A496" t="s">
        <v>1047</v>
      </c>
      <c r="B496" t="s">
        <v>6</v>
      </c>
      <c r="C496" t="s">
        <v>6</v>
      </c>
      <c r="D496" s="12" t="s">
        <v>6</v>
      </c>
      <c r="E496" s="11" t="s">
        <v>6</v>
      </c>
      <c r="F496" s="16" t="s">
        <v>6</v>
      </c>
      <c r="G496" t="s">
        <v>6</v>
      </c>
      <c r="H496" t="s">
        <v>6</v>
      </c>
      <c r="I496">
        <f t="shared" si="21"/>
        <v>1</v>
      </c>
      <c r="J496" t="str">
        <f t="shared" ca="1" si="22"/>
        <v/>
      </c>
      <c r="K496" t="e">
        <f t="shared" ca="1" si="23"/>
        <v>#VALUE!</v>
      </c>
      <c r="L496">
        <f>IF($A496="","",IF($E496&lt;&gt;"",0,IF(COUNTIFS(個体台帳!$A:$A,$B496,個体台帳!$E:$E,"&lt;&gt;貸出中")&gt;0,1,0)))</f>
        <v>1</v>
      </c>
      <c r="M496">
        <f>IF($A496="","",IF($E496&lt;&gt;"",0,IF(COUNTIFS(個体台帳!$A:$A,$B496,個体台帳!$E:$E,"廃棄")&gt;0,1,0)))</f>
        <v>0</v>
      </c>
    </row>
    <row r="497" spans="1:13">
      <c r="A497" t="s">
        <v>1048</v>
      </c>
      <c r="B497" t="s">
        <v>6</v>
      </c>
      <c r="C497" t="s">
        <v>6</v>
      </c>
      <c r="D497" s="12" t="s">
        <v>6</v>
      </c>
      <c r="E497" s="11" t="s">
        <v>6</v>
      </c>
      <c r="F497" s="16" t="s">
        <v>6</v>
      </c>
      <c r="G497" t="s">
        <v>6</v>
      </c>
      <c r="H497" t="s">
        <v>6</v>
      </c>
      <c r="I497">
        <f t="shared" si="21"/>
        <v>1</v>
      </c>
      <c r="J497" t="str">
        <f t="shared" ca="1" si="22"/>
        <v/>
      </c>
      <c r="K497" t="e">
        <f t="shared" ca="1" si="23"/>
        <v>#VALUE!</v>
      </c>
      <c r="L497">
        <f>IF($A497="","",IF($E497&lt;&gt;"",0,IF(COUNTIFS(個体台帳!$A:$A,$B497,個体台帳!$E:$E,"&lt;&gt;貸出中")&gt;0,1,0)))</f>
        <v>1</v>
      </c>
      <c r="M497">
        <f>IF($A497="","",IF($E497&lt;&gt;"",0,IF(COUNTIFS(個体台帳!$A:$A,$B497,個体台帳!$E:$E,"廃棄")&gt;0,1,0)))</f>
        <v>0</v>
      </c>
    </row>
    <row r="498" spans="1:13">
      <c r="A498" t="s">
        <v>1049</v>
      </c>
      <c r="B498" t="s">
        <v>6</v>
      </c>
      <c r="C498" t="s">
        <v>6</v>
      </c>
      <c r="D498" s="12" t="s">
        <v>6</v>
      </c>
      <c r="E498" s="11" t="s">
        <v>6</v>
      </c>
      <c r="F498" s="16" t="s">
        <v>6</v>
      </c>
      <c r="G498" t="s">
        <v>6</v>
      </c>
      <c r="H498" t="s">
        <v>6</v>
      </c>
      <c r="I498">
        <f t="shared" si="21"/>
        <v>1</v>
      </c>
      <c r="J498" t="str">
        <f t="shared" ca="1" si="22"/>
        <v/>
      </c>
      <c r="K498" t="e">
        <f t="shared" ca="1" si="23"/>
        <v>#VALUE!</v>
      </c>
      <c r="L498">
        <f>IF($A498="","",IF($E498&lt;&gt;"",0,IF(COUNTIFS(個体台帳!$A:$A,$B498,個体台帳!$E:$E,"&lt;&gt;貸出中")&gt;0,1,0)))</f>
        <v>1</v>
      </c>
      <c r="M498">
        <f>IF($A498="","",IF($E498&lt;&gt;"",0,IF(COUNTIFS(個体台帳!$A:$A,$B498,個体台帳!$E:$E,"廃棄")&gt;0,1,0)))</f>
        <v>0</v>
      </c>
    </row>
    <row r="499" spans="1:13">
      <c r="A499" t="s">
        <v>1050</v>
      </c>
      <c r="B499" t="s">
        <v>6</v>
      </c>
      <c r="C499" t="s">
        <v>6</v>
      </c>
      <c r="D499" s="12" t="s">
        <v>6</v>
      </c>
      <c r="E499" s="11" t="s">
        <v>6</v>
      </c>
      <c r="F499" s="16" t="s">
        <v>6</v>
      </c>
      <c r="G499" t="s">
        <v>6</v>
      </c>
      <c r="H499" t="s">
        <v>6</v>
      </c>
      <c r="I499">
        <f t="shared" si="21"/>
        <v>1</v>
      </c>
      <c r="J499" t="str">
        <f t="shared" ca="1" si="22"/>
        <v/>
      </c>
      <c r="K499" t="e">
        <f t="shared" ca="1" si="23"/>
        <v>#VALUE!</v>
      </c>
      <c r="L499">
        <f>IF($A499="","",IF($E499&lt;&gt;"",0,IF(COUNTIFS(個体台帳!$A:$A,$B499,個体台帳!$E:$E,"&lt;&gt;貸出中")&gt;0,1,0)))</f>
        <v>1</v>
      </c>
      <c r="M499">
        <f>IF($A499="","",IF($E499&lt;&gt;"",0,IF(COUNTIFS(個体台帳!$A:$A,$B499,個体台帳!$E:$E,"廃棄")&gt;0,1,0)))</f>
        <v>0</v>
      </c>
    </row>
    <row r="500" spans="1:13">
      <c r="A500" t="s">
        <v>1051</v>
      </c>
      <c r="B500" t="s">
        <v>6</v>
      </c>
      <c r="C500" t="s">
        <v>6</v>
      </c>
      <c r="D500" s="12" t="s">
        <v>6</v>
      </c>
      <c r="E500" s="11" t="s">
        <v>6</v>
      </c>
      <c r="F500" s="16" t="s">
        <v>6</v>
      </c>
      <c r="G500" t="s">
        <v>6</v>
      </c>
      <c r="H500" t="s">
        <v>6</v>
      </c>
      <c r="I500">
        <f t="shared" si="21"/>
        <v>1</v>
      </c>
      <c r="J500" t="str">
        <f t="shared" ca="1" si="22"/>
        <v/>
      </c>
      <c r="K500" t="e">
        <f t="shared" ca="1" si="23"/>
        <v>#VALUE!</v>
      </c>
      <c r="L500">
        <f>IF($A500="","",IF($E500&lt;&gt;"",0,IF(COUNTIFS(個体台帳!$A:$A,$B500,個体台帳!$E:$E,"&lt;&gt;貸出中")&gt;0,1,0)))</f>
        <v>1</v>
      </c>
      <c r="M500">
        <f>IF($A500="","",IF($E500&lt;&gt;"",0,IF(COUNTIFS(個体台帳!$A:$A,$B500,個体台帳!$E:$E,"廃棄")&gt;0,1,0)))</f>
        <v>0</v>
      </c>
    </row>
    <row r="501" spans="1:13">
      <c r="E501" s="11"/>
      <c r="F501" s="16"/>
    </row>
    <row r="502" spans="1:13">
      <c r="E502" s="11"/>
      <c r="F502" s="16"/>
    </row>
    <row r="503" spans="1:13">
      <c r="E503" s="11"/>
      <c r="F503" s="16"/>
    </row>
    <row r="504" spans="1:13">
      <c r="E504" s="11"/>
      <c r="F504" s="16"/>
    </row>
    <row r="505" spans="1:13">
      <c r="E505" s="11"/>
      <c r="F505" s="16"/>
    </row>
    <row r="506" spans="1:13">
      <c r="E506" s="11"/>
      <c r="F506" s="16"/>
    </row>
    <row r="507" spans="1:13">
      <c r="E507" s="11"/>
      <c r="F507" s="16"/>
    </row>
    <row r="508" spans="1:13">
      <c r="E508" s="11"/>
      <c r="F508" s="16"/>
    </row>
    <row r="509" spans="1:13">
      <c r="E509" s="11"/>
      <c r="F509" s="16"/>
    </row>
    <row r="510" spans="1:13">
      <c r="E510" s="11"/>
      <c r="F510" s="16"/>
    </row>
    <row r="511" spans="1:13">
      <c r="E511" s="11"/>
      <c r="F511" s="16"/>
    </row>
    <row r="512" spans="1:13">
      <c r="E512" s="11"/>
      <c r="F512" s="16"/>
    </row>
    <row r="513" spans="5:6">
      <c r="E513" s="11"/>
      <c r="F513" s="16"/>
    </row>
    <row r="514" spans="5:6">
      <c r="E514" s="11"/>
      <c r="F514" s="16"/>
    </row>
    <row r="515" spans="5:6">
      <c r="E515" s="11"/>
      <c r="F515" s="16"/>
    </row>
    <row r="516" spans="5:6">
      <c r="E516" s="11"/>
      <c r="F516" s="16"/>
    </row>
    <row r="517" spans="5:6">
      <c r="E517" s="11"/>
      <c r="F517" s="16"/>
    </row>
    <row r="518" spans="5:6">
      <c r="E518" s="11"/>
      <c r="F518" s="16"/>
    </row>
    <row r="519" spans="5:6">
      <c r="E519" s="11"/>
      <c r="F519" s="16"/>
    </row>
    <row r="520" spans="5:6">
      <c r="E520" s="11"/>
      <c r="F520" s="16"/>
    </row>
    <row r="521" spans="5:6">
      <c r="E521" s="11"/>
      <c r="F521" s="16"/>
    </row>
    <row r="522" spans="5:6">
      <c r="E522" s="11"/>
      <c r="F522" s="16"/>
    </row>
    <row r="523" spans="5:6">
      <c r="E523" s="11"/>
      <c r="F523" s="16"/>
    </row>
    <row r="524" spans="5:6">
      <c r="E524" s="11"/>
      <c r="F524" s="16"/>
    </row>
    <row r="525" spans="5:6">
      <c r="E525" s="11"/>
      <c r="F525" s="16"/>
    </row>
    <row r="526" spans="5:6">
      <c r="E526" s="11"/>
      <c r="F526" s="16"/>
    </row>
    <row r="527" spans="5:6">
      <c r="E527" s="11"/>
      <c r="F527" s="16"/>
    </row>
    <row r="528" spans="5:6">
      <c r="E528" s="11"/>
      <c r="F528" s="16"/>
    </row>
    <row r="529" spans="5:6">
      <c r="E529" s="11"/>
      <c r="F529" s="16"/>
    </row>
    <row r="530" spans="5:6">
      <c r="E530" s="11"/>
      <c r="F530" s="16"/>
    </row>
    <row r="531" spans="5:6">
      <c r="E531" s="11"/>
      <c r="F531" s="16"/>
    </row>
    <row r="532" spans="5:6">
      <c r="E532" s="11"/>
      <c r="F532" s="16"/>
    </row>
    <row r="533" spans="5:6">
      <c r="E533" s="11"/>
      <c r="F533" s="16"/>
    </row>
    <row r="534" spans="5:6">
      <c r="E534" s="11"/>
      <c r="F534" s="16"/>
    </row>
    <row r="535" spans="5:6">
      <c r="E535" s="11"/>
      <c r="F535" s="16"/>
    </row>
    <row r="536" spans="5:6">
      <c r="E536" s="11"/>
      <c r="F536" s="16"/>
    </row>
    <row r="537" spans="5:6">
      <c r="E537" s="11"/>
      <c r="F537" s="16"/>
    </row>
    <row r="538" spans="5:6">
      <c r="E538" s="11"/>
      <c r="F538" s="16"/>
    </row>
    <row r="539" spans="5:6">
      <c r="E539" s="11"/>
      <c r="F539" s="16"/>
    </row>
    <row r="540" spans="5:6">
      <c r="E540" s="11"/>
      <c r="F540" s="16"/>
    </row>
    <row r="541" spans="5:6">
      <c r="E541" s="11"/>
      <c r="F541" s="16"/>
    </row>
    <row r="542" spans="5:6">
      <c r="E542" s="11"/>
      <c r="F542" s="16"/>
    </row>
    <row r="543" spans="5:6">
      <c r="E543" s="11"/>
      <c r="F543" s="16"/>
    </row>
    <row r="544" spans="5:6">
      <c r="E544" s="11"/>
      <c r="F544" s="16"/>
    </row>
    <row r="545" spans="5:6">
      <c r="E545" s="11"/>
      <c r="F545" s="16"/>
    </row>
    <row r="546" spans="5:6">
      <c r="E546" s="11"/>
      <c r="F546" s="16"/>
    </row>
    <row r="547" spans="5:6">
      <c r="E547" s="11"/>
      <c r="F547" s="16"/>
    </row>
    <row r="548" spans="5:6">
      <c r="E548" s="11"/>
      <c r="F548" s="16"/>
    </row>
    <row r="549" spans="5:6">
      <c r="E549" s="11"/>
      <c r="F549" s="16"/>
    </row>
    <row r="550" spans="5:6">
      <c r="E550" s="11"/>
      <c r="F550" s="16"/>
    </row>
    <row r="551" spans="5:6">
      <c r="E551" s="11"/>
      <c r="F551" s="16"/>
    </row>
    <row r="552" spans="5:6">
      <c r="E552" s="11"/>
      <c r="F552" s="16"/>
    </row>
    <row r="553" spans="5:6">
      <c r="E553" s="11"/>
      <c r="F553" s="16"/>
    </row>
    <row r="554" spans="5:6">
      <c r="E554" s="11"/>
      <c r="F554" s="16"/>
    </row>
    <row r="555" spans="5:6">
      <c r="E555" s="11"/>
      <c r="F555" s="16"/>
    </row>
    <row r="556" spans="5:6">
      <c r="E556" s="11"/>
      <c r="F556" s="16"/>
    </row>
    <row r="557" spans="5:6">
      <c r="E557" s="11"/>
      <c r="F557" s="16"/>
    </row>
    <row r="558" spans="5:6">
      <c r="E558" s="11"/>
      <c r="F558" s="16"/>
    </row>
    <row r="559" spans="5:6">
      <c r="E559" s="11"/>
      <c r="F559" s="16"/>
    </row>
    <row r="560" spans="5:6">
      <c r="E560" s="11"/>
      <c r="F560" s="16"/>
    </row>
    <row r="561" spans="5:6">
      <c r="E561" s="11"/>
      <c r="F561" s="16"/>
    </row>
    <row r="562" spans="5:6">
      <c r="E562" s="11"/>
      <c r="F562" s="16"/>
    </row>
    <row r="563" spans="5:6">
      <c r="E563" s="11"/>
      <c r="F563" s="16"/>
    </row>
    <row r="564" spans="5:6">
      <c r="E564" s="11"/>
      <c r="F564" s="16"/>
    </row>
    <row r="565" spans="5:6">
      <c r="E565" s="11"/>
      <c r="F565" s="16"/>
    </row>
    <row r="566" spans="5:6">
      <c r="E566" s="11"/>
      <c r="F566" s="16"/>
    </row>
    <row r="567" spans="5:6">
      <c r="E567" s="11"/>
      <c r="F567" s="16"/>
    </row>
    <row r="568" spans="5:6">
      <c r="E568" s="11"/>
      <c r="F568" s="16"/>
    </row>
    <row r="569" spans="5:6">
      <c r="E569" s="11"/>
      <c r="F569" s="16"/>
    </row>
    <row r="570" spans="5:6">
      <c r="E570" s="11"/>
      <c r="F570" s="16"/>
    </row>
    <row r="571" spans="5:6">
      <c r="E571" s="11"/>
      <c r="F571" s="16"/>
    </row>
    <row r="572" spans="5:6">
      <c r="E572" s="11"/>
      <c r="F572" s="16"/>
    </row>
    <row r="573" spans="5:6">
      <c r="E573" s="11"/>
      <c r="F573" s="16"/>
    </row>
    <row r="574" spans="5:6">
      <c r="E574" s="11"/>
      <c r="F574" s="16"/>
    </row>
    <row r="575" spans="5:6">
      <c r="E575" s="11"/>
      <c r="F575" s="16"/>
    </row>
    <row r="576" spans="5:6">
      <c r="E576" s="11"/>
      <c r="F576" s="16"/>
    </row>
    <row r="577" spans="5:6">
      <c r="E577" s="11"/>
      <c r="F577" s="16"/>
    </row>
    <row r="578" spans="5:6">
      <c r="E578" s="11"/>
      <c r="F578" s="16"/>
    </row>
    <row r="579" spans="5:6">
      <c r="E579" s="11"/>
      <c r="F579" s="16"/>
    </row>
    <row r="580" spans="5:6">
      <c r="E580" s="11"/>
      <c r="F580" s="16"/>
    </row>
    <row r="581" spans="5:6">
      <c r="E581" s="11"/>
      <c r="F581" s="16"/>
    </row>
    <row r="582" spans="5:6">
      <c r="E582" s="11"/>
      <c r="F582" s="16"/>
    </row>
    <row r="583" spans="5:6">
      <c r="E583" s="11"/>
      <c r="F583" s="16"/>
    </row>
    <row r="584" spans="5:6">
      <c r="E584" s="11"/>
      <c r="F584" s="16"/>
    </row>
    <row r="585" spans="5:6">
      <c r="E585" s="11"/>
      <c r="F585" s="16"/>
    </row>
    <row r="586" spans="5:6">
      <c r="E586" s="11"/>
      <c r="F586" s="16"/>
    </row>
    <row r="587" spans="5:6">
      <c r="E587" s="11"/>
      <c r="F587" s="16"/>
    </row>
    <row r="588" spans="5:6">
      <c r="E588" s="11"/>
      <c r="F588" s="16"/>
    </row>
    <row r="589" spans="5:6">
      <c r="E589" s="11"/>
      <c r="F589" s="16"/>
    </row>
    <row r="590" spans="5:6">
      <c r="E590" s="11"/>
      <c r="F590" s="16"/>
    </row>
    <row r="591" spans="5:6">
      <c r="E591" s="11"/>
      <c r="F591" s="16"/>
    </row>
    <row r="592" spans="5:6">
      <c r="E592" s="11"/>
      <c r="F592" s="16"/>
    </row>
    <row r="593" spans="5:6">
      <c r="E593" s="11"/>
      <c r="F593" s="16"/>
    </row>
    <row r="594" spans="5:6">
      <c r="E594" s="11"/>
      <c r="F594" s="16"/>
    </row>
    <row r="595" spans="5:6">
      <c r="E595" s="11"/>
      <c r="F595" s="16"/>
    </row>
    <row r="596" spans="5:6">
      <c r="E596" s="11"/>
      <c r="F596" s="16"/>
    </row>
    <row r="597" spans="5:6">
      <c r="E597" s="11"/>
      <c r="F597" s="16"/>
    </row>
    <row r="598" spans="5:6">
      <c r="E598" s="11"/>
      <c r="F598" s="16"/>
    </row>
    <row r="599" spans="5:6">
      <c r="E599" s="11"/>
      <c r="F599" s="16"/>
    </row>
    <row r="600" spans="5:6">
      <c r="E600" s="11"/>
      <c r="F600" s="16"/>
    </row>
    <row r="601" spans="5:6">
      <c r="E601" s="11"/>
      <c r="F601" s="16"/>
    </row>
    <row r="602" spans="5:6">
      <c r="E602" s="11"/>
      <c r="F602" s="16"/>
    </row>
    <row r="603" spans="5:6">
      <c r="E603" s="11"/>
      <c r="F603" s="16"/>
    </row>
    <row r="604" spans="5:6">
      <c r="E604" s="11"/>
      <c r="F604" s="16"/>
    </row>
    <row r="605" spans="5:6">
      <c r="E605" s="11"/>
      <c r="F605" s="16"/>
    </row>
    <row r="606" spans="5:6">
      <c r="E606" s="11"/>
      <c r="F606" s="16"/>
    </row>
    <row r="607" spans="5:6">
      <c r="E607" s="11"/>
      <c r="F607" s="16"/>
    </row>
    <row r="608" spans="5:6">
      <c r="E608" s="11"/>
      <c r="F608" s="16"/>
    </row>
    <row r="609" spans="5:6">
      <c r="E609" s="11"/>
      <c r="F609" s="16"/>
    </row>
    <row r="610" spans="5:6">
      <c r="E610" s="11"/>
      <c r="F610" s="16"/>
    </row>
    <row r="611" spans="5:6">
      <c r="E611" s="11"/>
      <c r="F611" s="16"/>
    </row>
    <row r="612" spans="5:6">
      <c r="E612" s="11"/>
      <c r="F612" s="16"/>
    </row>
    <row r="613" spans="5:6">
      <c r="E613" s="11"/>
      <c r="F613" s="16"/>
    </row>
    <row r="614" spans="5:6">
      <c r="E614" s="11"/>
      <c r="F614" s="16"/>
    </row>
    <row r="615" spans="5:6">
      <c r="E615" s="11"/>
      <c r="F615" s="16"/>
    </row>
    <row r="616" spans="5:6">
      <c r="E616" s="11"/>
      <c r="F616" s="16"/>
    </row>
    <row r="617" spans="5:6">
      <c r="E617" s="11"/>
      <c r="F617" s="16"/>
    </row>
    <row r="618" spans="5:6">
      <c r="E618" s="11"/>
      <c r="F618" s="16"/>
    </row>
    <row r="619" spans="5:6">
      <c r="E619" s="11"/>
      <c r="F619" s="16"/>
    </row>
    <row r="620" spans="5:6">
      <c r="E620" s="11"/>
      <c r="F620" s="16"/>
    </row>
    <row r="621" spans="5:6">
      <c r="E621" s="11"/>
      <c r="F621" s="16"/>
    </row>
    <row r="622" spans="5:6">
      <c r="E622" s="11"/>
      <c r="F622" s="16"/>
    </row>
    <row r="623" spans="5:6">
      <c r="E623" s="11"/>
      <c r="F623" s="16"/>
    </row>
    <row r="624" spans="5:6">
      <c r="E624" s="11"/>
      <c r="F624" s="16"/>
    </row>
    <row r="625" spans="5:6">
      <c r="E625" s="11"/>
      <c r="F625" s="16"/>
    </row>
    <row r="626" spans="5:6">
      <c r="E626" s="11"/>
      <c r="F626" s="16"/>
    </row>
    <row r="627" spans="5:6">
      <c r="E627" s="11"/>
      <c r="F627" s="16"/>
    </row>
    <row r="628" spans="5:6">
      <c r="E628" s="11"/>
      <c r="F628" s="16"/>
    </row>
    <row r="629" spans="5:6">
      <c r="E629" s="11"/>
      <c r="F629" s="16"/>
    </row>
    <row r="630" spans="5:6">
      <c r="E630" s="11"/>
      <c r="F630" s="16"/>
    </row>
    <row r="631" spans="5:6">
      <c r="E631" s="11"/>
      <c r="F631" s="16"/>
    </row>
    <row r="632" spans="5:6">
      <c r="E632" s="11"/>
      <c r="F632" s="16"/>
    </row>
    <row r="633" spans="5:6">
      <c r="E633" s="11"/>
      <c r="F633" s="16"/>
    </row>
    <row r="634" spans="5:6">
      <c r="E634" s="11"/>
      <c r="F634" s="16"/>
    </row>
    <row r="635" spans="5:6">
      <c r="E635" s="11"/>
      <c r="F635" s="16"/>
    </row>
    <row r="636" spans="5:6">
      <c r="E636" s="11"/>
      <c r="F636" s="16"/>
    </row>
    <row r="637" spans="5:6">
      <c r="E637" s="11"/>
      <c r="F637" s="16"/>
    </row>
    <row r="638" spans="5:6">
      <c r="E638" s="11"/>
      <c r="F638" s="16"/>
    </row>
    <row r="639" spans="5:6">
      <c r="E639" s="11"/>
      <c r="F639" s="16"/>
    </row>
    <row r="640" spans="5:6">
      <c r="E640" s="11"/>
      <c r="F640" s="16"/>
    </row>
    <row r="641" spans="5:6">
      <c r="E641" s="11"/>
      <c r="F641" s="16"/>
    </row>
    <row r="642" spans="5:6">
      <c r="E642" s="11"/>
      <c r="F642" s="16"/>
    </row>
    <row r="643" spans="5:6">
      <c r="E643" s="11"/>
      <c r="F643" s="16"/>
    </row>
    <row r="644" spans="5:6">
      <c r="E644" s="11"/>
      <c r="F644" s="16"/>
    </row>
    <row r="645" spans="5:6">
      <c r="E645" s="11"/>
      <c r="F645" s="16"/>
    </row>
    <row r="646" spans="5:6">
      <c r="E646" s="11"/>
      <c r="F646" s="16"/>
    </row>
    <row r="647" spans="5:6">
      <c r="E647" s="11"/>
      <c r="F647" s="16"/>
    </row>
    <row r="648" spans="5:6">
      <c r="E648" s="11"/>
      <c r="F648" s="16"/>
    </row>
    <row r="649" spans="5:6">
      <c r="E649" s="11"/>
      <c r="F649" s="16"/>
    </row>
    <row r="650" spans="5:6">
      <c r="E650" s="11"/>
      <c r="F650" s="16"/>
    </row>
    <row r="651" spans="5:6">
      <c r="E651" s="11"/>
      <c r="F651" s="16"/>
    </row>
    <row r="652" spans="5:6">
      <c r="E652" s="11"/>
      <c r="F652" s="16"/>
    </row>
    <row r="653" spans="5:6">
      <c r="E653" s="11"/>
      <c r="F653" s="16"/>
    </row>
    <row r="654" spans="5:6">
      <c r="E654" s="11"/>
      <c r="F654" s="16"/>
    </row>
    <row r="655" spans="5:6">
      <c r="E655" s="11"/>
      <c r="F655" s="16"/>
    </row>
    <row r="656" spans="5:6">
      <c r="E656" s="11"/>
      <c r="F656" s="16"/>
    </row>
    <row r="657" spans="5:6">
      <c r="E657" s="11"/>
      <c r="F657" s="16"/>
    </row>
    <row r="658" spans="5:6">
      <c r="E658" s="11"/>
      <c r="F658" s="16"/>
    </row>
    <row r="659" spans="5:6">
      <c r="E659" s="11"/>
      <c r="F659" s="16"/>
    </row>
    <row r="660" spans="5:6">
      <c r="E660" s="11"/>
      <c r="F660" s="16"/>
    </row>
    <row r="661" spans="5:6">
      <c r="E661" s="11"/>
      <c r="F661" s="16"/>
    </row>
    <row r="662" spans="5:6">
      <c r="E662" s="11"/>
      <c r="F662" s="16"/>
    </row>
    <row r="663" spans="5:6">
      <c r="E663" s="11"/>
      <c r="F663" s="16"/>
    </row>
    <row r="664" spans="5:6">
      <c r="E664" s="11"/>
      <c r="F664" s="16"/>
    </row>
    <row r="665" spans="5:6">
      <c r="E665" s="11"/>
      <c r="F665" s="16"/>
    </row>
    <row r="666" spans="5:6">
      <c r="E666" s="11"/>
      <c r="F666" s="16"/>
    </row>
    <row r="667" spans="5:6">
      <c r="E667" s="11"/>
      <c r="F667" s="16"/>
    </row>
    <row r="668" spans="5:6">
      <c r="E668" s="11"/>
      <c r="F668" s="16"/>
    </row>
    <row r="669" spans="5:6">
      <c r="E669" s="11"/>
      <c r="F669" s="16"/>
    </row>
    <row r="670" spans="5:6">
      <c r="E670" s="11"/>
      <c r="F670" s="16"/>
    </row>
    <row r="671" spans="5:6">
      <c r="E671" s="11"/>
      <c r="F671" s="16"/>
    </row>
    <row r="672" spans="5:6">
      <c r="E672" s="11"/>
      <c r="F672" s="16"/>
    </row>
    <row r="673" spans="5:6">
      <c r="E673" s="11"/>
      <c r="F673" s="16"/>
    </row>
    <row r="674" spans="5:6">
      <c r="E674" s="11"/>
      <c r="F674" s="16"/>
    </row>
    <row r="675" spans="5:6">
      <c r="E675" s="11"/>
      <c r="F675" s="16"/>
    </row>
    <row r="676" spans="5:6">
      <c r="E676" s="11"/>
      <c r="F676" s="16"/>
    </row>
    <row r="677" spans="5:6">
      <c r="E677" s="11"/>
      <c r="F677" s="16"/>
    </row>
    <row r="678" spans="5:6">
      <c r="E678" s="11"/>
      <c r="F678" s="16"/>
    </row>
    <row r="679" spans="5:6">
      <c r="E679" s="11"/>
      <c r="F679" s="16"/>
    </row>
    <row r="680" spans="5:6">
      <c r="E680" s="11"/>
      <c r="F680" s="16"/>
    </row>
    <row r="681" spans="5:6">
      <c r="E681" s="11"/>
      <c r="F681" s="16"/>
    </row>
    <row r="682" spans="5:6">
      <c r="E682" s="11"/>
      <c r="F682" s="16"/>
    </row>
    <row r="683" spans="5:6">
      <c r="E683" s="11"/>
      <c r="F683" s="16"/>
    </row>
    <row r="684" spans="5:6">
      <c r="E684" s="11"/>
      <c r="F684" s="16"/>
    </row>
    <row r="685" spans="5:6">
      <c r="E685" s="11"/>
      <c r="F685" s="16"/>
    </row>
    <row r="686" spans="5:6">
      <c r="E686" s="11"/>
      <c r="F686" s="16"/>
    </row>
    <row r="687" spans="5:6">
      <c r="E687" s="11"/>
      <c r="F687" s="16"/>
    </row>
    <row r="688" spans="5:6">
      <c r="E688" s="11"/>
      <c r="F688" s="16"/>
    </row>
    <row r="689" spans="5:6">
      <c r="E689" s="11"/>
      <c r="F689" s="16"/>
    </row>
    <row r="690" spans="5:6">
      <c r="E690" s="11"/>
      <c r="F690" s="16"/>
    </row>
    <row r="691" spans="5:6">
      <c r="E691" s="11"/>
      <c r="F691" s="16"/>
    </row>
    <row r="692" spans="5:6">
      <c r="E692" s="11"/>
      <c r="F692" s="16"/>
    </row>
    <row r="693" spans="5:6">
      <c r="E693" s="11"/>
      <c r="F693" s="16"/>
    </row>
    <row r="694" spans="5:6">
      <c r="E694" s="11"/>
      <c r="F694" s="16"/>
    </row>
    <row r="695" spans="5:6">
      <c r="E695" s="11"/>
      <c r="F695" s="16"/>
    </row>
    <row r="696" spans="5:6">
      <c r="E696" s="11"/>
      <c r="F696" s="16"/>
    </row>
    <row r="697" spans="5:6">
      <c r="E697" s="11"/>
      <c r="F697" s="16"/>
    </row>
    <row r="698" spans="5:6">
      <c r="E698" s="11"/>
      <c r="F698" s="16"/>
    </row>
    <row r="699" spans="5:6">
      <c r="E699" s="11"/>
      <c r="F699" s="16"/>
    </row>
    <row r="700" spans="5:6">
      <c r="E700" s="11"/>
      <c r="F700" s="16"/>
    </row>
    <row r="701" spans="5:6">
      <c r="E701" s="11"/>
      <c r="F701" s="16"/>
    </row>
    <row r="702" spans="5:6">
      <c r="E702" s="11"/>
      <c r="F702" s="16"/>
    </row>
    <row r="703" spans="5:6">
      <c r="E703" s="11"/>
      <c r="F703" s="16"/>
    </row>
    <row r="704" spans="5:6">
      <c r="E704" s="11"/>
      <c r="F704" s="16"/>
    </row>
    <row r="705" spans="5:6">
      <c r="E705" s="11"/>
      <c r="F705" s="16"/>
    </row>
    <row r="706" spans="5:6">
      <c r="E706" s="11"/>
      <c r="F706" s="16"/>
    </row>
    <row r="707" spans="5:6">
      <c r="E707" s="11"/>
      <c r="F707" s="16"/>
    </row>
    <row r="708" spans="5:6">
      <c r="E708" s="11"/>
      <c r="F708" s="16"/>
    </row>
    <row r="709" spans="5:6">
      <c r="E709" s="11"/>
      <c r="F709" s="16"/>
    </row>
    <row r="710" spans="5:6">
      <c r="E710" s="11"/>
      <c r="F710" s="16"/>
    </row>
    <row r="711" spans="5:6">
      <c r="E711" s="11"/>
      <c r="F711" s="16"/>
    </row>
    <row r="712" spans="5:6">
      <c r="E712" s="11"/>
      <c r="F712" s="16"/>
    </row>
    <row r="713" spans="5:6">
      <c r="E713" s="11"/>
      <c r="F713" s="16"/>
    </row>
    <row r="714" spans="5:6">
      <c r="E714" s="11"/>
      <c r="F714" s="16"/>
    </row>
    <row r="715" spans="5:6">
      <c r="E715" s="11"/>
      <c r="F715" s="16"/>
    </row>
    <row r="716" spans="5:6">
      <c r="E716" s="11"/>
      <c r="F716" s="16"/>
    </row>
    <row r="717" spans="5:6">
      <c r="E717" s="11"/>
      <c r="F717" s="16"/>
    </row>
    <row r="718" spans="5:6">
      <c r="E718" s="11"/>
      <c r="F718" s="16"/>
    </row>
    <row r="719" spans="5:6">
      <c r="E719" s="11"/>
      <c r="F719" s="16"/>
    </row>
    <row r="720" spans="5:6">
      <c r="E720" s="11"/>
      <c r="F720" s="16"/>
    </row>
    <row r="721" spans="5:6">
      <c r="E721" s="11"/>
      <c r="F721" s="16"/>
    </row>
    <row r="722" spans="5:6">
      <c r="E722" s="11"/>
      <c r="F722" s="16"/>
    </row>
    <row r="723" spans="5:6">
      <c r="E723" s="11"/>
      <c r="F723" s="16"/>
    </row>
    <row r="724" spans="5:6">
      <c r="E724" s="11"/>
      <c r="F724" s="16"/>
    </row>
    <row r="725" spans="5:6">
      <c r="E725" s="11"/>
      <c r="F725" s="16"/>
    </row>
    <row r="726" spans="5:6">
      <c r="E726" s="11"/>
      <c r="F726" s="16"/>
    </row>
    <row r="727" spans="5:6">
      <c r="E727" s="11"/>
      <c r="F727" s="16"/>
    </row>
    <row r="728" spans="5:6">
      <c r="E728" s="11"/>
      <c r="F728" s="16"/>
    </row>
    <row r="729" spans="5:6">
      <c r="E729" s="11"/>
      <c r="F729" s="16"/>
    </row>
    <row r="730" spans="5:6">
      <c r="E730" s="11"/>
      <c r="F730" s="16"/>
    </row>
    <row r="731" spans="5:6">
      <c r="E731" s="11"/>
      <c r="F731" s="16"/>
    </row>
    <row r="732" spans="5:6">
      <c r="E732" s="11"/>
      <c r="F732" s="16"/>
    </row>
    <row r="733" spans="5:6">
      <c r="E733" s="11"/>
      <c r="F733" s="16"/>
    </row>
    <row r="734" spans="5:6">
      <c r="E734" s="11"/>
      <c r="F734" s="16"/>
    </row>
    <row r="735" spans="5:6">
      <c r="E735" s="11"/>
      <c r="F735" s="16"/>
    </row>
    <row r="736" spans="5:6">
      <c r="E736" s="11"/>
      <c r="F736" s="16"/>
    </row>
    <row r="737" spans="5:6">
      <c r="E737" s="11"/>
      <c r="F737" s="16"/>
    </row>
    <row r="738" spans="5:6">
      <c r="E738" s="11"/>
      <c r="F738" s="16"/>
    </row>
    <row r="739" spans="5:6">
      <c r="E739" s="11"/>
      <c r="F739" s="16"/>
    </row>
    <row r="740" spans="5:6">
      <c r="E740" s="11"/>
      <c r="F740" s="16"/>
    </row>
    <row r="741" spans="5:6">
      <c r="E741" s="11"/>
      <c r="F741" s="16"/>
    </row>
    <row r="742" spans="5:6">
      <c r="E742" s="11"/>
      <c r="F742" s="16"/>
    </row>
    <row r="743" spans="5:6">
      <c r="E743" s="11"/>
      <c r="F743" s="16"/>
    </row>
    <row r="744" spans="5:6">
      <c r="E744" s="11"/>
      <c r="F744" s="16"/>
    </row>
    <row r="745" spans="5:6">
      <c r="E745" s="11"/>
      <c r="F745" s="16"/>
    </row>
    <row r="746" spans="5:6">
      <c r="E746" s="11"/>
      <c r="F746" s="16"/>
    </row>
    <row r="747" spans="5:6">
      <c r="E747" s="11"/>
      <c r="F747" s="16"/>
    </row>
    <row r="748" spans="5:6">
      <c r="E748" s="11"/>
      <c r="F748" s="16"/>
    </row>
    <row r="749" spans="5:6">
      <c r="E749" s="11"/>
      <c r="F749" s="16"/>
    </row>
    <row r="750" spans="5:6">
      <c r="E750" s="11"/>
      <c r="F750" s="16"/>
    </row>
    <row r="751" spans="5:6">
      <c r="E751" s="11"/>
      <c r="F751" s="16"/>
    </row>
    <row r="752" spans="5:6">
      <c r="E752" s="11"/>
      <c r="F752" s="16"/>
    </row>
    <row r="753" spans="5:6">
      <c r="E753" s="11"/>
      <c r="F753" s="16"/>
    </row>
    <row r="754" spans="5:6">
      <c r="E754" s="11"/>
      <c r="F754" s="16"/>
    </row>
    <row r="755" spans="5:6">
      <c r="E755" s="11"/>
      <c r="F755" s="16"/>
    </row>
    <row r="756" spans="5:6">
      <c r="E756" s="11"/>
      <c r="F756" s="16"/>
    </row>
    <row r="757" spans="5:6">
      <c r="E757" s="11"/>
      <c r="F757" s="16"/>
    </row>
    <row r="758" spans="5:6">
      <c r="E758" s="11"/>
      <c r="F758" s="16"/>
    </row>
    <row r="759" spans="5:6">
      <c r="E759" s="11"/>
      <c r="F759" s="16"/>
    </row>
    <row r="760" spans="5:6">
      <c r="E760" s="11"/>
      <c r="F760" s="16"/>
    </row>
    <row r="761" spans="5:6">
      <c r="E761" s="11"/>
      <c r="F761" s="16"/>
    </row>
    <row r="762" spans="5:6">
      <c r="E762" s="11"/>
      <c r="F762" s="16"/>
    </row>
    <row r="763" spans="5:6">
      <c r="E763" s="11"/>
      <c r="F763" s="16"/>
    </row>
    <row r="764" spans="5:6">
      <c r="E764" s="11"/>
      <c r="F764" s="16"/>
    </row>
    <row r="765" spans="5:6">
      <c r="E765" s="11"/>
      <c r="F765" s="16"/>
    </row>
    <row r="766" spans="5:6">
      <c r="E766" s="11"/>
      <c r="F766" s="16"/>
    </row>
    <row r="767" spans="5:6">
      <c r="E767" s="11"/>
      <c r="F767" s="16"/>
    </row>
    <row r="768" spans="5:6">
      <c r="E768" s="11"/>
      <c r="F768" s="16"/>
    </row>
    <row r="769" spans="5:6">
      <c r="E769" s="11"/>
      <c r="F769" s="16"/>
    </row>
    <row r="770" spans="5:6">
      <c r="E770" s="11"/>
      <c r="F770" s="16"/>
    </row>
    <row r="771" spans="5:6">
      <c r="E771" s="11"/>
      <c r="F771" s="16"/>
    </row>
    <row r="772" spans="5:6">
      <c r="E772" s="11"/>
      <c r="F772" s="16"/>
    </row>
    <row r="773" spans="5:6">
      <c r="E773" s="11"/>
      <c r="F773" s="16"/>
    </row>
    <row r="774" spans="5:6">
      <c r="E774" s="11"/>
      <c r="F774" s="16"/>
    </row>
    <row r="775" spans="5:6">
      <c r="E775" s="11"/>
      <c r="F775" s="16"/>
    </row>
    <row r="776" spans="5:6">
      <c r="E776" s="11"/>
      <c r="F776" s="16"/>
    </row>
    <row r="777" spans="5:6">
      <c r="E777" s="11"/>
      <c r="F777" s="16"/>
    </row>
    <row r="778" spans="5:6">
      <c r="E778" s="11"/>
      <c r="F778" s="16"/>
    </row>
    <row r="779" spans="5:6">
      <c r="E779" s="11"/>
      <c r="F779" s="16"/>
    </row>
    <row r="780" spans="5:6">
      <c r="E780" s="11"/>
      <c r="F780" s="16"/>
    </row>
    <row r="781" spans="5:6">
      <c r="E781" s="11"/>
      <c r="F781" s="16"/>
    </row>
    <row r="782" spans="5:6">
      <c r="E782" s="11"/>
      <c r="F782" s="16"/>
    </row>
    <row r="783" spans="5:6">
      <c r="E783" s="11"/>
      <c r="F783" s="16"/>
    </row>
    <row r="784" spans="5:6">
      <c r="E784" s="11"/>
      <c r="F784" s="16"/>
    </row>
    <row r="785" spans="5:6">
      <c r="E785" s="11"/>
      <c r="F785" s="16"/>
    </row>
    <row r="786" spans="5:6">
      <c r="E786" s="11"/>
      <c r="F786" s="16"/>
    </row>
    <row r="787" spans="5:6">
      <c r="E787" s="11"/>
      <c r="F787" s="16"/>
    </row>
    <row r="788" spans="5:6">
      <c r="E788" s="11"/>
      <c r="F788" s="16"/>
    </row>
    <row r="789" spans="5:6">
      <c r="E789" s="11"/>
      <c r="F789" s="16"/>
    </row>
    <row r="790" spans="5:6">
      <c r="E790" s="11"/>
      <c r="F790" s="16"/>
    </row>
    <row r="791" spans="5:6">
      <c r="E791" s="11"/>
      <c r="F791" s="16"/>
    </row>
    <row r="792" spans="5:6">
      <c r="E792" s="11"/>
      <c r="F792" s="16"/>
    </row>
    <row r="793" spans="5:6">
      <c r="E793" s="11"/>
      <c r="F793" s="16"/>
    </row>
    <row r="794" spans="5:6">
      <c r="E794" s="11"/>
      <c r="F794" s="16"/>
    </row>
    <row r="795" spans="5:6">
      <c r="E795" s="11"/>
      <c r="F795" s="16"/>
    </row>
    <row r="796" spans="5:6">
      <c r="E796" s="11"/>
      <c r="F796" s="16"/>
    </row>
    <row r="797" spans="5:6">
      <c r="E797" s="11"/>
      <c r="F797" s="16"/>
    </row>
    <row r="798" spans="5:6">
      <c r="E798" s="11"/>
      <c r="F798" s="16"/>
    </row>
    <row r="799" spans="5:6">
      <c r="E799" s="11"/>
      <c r="F799" s="16"/>
    </row>
    <row r="800" spans="5:6">
      <c r="E800" s="11"/>
      <c r="F800" s="16"/>
    </row>
    <row r="801" spans="5:6">
      <c r="E801" s="11"/>
      <c r="F801" s="16"/>
    </row>
    <row r="802" spans="5:6">
      <c r="E802" s="11"/>
      <c r="F802" s="16"/>
    </row>
    <row r="803" spans="5:6">
      <c r="E803" s="11"/>
      <c r="F803" s="16"/>
    </row>
    <row r="804" spans="5:6">
      <c r="E804" s="11"/>
      <c r="F804" s="16"/>
    </row>
    <row r="805" spans="5:6">
      <c r="E805" s="11"/>
      <c r="F805" s="16"/>
    </row>
    <row r="806" spans="5:6">
      <c r="E806" s="11"/>
      <c r="F806" s="16"/>
    </row>
    <row r="807" spans="5:6">
      <c r="E807" s="11"/>
      <c r="F807" s="16"/>
    </row>
    <row r="808" spans="5:6">
      <c r="E808" s="11"/>
      <c r="F808" s="16"/>
    </row>
    <row r="809" spans="5:6">
      <c r="E809" s="11"/>
      <c r="F809" s="16"/>
    </row>
    <row r="810" spans="5:6">
      <c r="E810" s="11"/>
      <c r="F810" s="16"/>
    </row>
    <row r="811" spans="5:6">
      <c r="E811" s="11"/>
      <c r="F811" s="16"/>
    </row>
    <row r="812" spans="5:6">
      <c r="E812" s="11"/>
      <c r="F812" s="16"/>
    </row>
    <row r="813" spans="5:6">
      <c r="E813" s="11"/>
      <c r="F813" s="16"/>
    </row>
    <row r="814" spans="5:6">
      <c r="E814" s="11"/>
      <c r="F814" s="16"/>
    </row>
    <row r="815" spans="5:6">
      <c r="E815" s="11"/>
      <c r="F815" s="16"/>
    </row>
    <row r="816" spans="5:6">
      <c r="E816" s="11"/>
      <c r="F816" s="16"/>
    </row>
    <row r="817" spans="5:6">
      <c r="E817" s="11"/>
      <c r="F817" s="16"/>
    </row>
    <row r="818" spans="5:6">
      <c r="E818" s="11"/>
      <c r="F818" s="16"/>
    </row>
    <row r="819" spans="5:6">
      <c r="E819" s="11"/>
      <c r="F819" s="16"/>
    </row>
    <row r="820" spans="5:6">
      <c r="E820" s="11"/>
      <c r="F820" s="16"/>
    </row>
    <row r="821" spans="5:6">
      <c r="E821" s="11"/>
      <c r="F821" s="16"/>
    </row>
    <row r="822" spans="5:6">
      <c r="E822" s="11"/>
      <c r="F822" s="16"/>
    </row>
    <row r="823" spans="5:6">
      <c r="E823" s="11"/>
      <c r="F823" s="16"/>
    </row>
    <row r="824" spans="5:6">
      <c r="E824" s="11"/>
      <c r="F824" s="16"/>
    </row>
    <row r="825" spans="5:6">
      <c r="E825" s="11"/>
      <c r="F825" s="16"/>
    </row>
    <row r="826" spans="5:6">
      <c r="E826" s="11"/>
      <c r="F826" s="16"/>
    </row>
    <row r="827" spans="5:6">
      <c r="E827" s="11"/>
      <c r="F827" s="16"/>
    </row>
    <row r="828" spans="5:6">
      <c r="E828" s="11"/>
      <c r="F828" s="16"/>
    </row>
    <row r="829" spans="5:6">
      <c r="E829" s="11"/>
      <c r="F829" s="16"/>
    </row>
    <row r="830" spans="5:6">
      <c r="E830" s="11"/>
      <c r="F830" s="16"/>
    </row>
    <row r="831" spans="5:6">
      <c r="E831" s="11"/>
      <c r="F831" s="16"/>
    </row>
    <row r="832" spans="5:6">
      <c r="E832" s="11"/>
      <c r="F832" s="16"/>
    </row>
    <row r="833" spans="5:6">
      <c r="E833" s="11"/>
      <c r="F833" s="16"/>
    </row>
    <row r="834" spans="5:6">
      <c r="E834" s="11"/>
      <c r="F834" s="16"/>
    </row>
    <row r="835" spans="5:6">
      <c r="E835" s="11"/>
      <c r="F835" s="16"/>
    </row>
    <row r="836" spans="5:6">
      <c r="E836" s="11"/>
      <c r="F836" s="16"/>
    </row>
    <row r="837" spans="5:6">
      <c r="E837" s="11"/>
      <c r="F837" s="16"/>
    </row>
    <row r="838" spans="5:6">
      <c r="E838" s="11"/>
      <c r="F838" s="16"/>
    </row>
    <row r="839" spans="5:6">
      <c r="E839" s="11"/>
      <c r="F839" s="16"/>
    </row>
    <row r="840" spans="5:6">
      <c r="E840" s="11"/>
      <c r="F840" s="16"/>
    </row>
    <row r="841" spans="5:6">
      <c r="E841" s="11"/>
      <c r="F841" s="16"/>
    </row>
    <row r="842" spans="5:6">
      <c r="E842" s="11"/>
      <c r="F842" s="16"/>
    </row>
    <row r="843" spans="5:6">
      <c r="E843" s="11"/>
      <c r="F843" s="16"/>
    </row>
    <row r="844" spans="5:6">
      <c r="E844" s="11"/>
      <c r="F844" s="16"/>
    </row>
    <row r="845" spans="5:6">
      <c r="E845" s="11"/>
      <c r="F845" s="16"/>
    </row>
    <row r="846" spans="5:6">
      <c r="E846" s="11"/>
      <c r="F846" s="16"/>
    </row>
    <row r="847" spans="5:6">
      <c r="E847" s="11"/>
      <c r="F847" s="16"/>
    </row>
    <row r="848" spans="5:6">
      <c r="E848" s="11"/>
      <c r="F848" s="16"/>
    </row>
    <row r="849" spans="5:6">
      <c r="E849" s="11"/>
      <c r="F849" s="16"/>
    </row>
    <row r="850" spans="5:6">
      <c r="E850" s="11"/>
      <c r="F850" s="16"/>
    </row>
    <row r="851" spans="5:6">
      <c r="E851" s="11"/>
      <c r="F851" s="16"/>
    </row>
    <row r="852" spans="5:6">
      <c r="E852" s="11"/>
      <c r="F852" s="16"/>
    </row>
    <row r="853" spans="5:6">
      <c r="E853" s="11"/>
      <c r="F853" s="16"/>
    </row>
    <row r="854" spans="5:6">
      <c r="E854" s="11"/>
      <c r="F854" s="16"/>
    </row>
    <row r="855" spans="5:6">
      <c r="E855" s="11"/>
      <c r="F855" s="16"/>
    </row>
    <row r="856" spans="5:6">
      <c r="E856" s="11"/>
      <c r="F856" s="16"/>
    </row>
    <row r="857" spans="5:6">
      <c r="E857" s="11"/>
      <c r="F857" s="16"/>
    </row>
    <row r="858" spans="5:6">
      <c r="E858" s="11"/>
      <c r="F858" s="16"/>
    </row>
    <row r="859" spans="5:6">
      <c r="E859" s="11"/>
      <c r="F859" s="16"/>
    </row>
    <row r="860" spans="5:6">
      <c r="E860" s="11"/>
      <c r="F860" s="16"/>
    </row>
    <row r="861" spans="5:6">
      <c r="E861" s="11"/>
      <c r="F861" s="16"/>
    </row>
    <row r="862" spans="5:6">
      <c r="E862" s="11"/>
      <c r="F862" s="16"/>
    </row>
    <row r="863" spans="5:6">
      <c r="E863" s="11"/>
      <c r="F863" s="16"/>
    </row>
    <row r="864" spans="5:6">
      <c r="E864" s="11"/>
      <c r="F864" s="16"/>
    </row>
    <row r="865" spans="5:6">
      <c r="E865" s="11"/>
      <c r="F865" s="16"/>
    </row>
    <row r="866" spans="5:6">
      <c r="E866" s="11"/>
      <c r="F866" s="16"/>
    </row>
    <row r="867" spans="5:6">
      <c r="E867" s="11"/>
      <c r="F867" s="16"/>
    </row>
    <row r="868" spans="5:6">
      <c r="E868" s="11"/>
      <c r="F868" s="16"/>
    </row>
    <row r="869" spans="5:6">
      <c r="E869" s="11"/>
      <c r="F869" s="16"/>
    </row>
    <row r="870" spans="5:6">
      <c r="E870" s="11"/>
      <c r="F870" s="16"/>
    </row>
    <row r="871" spans="5:6">
      <c r="E871" s="11"/>
      <c r="F871" s="16"/>
    </row>
    <row r="872" spans="5:6">
      <c r="E872" s="11"/>
      <c r="F872" s="16"/>
    </row>
    <row r="873" spans="5:6">
      <c r="E873" s="11"/>
      <c r="F873" s="16"/>
    </row>
    <row r="874" spans="5:6">
      <c r="E874" s="11"/>
      <c r="F874" s="16"/>
    </row>
    <row r="875" spans="5:6">
      <c r="E875" s="11"/>
      <c r="F875" s="16"/>
    </row>
    <row r="876" spans="5:6">
      <c r="E876" s="11"/>
      <c r="F876" s="16"/>
    </row>
    <row r="877" spans="5:6">
      <c r="E877" s="11"/>
      <c r="F877" s="16"/>
    </row>
    <row r="878" spans="5:6">
      <c r="E878" s="11"/>
      <c r="F878" s="16"/>
    </row>
    <row r="879" spans="5:6">
      <c r="E879" s="11"/>
      <c r="F879" s="16"/>
    </row>
    <row r="880" spans="5:6">
      <c r="E880" s="11"/>
      <c r="F880" s="16"/>
    </row>
    <row r="881" spans="5:6">
      <c r="E881" s="11"/>
      <c r="F881" s="16"/>
    </row>
    <row r="882" spans="5:6">
      <c r="E882" s="11"/>
      <c r="F882" s="16"/>
    </row>
    <row r="883" spans="5:6">
      <c r="E883" s="11"/>
      <c r="F883" s="16"/>
    </row>
    <row r="884" spans="5:6">
      <c r="E884" s="11"/>
      <c r="F884" s="16"/>
    </row>
    <row r="885" spans="5:6">
      <c r="E885" s="11"/>
      <c r="F885" s="16"/>
    </row>
    <row r="886" spans="5:6">
      <c r="E886" s="11"/>
      <c r="F886" s="16"/>
    </row>
    <row r="887" spans="5:6">
      <c r="E887" s="11"/>
      <c r="F887" s="16"/>
    </row>
    <row r="888" spans="5:6">
      <c r="E888" s="11"/>
      <c r="F888" s="16"/>
    </row>
    <row r="889" spans="5:6">
      <c r="E889" s="11"/>
      <c r="F889" s="16"/>
    </row>
    <row r="890" spans="5:6">
      <c r="E890" s="11"/>
      <c r="F890" s="16"/>
    </row>
    <row r="891" spans="5:6">
      <c r="E891" s="11"/>
      <c r="F891" s="16"/>
    </row>
    <row r="892" spans="5:6">
      <c r="E892" s="11"/>
      <c r="F892" s="16"/>
    </row>
    <row r="893" spans="5:6">
      <c r="E893" s="11"/>
      <c r="F893" s="16"/>
    </row>
    <row r="894" spans="5:6">
      <c r="E894" s="11"/>
      <c r="F894" s="16"/>
    </row>
    <row r="895" spans="5:6">
      <c r="E895" s="11"/>
      <c r="F895" s="16"/>
    </row>
    <row r="896" spans="5:6">
      <c r="E896" s="11"/>
      <c r="F896" s="16"/>
    </row>
    <row r="897" spans="5:6">
      <c r="E897" s="11"/>
      <c r="F897" s="16"/>
    </row>
    <row r="898" spans="5:6">
      <c r="E898" s="11"/>
      <c r="F898" s="16"/>
    </row>
    <row r="899" spans="5:6">
      <c r="E899" s="11"/>
      <c r="F899" s="16"/>
    </row>
    <row r="900" spans="5:6">
      <c r="E900" s="11"/>
      <c r="F900" s="16"/>
    </row>
    <row r="901" spans="5:6">
      <c r="E901" s="11"/>
      <c r="F901" s="16"/>
    </row>
    <row r="902" spans="5:6">
      <c r="E902" s="11"/>
      <c r="F902" s="16"/>
    </row>
    <row r="903" spans="5:6">
      <c r="E903" s="11"/>
      <c r="F903" s="16"/>
    </row>
    <row r="904" spans="5:6">
      <c r="E904" s="11"/>
      <c r="F904" s="16"/>
    </row>
    <row r="905" spans="5:6">
      <c r="E905" s="11"/>
      <c r="F905" s="16"/>
    </row>
    <row r="906" spans="5:6">
      <c r="E906" s="11"/>
      <c r="F906" s="16"/>
    </row>
    <row r="907" spans="5:6">
      <c r="E907" s="11"/>
      <c r="F907" s="16"/>
    </row>
    <row r="908" spans="5:6">
      <c r="E908" s="11"/>
      <c r="F908" s="16"/>
    </row>
    <row r="909" spans="5:6">
      <c r="E909" s="11"/>
      <c r="F909" s="16"/>
    </row>
    <row r="910" spans="5:6">
      <c r="E910" s="11"/>
      <c r="F910" s="16"/>
    </row>
    <row r="911" spans="5:6">
      <c r="E911" s="11"/>
      <c r="F911" s="16"/>
    </row>
    <row r="912" spans="5:6">
      <c r="E912" s="11"/>
      <c r="F912" s="16"/>
    </row>
    <row r="913" spans="5:6">
      <c r="E913" s="11"/>
      <c r="F913" s="16"/>
    </row>
    <row r="914" spans="5:6">
      <c r="E914" s="11"/>
      <c r="F914" s="16"/>
    </row>
    <row r="915" spans="5:6">
      <c r="E915" s="11"/>
      <c r="F915" s="16"/>
    </row>
    <row r="916" spans="5:6">
      <c r="E916" s="11"/>
      <c r="F916" s="16"/>
    </row>
    <row r="917" spans="5:6">
      <c r="E917" s="11"/>
      <c r="F917" s="16"/>
    </row>
    <row r="918" spans="5:6">
      <c r="E918" s="11"/>
      <c r="F918" s="16"/>
    </row>
    <row r="919" spans="5:6">
      <c r="E919" s="11"/>
      <c r="F919" s="16"/>
    </row>
    <row r="920" spans="5:6">
      <c r="E920" s="11"/>
      <c r="F920" s="16"/>
    </row>
    <row r="921" spans="5:6">
      <c r="E921" s="11"/>
      <c r="F921" s="16"/>
    </row>
    <row r="922" spans="5:6">
      <c r="E922" s="11"/>
      <c r="F922" s="16"/>
    </row>
    <row r="923" spans="5:6">
      <c r="E923" s="11"/>
      <c r="F923" s="16"/>
    </row>
    <row r="924" spans="5:6">
      <c r="E924" s="11"/>
      <c r="F924" s="16"/>
    </row>
    <row r="925" spans="5:6">
      <c r="E925" s="11"/>
      <c r="F925" s="16"/>
    </row>
    <row r="926" spans="5:6">
      <c r="E926" s="11"/>
      <c r="F926" s="16"/>
    </row>
    <row r="927" spans="5:6">
      <c r="E927" s="11"/>
      <c r="F927" s="16"/>
    </row>
    <row r="928" spans="5:6">
      <c r="E928" s="11"/>
      <c r="F928" s="16"/>
    </row>
    <row r="929" spans="5:6">
      <c r="E929" s="11"/>
      <c r="F929" s="16"/>
    </row>
    <row r="930" spans="5:6">
      <c r="E930" s="11"/>
      <c r="F930" s="16"/>
    </row>
    <row r="931" spans="5:6">
      <c r="E931" s="11"/>
      <c r="F931" s="16"/>
    </row>
    <row r="932" spans="5:6">
      <c r="E932" s="11"/>
      <c r="F932" s="16"/>
    </row>
    <row r="933" spans="5:6">
      <c r="E933" s="11"/>
      <c r="F933" s="16"/>
    </row>
    <row r="934" spans="5:6">
      <c r="E934" s="11"/>
      <c r="F934" s="16"/>
    </row>
    <row r="935" spans="5:6">
      <c r="E935" s="11"/>
      <c r="F935" s="16"/>
    </row>
    <row r="936" spans="5:6">
      <c r="E936" s="11"/>
      <c r="F936" s="16"/>
    </row>
    <row r="937" spans="5:6">
      <c r="E937" s="11"/>
      <c r="F937" s="16"/>
    </row>
    <row r="938" spans="5:6">
      <c r="E938" s="11"/>
      <c r="F938" s="16"/>
    </row>
    <row r="939" spans="5:6">
      <c r="E939" s="11"/>
      <c r="F939" s="16"/>
    </row>
    <row r="940" spans="5:6">
      <c r="E940" s="11"/>
      <c r="F940" s="16"/>
    </row>
    <row r="941" spans="5:6">
      <c r="E941" s="11"/>
      <c r="F941" s="16"/>
    </row>
    <row r="942" spans="5:6">
      <c r="E942" s="11"/>
      <c r="F942" s="16"/>
    </row>
    <row r="943" spans="5:6">
      <c r="E943" s="11"/>
      <c r="F943" s="16"/>
    </row>
    <row r="944" spans="5:6">
      <c r="E944" s="11"/>
      <c r="F944" s="16"/>
    </row>
    <row r="945" spans="5:6">
      <c r="E945" s="11"/>
      <c r="F945" s="16"/>
    </row>
    <row r="946" spans="5:6">
      <c r="E946" s="11"/>
      <c r="F946" s="16"/>
    </row>
    <row r="947" spans="5:6">
      <c r="E947" s="11"/>
      <c r="F947" s="16"/>
    </row>
    <row r="948" spans="5:6">
      <c r="E948" s="11"/>
      <c r="F948" s="16"/>
    </row>
    <row r="949" spans="5:6">
      <c r="E949" s="11"/>
      <c r="F949" s="16"/>
    </row>
    <row r="950" spans="5:6">
      <c r="E950" s="11"/>
      <c r="F950" s="16"/>
    </row>
    <row r="951" spans="5:6">
      <c r="E951" s="11"/>
      <c r="F951" s="16"/>
    </row>
    <row r="952" spans="5:6">
      <c r="E952" s="11"/>
      <c r="F952" s="16"/>
    </row>
    <row r="953" spans="5:6">
      <c r="E953" s="11"/>
      <c r="F953" s="16"/>
    </row>
    <row r="954" spans="5:6">
      <c r="E954" s="11"/>
      <c r="F954" s="16"/>
    </row>
    <row r="955" spans="5:6">
      <c r="E955" s="11"/>
      <c r="F955" s="16"/>
    </row>
    <row r="956" spans="5:6">
      <c r="E956" s="11"/>
      <c r="F956" s="16"/>
    </row>
    <row r="957" spans="5:6">
      <c r="E957" s="11"/>
      <c r="F957" s="16"/>
    </row>
    <row r="958" spans="5:6">
      <c r="E958" s="11"/>
      <c r="F958" s="16"/>
    </row>
    <row r="959" spans="5:6">
      <c r="E959" s="11"/>
      <c r="F959" s="16"/>
    </row>
    <row r="960" spans="5:6">
      <c r="E960" s="11"/>
      <c r="F960" s="16"/>
    </row>
    <row r="961" spans="5:6">
      <c r="E961" s="11"/>
      <c r="F961" s="16"/>
    </row>
    <row r="962" spans="5:6">
      <c r="E962" s="11"/>
      <c r="F962" s="16"/>
    </row>
    <row r="963" spans="5:6">
      <c r="E963" s="11"/>
      <c r="F963" s="16"/>
    </row>
    <row r="964" spans="5:6">
      <c r="E964" s="11"/>
      <c r="F964" s="16"/>
    </row>
    <row r="965" spans="5:6">
      <c r="E965" s="11"/>
      <c r="F965" s="16"/>
    </row>
    <row r="966" spans="5:6">
      <c r="E966" s="11"/>
      <c r="F966" s="16"/>
    </row>
    <row r="967" spans="5:6">
      <c r="E967" s="11"/>
      <c r="F967" s="16"/>
    </row>
    <row r="968" spans="5:6">
      <c r="E968" s="11"/>
      <c r="F968" s="16"/>
    </row>
    <row r="969" spans="5:6">
      <c r="E969" s="11"/>
      <c r="F969" s="16"/>
    </row>
    <row r="970" spans="5:6">
      <c r="E970" s="11"/>
      <c r="F970" s="16"/>
    </row>
    <row r="971" spans="5:6">
      <c r="E971" s="11"/>
      <c r="F971" s="16"/>
    </row>
    <row r="972" spans="5:6">
      <c r="E972" s="11"/>
      <c r="F972" s="16"/>
    </row>
    <row r="973" spans="5:6">
      <c r="E973" s="11"/>
      <c r="F973" s="16"/>
    </row>
    <row r="974" spans="5:6">
      <c r="E974" s="11"/>
      <c r="F974" s="16"/>
    </row>
    <row r="975" spans="5:6">
      <c r="E975" s="11"/>
      <c r="F975" s="16"/>
    </row>
    <row r="976" spans="5:6">
      <c r="E976" s="11"/>
      <c r="F976" s="16"/>
    </row>
    <row r="977" spans="5:6">
      <c r="E977" s="11"/>
      <c r="F977" s="16"/>
    </row>
    <row r="978" spans="5:6">
      <c r="E978" s="11"/>
      <c r="F978" s="16"/>
    </row>
    <row r="979" spans="5:6">
      <c r="E979" s="11"/>
      <c r="F979" s="16"/>
    </row>
    <row r="980" spans="5:6">
      <c r="E980" s="11"/>
      <c r="F980" s="16"/>
    </row>
    <row r="981" spans="5:6">
      <c r="E981" s="11"/>
      <c r="F981" s="16"/>
    </row>
    <row r="982" spans="5:6">
      <c r="E982" s="11"/>
      <c r="F982" s="16"/>
    </row>
    <row r="983" spans="5:6">
      <c r="E983" s="11"/>
      <c r="F983" s="16"/>
    </row>
    <row r="984" spans="5:6">
      <c r="E984" s="11"/>
      <c r="F984" s="16"/>
    </row>
    <row r="985" spans="5:6">
      <c r="E985" s="11"/>
      <c r="F985" s="16"/>
    </row>
    <row r="986" spans="5:6">
      <c r="E986" s="11"/>
      <c r="F986" s="16"/>
    </row>
    <row r="987" spans="5:6">
      <c r="E987" s="11"/>
      <c r="F987" s="16"/>
    </row>
    <row r="988" spans="5:6">
      <c r="E988" s="11"/>
      <c r="F988" s="16"/>
    </row>
    <row r="989" spans="5:6">
      <c r="E989" s="11"/>
      <c r="F989" s="16"/>
    </row>
    <row r="990" spans="5:6">
      <c r="E990" s="11"/>
      <c r="F990" s="16"/>
    </row>
    <row r="991" spans="5:6">
      <c r="E991" s="11"/>
      <c r="F991" s="16"/>
    </row>
    <row r="992" spans="5:6">
      <c r="E992" s="11"/>
      <c r="F992" s="16"/>
    </row>
    <row r="993" spans="5:6">
      <c r="E993" s="11"/>
      <c r="F993" s="16"/>
    </row>
    <row r="994" spans="5:6">
      <c r="E994" s="11"/>
      <c r="F994" s="16"/>
    </row>
    <row r="995" spans="5:6">
      <c r="E995" s="11"/>
      <c r="F995" s="16"/>
    </row>
    <row r="996" spans="5:6">
      <c r="E996" s="11"/>
      <c r="F996" s="16"/>
    </row>
    <row r="997" spans="5:6">
      <c r="E997" s="11"/>
      <c r="F997" s="16"/>
    </row>
    <row r="998" spans="5:6">
      <c r="E998" s="11"/>
      <c r="F998" s="16"/>
    </row>
    <row r="999" spans="5:6">
      <c r="E999" s="11"/>
      <c r="F999" s="16"/>
    </row>
    <row r="1000" spans="5:6">
      <c r="E1000" s="11"/>
      <c r="F1000" s="16"/>
    </row>
    <row r="1001" spans="5:6">
      <c r="E1001" s="11"/>
      <c r="F1001" s="16"/>
    </row>
    <row r="1002" spans="5:6">
      <c r="E1002" s="11"/>
      <c r="F1002" s="16"/>
    </row>
    <row r="1003" spans="5:6">
      <c r="E1003" s="11"/>
      <c r="F1003" s="16"/>
    </row>
    <row r="1004" spans="5:6">
      <c r="E1004" s="11"/>
      <c r="F1004" s="16"/>
    </row>
    <row r="1005" spans="5:6">
      <c r="E1005" s="11"/>
      <c r="F1005" s="16"/>
    </row>
    <row r="1006" spans="5:6">
      <c r="E1006" s="11"/>
      <c r="F1006" s="16"/>
    </row>
    <row r="1007" spans="5:6">
      <c r="E1007" s="11"/>
      <c r="F1007" s="16"/>
    </row>
    <row r="1008" spans="5:6">
      <c r="E1008" s="11"/>
      <c r="F1008" s="16"/>
    </row>
    <row r="1009" spans="5:6">
      <c r="E1009" s="11"/>
      <c r="F1009" s="16"/>
    </row>
    <row r="1010" spans="5:6">
      <c r="E1010" s="11"/>
      <c r="F1010" s="16"/>
    </row>
    <row r="1011" spans="5:6">
      <c r="E1011" s="11"/>
      <c r="F1011" s="16"/>
    </row>
    <row r="1012" spans="5:6">
      <c r="E1012" s="11"/>
      <c r="F1012" s="16"/>
    </row>
    <row r="1013" spans="5:6">
      <c r="E1013" s="11"/>
      <c r="F1013" s="16"/>
    </row>
    <row r="1014" spans="5:6">
      <c r="E1014" s="11"/>
      <c r="F1014" s="16"/>
    </row>
    <row r="1015" spans="5:6">
      <c r="E1015" s="11"/>
      <c r="F1015" s="16"/>
    </row>
    <row r="1016" spans="5:6">
      <c r="E1016" s="11"/>
      <c r="F1016" s="16"/>
    </row>
    <row r="1017" spans="5:6">
      <c r="E1017" s="11"/>
      <c r="F1017" s="16"/>
    </row>
    <row r="1018" spans="5:6">
      <c r="E1018" s="11"/>
      <c r="F1018" s="16"/>
    </row>
    <row r="1019" spans="5:6">
      <c r="E1019" s="11"/>
      <c r="F1019" s="16"/>
    </row>
    <row r="1020" spans="5:6">
      <c r="E1020" s="11"/>
      <c r="F1020" s="16"/>
    </row>
    <row r="1021" spans="5:6">
      <c r="E1021" s="11"/>
      <c r="F1021" s="16"/>
    </row>
    <row r="1022" spans="5:6">
      <c r="E1022" s="11"/>
      <c r="F1022" s="16"/>
    </row>
    <row r="1023" spans="5:6">
      <c r="E1023" s="11"/>
      <c r="F1023" s="16"/>
    </row>
    <row r="1024" spans="5:6">
      <c r="E1024" s="11"/>
      <c r="F1024" s="16"/>
    </row>
    <row r="1025" spans="5:6">
      <c r="E1025" s="11"/>
      <c r="F1025" s="16"/>
    </row>
    <row r="1026" spans="5:6">
      <c r="E1026" s="11"/>
      <c r="F1026" s="16"/>
    </row>
    <row r="1027" spans="5:6">
      <c r="E1027" s="11"/>
      <c r="F1027" s="16"/>
    </row>
    <row r="1028" spans="5:6">
      <c r="E1028" s="11"/>
      <c r="F1028" s="16"/>
    </row>
    <row r="1029" spans="5:6">
      <c r="E1029" s="11"/>
      <c r="F1029" s="16"/>
    </row>
    <row r="1030" spans="5:6">
      <c r="E1030" s="11"/>
      <c r="F1030" s="16"/>
    </row>
    <row r="1031" spans="5:6">
      <c r="E1031" s="11"/>
      <c r="F1031" s="16"/>
    </row>
    <row r="1032" spans="5:6">
      <c r="E1032" s="11"/>
      <c r="F1032" s="16"/>
    </row>
    <row r="1033" spans="5:6">
      <c r="E1033" s="11"/>
      <c r="F1033" s="16"/>
    </row>
    <row r="1034" spans="5:6">
      <c r="E1034" s="11"/>
      <c r="F1034" s="16"/>
    </row>
    <row r="1035" spans="5:6">
      <c r="E1035" s="11"/>
      <c r="F1035" s="16"/>
    </row>
    <row r="1036" spans="5:6">
      <c r="E1036" s="11"/>
      <c r="F1036" s="16"/>
    </row>
    <row r="1037" spans="5:6">
      <c r="E1037" s="11"/>
      <c r="F1037" s="16"/>
    </row>
    <row r="1038" spans="5:6">
      <c r="E1038" s="11"/>
      <c r="F1038" s="16"/>
    </row>
    <row r="1039" spans="5:6">
      <c r="E1039" s="11"/>
      <c r="F1039" s="16"/>
    </row>
    <row r="1040" spans="5:6">
      <c r="E1040" s="11"/>
      <c r="F1040" s="16"/>
    </row>
    <row r="1041" spans="5:6">
      <c r="E1041" s="11"/>
      <c r="F1041" s="16"/>
    </row>
    <row r="1042" spans="5:6">
      <c r="E1042" s="11"/>
      <c r="F1042" s="16"/>
    </row>
    <row r="1043" spans="5:6">
      <c r="E1043" s="11"/>
      <c r="F1043" s="16"/>
    </row>
    <row r="1044" spans="5:6">
      <c r="E1044" s="11"/>
      <c r="F1044" s="16"/>
    </row>
    <row r="1045" spans="5:6">
      <c r="E1045" s="11"/>
      <c r="F1045" s="16"/>
    </row>
    <row r="1046" spans="5:6">
      <c r="E1046" s="11"/>
      <c r="F1046" s="16"/>
    </row>
    <row r="1047" spans="5:6">
      <c r="E1047" s="11"/>
      <c r="F1047" s="16"/>
    </row>
    <row r="1048" spans="5:6">
      <c r="E1048" s="11"/>
      <c r="F1048" s="16"/>
    </row>
    <row r="1049" spans="5:6">
      <c r="E1049" s="11"/>
      <c r="F1049" s="16"/>
    </row>
    <row r="1050" spans="5:6">
      <c r="E1050" s="11"/>
      <c r="F1050" s="16"/>
    </row>
    <row r="1051" spans="5:6">
      <c r="E1051" s="11"/>
      <c r="F1051" s="16"/>
    </row>
    <row r="1052" spans="5:6">
      <c r="E1052" s="11"/>
      <c r="F1052" s="16"/>
    </row>
    <row r="1053" spans="5:6">
      <c r="E1053" s="11"/>
      <c r="F1053" s="16"/>
    </row>
    <row r="1054" spans="5:6">
      <c r="E1054" s="11"/>
      <c r="F1054" s="16"/>
    </row>
    <row r="1055" spans="5:6">
      <c r="E1055" s="11"/>
      <c r="F1055" s="16"/>
    </row>
    <row r="1056" spans="5:6">
      <c r="E1056" s="11"/>
      <c r="F1056" s="16"/>
    </row>
    <row r="1057" spans="5:6">
      <c r="E1057" s="11"/>
      <c r="F1057" s="16"/>
    </row>
    <row r="1058" spans="5:6">
      <c r="E1058" s="11"/>
      <c r="F1058" s="16"/>
    </row>
    <row r="1059" spans="5:6">
      <c r="E1059" s="11"/>
      <c r="F1059" s="16"/>
    </row>
    <row r="1060" spans="5:6">
      <c r="E1060" s="11"/>
      <c r="F1060" s="16"/>
    </row>
    <row r="1061" spans="5:6">
      <c r="E1061" s="11"/>
      <c r="F1061" s="16"/>
    </row>
    <row r="1062" spans="5:6">
      <c r="E1062" s="11"/>
      <c r="F1062" s="16"/>
    </row>
    <row r="1063" spans="5:6">
      <c r="E1063" s="11"/>
      <c r="F1063" s="16"/>
    </row>
    <row r="1064" spans="5:6">
      <c r="E1064" s="11"/>
      <c r="F1064" s="16"/>
    </row>
    <row r="1065" spans="5:6">
      <c r="E1065" s="11"/>
      <c r="F1065" s="16"/>
    </row>
    <row r="1066" spans="5:6">
      <c r="E1066" s="11"/>
      <c r="F1066" s="16"/>
    </row>
    <row r="1067" spans="5:6">
      <c r="E1067" s="11"/>
      <c r="F1067" s="16"/>
    </row>
    <row r="1068" spans="5:6">
      <c r="E1068" s="11"/>
      <c r="F1068" s="16"/>
    </row>
    <row r="1069" spans="5:6">
      <c r="E1069" s="11"/>
      <c r="F1069" s="16"/>
    </row>
    <row r="1070" spans="5:6">
      <c r="E1070" s="11"/>
      <c r="F1070" s="16"/>
    </row>
    <row r="1071" spans="5:6">
      <c r="E1071" s="11"/>
      <c r="F1071" s="16"/>
    </row>
    <row r="1072" spans="5:6">
      <c r="E1072" s="11"/>
      <c r="F1072" s="16"/>
    </row>
    <row r="1073" spans="5:6">
      <c r="E1073" s="11"/>
      <c r="F1073" s="16"/>
    </row>
    <row r="1074" spans="5:6">
      <c r="E1074" s="11"/>
      <c r="F1074" s="16"/>
    </row>
    <row r="1075" spans="5:6">
      <c r="E1075" s="11"/>
      <c r="F1075" s="16"/>
    </row>
    <row r="1076" spans="5:6">
      <c r="E1076" s="11"/>
      <c r="F1076" s="16"/>
    </row>
    <row r="1077" spans="5:6">
      <c r="E1077" s="11"/>
      <c r="F1077" s="16"/>
    </row>
    <row r="1078" spans="5:6">
      <c r="E1078" s="11"/>
      <c r="F1078" s="16"/>
    </row>
    <row r="1079" spans="5:6">
      <c r="E1079" s="11"/>
      <c r="F1079" s="16"/>
    </row>
    <row r="1080" spans="5:6">
      <c r="E1080" s="11"/>
      <c r="F1080" s="16"/>
    </row>
    <row r="1081" spans="5:6">
      <c r="E1081" s="11"/>
      <c r="F1081" s="16"/>
    </row>
    <row r="1082" spans="5:6">
      <c r="E1082" s="11"/>
      <c r="F1082" s="16"/>
    </row>
    <row r="1083" spans="5:6">
      <c r="E1083" s="11"/>
      <c r="F1083" s="16"/>
    </row>
    <row r="1084" spans="5:6">
      <c r="E1084" s="11"/>
      <c r="F1084" s="16"/>
    </row>
    <row r="1085" spans="5:6">
      <c r="E1085" s="11"/>
      <c r="F1085" s="16"/>
    </row>
    <row r="1086" spans="5:6">
      <c r="E1086" s="11"/>
      <c r="F1086" s="16"/>
    </row>
    <row r="1087" spans="5:6">
      <c r="E1087" s="11"/>
      <c r="F1087" s="16"/>
    </row>
    <row r="1088" spans="5:6">
      <c r="E1088" s="11"/>
      <c r="F1088" s="16"/>
    </row>
    <row r="1089" spans="5:6">
      <c r="E1089" s="11"/>
      <c r="F1089" s="16"/>
    </row>
    <row r="1090" spans="5:6">
      <c r="E1090" s="11"/>
      <c r="F1090" s="16"/>
    </row>
    <row r="1091" spans="5:6">
      <c r="E1091" s="11"/>
      <c r="F1091" s="16"/>
    </row>
    <row r="1092" spans="5:6">
      <c r="E1092" s="11"/>
      <c r="F1092" s="16"/>
    </row>
    <row r="1093" spans="5:6">
      <c r="E1093" s="11"/>
      <c r="F1093" s="16"/>
    </row>
    <row r="1094" spans="5:6">
      <c r="E1094" s="11"/>
      <c r="F1094" s="16"/>
    </row>
    <row r="1095" spans="5:6">
      <c r="E1095" s="11"/>
      <c r="F1095" s="16"/>
    </row>
    <row r="1096" spans="5:6">
      <c r="E1096" s="11"/>
      <c r="F1096" s="16"/>
    </row>
    <row r="1097" spans="5:6">
      <c r="E1097" s="11"/>
      <c r="F1097" s="16"/>
    </row>
    <row r="1098" spans="5:6">
      <c r="E1098" s="11"/>
      <c r="F1098" s="16"/>
    </row>
    <row r="1099" spans="5:6">
      <c r="E1099" s="11"/>
      <c r="F1099" s="16"/>
    </row>
    <row r="1100" spans="5:6">
      <c r="E1100" s="11"/>
      <c r="F1100" s="16"/>
    </row>
    <row r="1101" spans="5:6">
      <c r="E1101" s="11"/>
      <c r="F1101" s="16"/>
    </row>
    <row r="1102" spans="5:6">
      <c r="E1102" s="11"/>
      <c r="F1102" s="16"/>
    </row>
    <row r="1103" spans="5:6">
      <c r="E1103" s="11"/>
      <c r="F1103" s="16"/>
    </row>
    <row r="1104" spans="5:6">
      <c r="E1104" s="11"/>
      <c r="F1104" s="16"/>
    </row>
    <row r="1105" spans="5:6">
      <c r="E1105" s="11"/>
      <c r="F1105" s="16"/>
    </row>
    <row r="1106" spans="5:6">
      <c r="E1106" s="11"/>
      <c r="F1106" s="16"/>
    </row>
    <row r="1107" spans="5:6">
      <c r="E1107" s="11"/>
      <c r="F1107" s="16"/>
    </row>
    <row r="1108" spans="5:6">
      <c r="E1108" s="11"/>
      <c r="F1108" s="16"/>
    </row>
    <row r="1109" spans="5:6">
      <c r="E1109" s="11"/>
      <c r="F1109" s="16"/>
    </row>
    <row r="1110" spans="5:6">
      <c r="E1110" s="11"/>
      <c r="F1110" s="16"/>
    </row>
    <row r="1111" spans="5:6">
      <c r="E1111" s="11"/>
      <c r="F1111" s="16"/>
    </row>
    <row r="1112" spans="5:6">
      <c r="E1112" s="11"/>
      <c r="F1112" s="16"/>
    </row>
    <row r="1113" spans="5:6">
      <c r="E1113" s="11"/>
      <c r="F1113" s="16"/>
    </row>
    <row r="1114" spans="5:6">
      <c r="E1114" s="11"/>
      <c r="F1114" s="16"/>
    </row>
    <row r="1115" spans="5:6">
      <c r="E1115" s="11"/>
      <c r="F1115" s="16"/>
    </row>
    <row r="1116" spans="5:6">
      <c r="E1116" s="11"/>
      <c r="F1116" s="16"/>
    </row>
    <row r="1117" spans="5:6">
      <c r="E1117" s="11"/>
      <c r="F1117" s="16"/>
    </row>
    <row r="1118" spans="5:6">
      <c r="E1118" s="11"/>
      <c r="F1118" s="16"/>
    </row>
    <row r="1119" spans="5:6">
      <c r="E1119" s="11"/>
      <c r="F1119" s="16"/>
    </row>
    <row r="1120" spans="5:6">
      <c r="E1120" s="11"/>
      <c r="F1120" s="16"/>
    </row>
    <row r="1121" spans="5:6">
      <c r="E1121" s="11"/>
      <c r="F1121" s="16"/>
    </row>
    <row r="1122" spans="5:6">
      <c r="E1122" s="11"/>
      <c r="F1122" s="16"/>
    </row>
    <row r="1123" spans="5:6">
      <c r="E1123" s="11"/>
      <c r="F1123" s="16"/>
    </row>
    <row r="1124" spans="5:6">
      <c r="E1124" s="11"/>
      <c r="F1124" s="16"/>
    </row>
    <row r="1125" spans="5:6">
      <c r="E1125" s="11"/>
      <c r="F1125" s="16"/>
    </row>
    <row r="1126" spans="5:6">
      <c r="E1126" s="11"/>
      <c r="F1126" s="16"/>
    </row>
    <row r="1127" spans="5:6">
      <c r="E1127" s="11"/>
      <c r="F1127" s="16"/>
    </row>
    <row r="1128" spans="5:6">
      <c r="E1128" s="11"/>
      <c r="F1128" s="16"/>
    </row>
    <row r="1129" spans="5:6">
      <c r="E1129" s="11"/>
      <c r="F1129" s="16"/>
    </row>
    <row r="1130" spans="5:6">
      <c r="E1130" s="11"/>
      <c r="F1130" s="16"/>
    </row>
    <row r="1131" spans="5:6">
      <c r="E1131" s="11"/>
      <c r="F1131" s="16"/>
    </row>
    <row r="1132" spans="5:6">
      <c r="E1132" s="11"/>
      <c r="F1132" s="16"/>
    </row>
    <row r="1133" spans="5:6">
      <c r="E1133" s="11"/>
      <c r="F1133" s="16"/>
    </row>
    <row r="1134" spans="5:6">
      <c r="E1134" s="11"/>
      <c r="F1134" s="16"/>
    </row>
    <row r="1135" spans="5:6">
      <c r="E1135" s="11"/>
      <c r="F1135" s="16"/>
    </row>
    <row r="1136" spans="5:6">
      <c r="E1136" s="11"/>
      <c r="F1136" s="16"/>
    </row>
    <row r="1137" spans="5:6">
      <c r="E1137" s="11"/>
      <c r="F1137" s="16"/>
    </row>
    <row r="1138" spans="5:6">
      <c r="E1138" s="11"/>
      <c r="F1138" s="16"/>
    </row>
    <row r="1139" spans="5:6">
      <c r="E1139" s="11"/>
      <c r="F1139" s="16"/>
    </row>
    <row r="1140" spans="5:6">
      <c r="E1140" s="11"/>
      <c r="F1140" s="16"/>
    </row>
    <row r="1141" spans="5:6">
      <c r="E1141" s="11"/>
      <c r="F1141" s="16"/>
    </row>
    <row r="1142" spans="5:6">
      <c r="E1142" s="11"/>
      <c r="F1142" s="16"/>
    </row>
    <row r="1143" spans="5:6">
      <c r="E1143" s="11"/>
      <c r="F1143" s="16"/>
    </row>
    <row r="1144" spans="5:6">
      <c r="E1144" s="11"/>
      <c r="F1144" s="16"/>
    </row>
    <row r="1145" spans="5:6">
      <c r="E1145" s="11"/>
      <c r="F1145" s="16"/>
    </row>
    <row r="1146" spans="5:6">
      <c r="E1146" s="11"/>
      <c r="F1146" s="16"/>
    </row>
    <row r="1147" spans="5:6">
      <c r="E1147" s="11"/>
      <c r="F1147" s="16"/>
    </row>
    <row r="1148" spans="5:6">
      <c r="E1148" s="11"/>
      <c r="F1148" s="16"/>
    </row>
    <row r="1149" spans="5:6">
      <c r="E1149" s="11"/>
      <c r="F1149" s="16"/>
    </row>
    <row r="1150" spans="5:6">
      <c r="E1150" s="11"/>
      <c r="F1150" s="16"/>
    </row>
    <row r="1151" spans="5:6">
      <c r="E1151" s="11"/>
      <c r="F1151" s="16"/>
    </row>
    <row r="1152" spans="5:6">
      <c r="E1152" s="11"/>
      <c r="F1152" s="16"/>
    </row>
    <row r="1153" spans="5:6">
      <c r="E1153" s="11"/>
      <c r="F1153" s="16"/>
    </row>
    <row r="1154" spans="5:6">
      <c r="E1154" s="11"/>
      <c r="F1154" s="16"/>
    </row>
    <row r="1155" spans="5:6">
      <c r="E1155" s="11"/>
      <c r="F1155" s="16"/>
    </row>
    <row r="1156" spans="5:6">
      <c r="E1156" s="11"/>
      <c r="F1156" s="16"/>
    </row>
    <row r="1157" spans="5:6">
      <c r="E1157" s="11"/>
      <c r="F1157" s="16"/>
    </row>
    <row r="1158" spans="5:6">
      <c r="E1158" s="11"/>
      <c r="F1158" s="16"/>
    </row>
    <row r="1159" spans="5:6">
      <c r="E1159" s="11"/>
      <c r="F1159" s="16"/>
    </row>
    <row r="1160" spans="5:6">
      <c r="E1160" s="11"/>
      <c r="F1160" s="16"/>
    </row>
    <row r="1161" spans="5:6">
      <c r="E1161" s="11"/>
      <c r="F1161" s="16"/>
    </row>
    <row r="1162" spans="5:6">
      <c r="E1162" s="11"/>
      <c r="F1162" s="16"/>
    </row>
    <row r="1163" spans="5:6">
      <c r="E1163" s="11"/>
      <c r="F1163" s="16"/>
    </row>
    <row r="1164" spans="5:6">
      <c r="E1164" s="11"/>
      <c r="F1164" s="16"/>
    </row>
    <row r="1165" spans="5:6">
      <c r="E1165" s="11"/>
      <c r="F1165" s="16"/>
    </row>
    <row r="1166" spans="5:6">
      <c r="E1166" s="11"/>
      <c r="F1166" s="16"/>
    </row>
    <row r="1167" spans="5:6">
      <c r="E1167" s="11"/>
      <c r="F1167" s="16"/>
    </row>
    <row r="1168" spans="5:6">
      <c r="E1168" s="11"/>
      <c r="F1168" s="16"/>
    </row>
    <row r="1169" spans="5:6">
      <c r="E1169" s="11"/>
      <c r="F1169" s="16"/>
    </row>
    <row r="1170" spans="5:6">
      <c r="E1170" s="11"/>
      <c r="F1170" s="16"/>
    </row>
    <row r="1171" spans="5:6">
      <c r="E1171" s="11"/>
      <c r="F1171" s="16"/>
    </row>
    <row r="1172" spans="5:6">
      <c r="E1172" s="11"/>
      <c r="F1172" s="16"/>
    </row>
    <row r="1173" spans="5:6">
      <c r="E1173" s="11"/>
      <c r="F1173" s="16"/>
    </row>
    <row r="1174" spans="5:6">
      <c r="E1174" s="11"/>
      <c r="F1174" s="16"/>
    </row>
    <row r="1175" spans="5:6">
      <c r="E1175" s="11"/>
      <c r="F1175" s="16"/>
    </row>
    <row r="1176" spans="5:6">
      <c r="E1176" s="11"/>
      <c r="F1176" s="16"/>
    </row>
    <row r="1177" spans="5:6">
      <c r="E1177" s="11"/>
      <c r="F1177" s="16"/>
    </row>
    <row r="1178" spans="5:6">
      <c r="E1178" s="11"/>
      <c r="F1178" s="16"/>
    </row>
    <row r="1179" spans="5:6">
      <c r="E1179" s="11"/>
      <c r="F1179" s="16"/>
    </row>
    <row r="1180" spans="5:6">
      <c r="E1180" s="11"/>
      <c r="F1180" s="16"/>
    </row>
    <row r="1181" spans="5:6">
      <c r="E1181" s="11"/>
      <c r="F1181" s="16"/>
    </row>
    <row r="1182" spans="5:6">
      <c r="E1182" s="11"/>
      <c r="F1182" s="16"/>
    </row>
    <row r="1183" spans="5:6">
      <c r="E1183" s="11"/>
      <c r="F1183" s="16"/>
    </row>
    <row r="1184" spans="5:6">
      <c r="E1184" s="11"/>
      <c r="F1184" s="16"/>
    </row>
    <row r="1185" spans="5:6">
      <c r="E1185" s="11"/>
      <c r="F1185" s="16"/>
    </row>
    <row r="1186" spans="5:6">
      <c r="E1186" s="11"/>
      <c r="F1186" s="16"/>
    </row>
    <row r="1187" spans="5:6">
      <c r="E1187" s="11"/>
      <c r="F1187" s="16"/>
    </row>
    <row r="1188" spans="5:6">
      <c r="E1188" s="11"/>
      <c r="F1188" s="16"/>
    </row>
    <row r="1189" spans="5:6">
      <c r="E1189" s="11"/>
      <c r="F1189" s="16"/>
    </row>
    <row r="1190" spans="5:6">
      <c r="E1190" s="11"/>
      <c r="F1190" s="16"/>
    </row>
    <row r="1191" spans="5:6">
      <c r="E1191" s="11"/>
      <c r="F1191" s="16"/>
    </row>
    <row r="1192" spans="5:6">
      <c r="E1192" s="11"/>
      <c r="F1192" s="16"/>
    </row>
    <row r="1193" spans="5:6">
      <c r="E1193" s="11"/>
      <c r="F1193" s="16"/>
    </row>
    <row r="1194" spans="5:6">
      <c r="E1194" s="11"/>
      <c r="F1194" s="16"/>
    </row>
    <row r="1195" spans="5:6">
      <c r="E1195" s="11"/>
      <c r="F1195" s="16"/>
    </row>
    <row r="1196" spans="5:6">
      <c r="E1196" s="11"/>
      <c r="F1196" s="16"/>
    </row>
    <row r="1197" spans="5:6">
      <c r="E1197" s="11"/>
      <c r="F1197" s="16"/>
    </row>
    <row r="1198" spans="5:6">
      <c r="E1198" s="11"/>
      <c r="F1198" s="16"/>
    </row>
    <row r="1199" spans="5:6">
      <c r="E1199" s="11"/>
      <c r="F1199" s="16"/>
    </row>
    <row r="1200" spans="5:6">
      <c r="E1200" s="11"/>
      <c r="F1200" s="16"/>
    </row>
    <row r="1201" spans="5:6">
      <c r="E1201" s="11"/>
      <c r="F1201" s="16"/>
    </row>
    <row r="1202" spans="5:6">
      <c r="E1202" s="11"/>
      <c r="F1202" s="16"/>
    </row>
    <row r="1203" spans="5:6">
      <c r="E1203" s="11"/>
      <c r="F1203" s="16"/>
    </row>
    <row r="1204" spans="5:6">
      <c r="E1204" s="11"/>
      <c r="F1204" s="16"/>
    </row>
    <row r="1205" spans="5:6">
      <c r="E1205" s="11"/>
      <c r="F1205" s="16"/>
    </row>
    <row r="1206" spans="5:6">
      <c r="E1206" s="11"/>
      <c r="F1206" s="16"/>
    </row>
    <row r="1207" spans="5:6">
      <c r="E1207" s="11"/>
      <c r="F1207" s="16"/>
    </row>
    <row r="1208" spans="5:6">
      <c r="E1208" s="11"/>
      <c r="F1208" s="16"/>
    </row>
    <row r="1209" spans="5:6">
      <c r="E1209" s="11"/>
      <c r="F1209" s="16"/>
    </row>
    <row r="1210" spans="5:6">
      <c r="E1210" s="11"/>
      <c r="F1210" s="16"/>
    </row>
    <row r="1211" spans="5:6">
      <c r="E1211" s="11"/>
      <c r="F1211" s="16"/>
    </row>
    <row r="1212" spans="5:6">
      <c r="E1212" s="11"/>
      <c r="F1212" s="16"/>
    </row>
    <row r="1213" spans="5:6">
      <c r="E1213" s="11"/>
      <c r="F1213" s="16"/>
    </row>
    <row r="1214" spans="5:6">
      <c r="E1214" s="11"/>
      <c r="F1214" s="16"/>
    </row>
    <row r="1215" spans="5:6">
      <c r="E1215" s="11"/>
      <c r="F1215" s="16"/>
    </row>
    <row r="1216" spans="5:6">
      <c r="E1216" s="11"/>
      <c r="F1216" s="16"/>
    </row>
    <row r="1217" spans="5:6">
      <c r="E1217" s="11"/>
      <c r="F1217" s="16"/>
    </row>
    <row r="1218" spans="5:6">
      <c r="E1218" s="11"/>
      <c r="F1218" s="16"/>
    </row>
    <row r="1219" spans="5:6">
      <c r="E1219" s="11"/>
      <c r="F1219" s="16"/>
    </row>
    <row r="1220" spans="5:6">
      <c r="E1220" s="11"/>
      <c r="F1220" s="16"/>
    </row>
    <row r="1221" spans="5:6">
      <c r="E1221" s="11"/>
      <c r="F1221" s="16"/>
    </row>
    <row r="1222" spans="5:6">
      <c r="E1222" s="11"/>
      <c r="F1222" s="16"/>
    </row>
    <row r="1223" spans="5:6">
      <c r="E1223" s="11"/>
      <c r="F1223" s="16"/>
    </row>
    <row r="1224" spans="5:6">
      <c r="E1224" s="11"/>
      <c r="F1224" s="16"/>
    </row>
    <row r="1225" spans="5:6">
      <c r="E1225" s="11"/>
      <c r="F1225" s="16"/>
    </row>
    <row r="1226" spans="5:6">
      <c r="E1226" s="11"/>
      <c r="F1226" s="16"/>
    </row>
    <row r="1227" spans="5:6">
      <c r="E1227" s="11"/>
      <c r="F1227" s="16"/>
    </row>
    <row r="1228" spans="5:6">
      <c r="E1228" s="11"/>
      <c r="F1228" s="16"/>
    </row>
    <row r="1229" spans="5:6">
      <c r="E1229" s="11"/>
      <c r="F1229" s="16"/>
    </row>
    <row r="1230" spans="5:6">
      <c r="E1230" s="11"/>
      <c r="F1230" s="16"/>
    </row>
    <row r="1231" spans="5:6">
      <c r="E1231" s="11"/>
      <c r="F1231" s="16"/>
    </row>
    <row r="1232" spans="5:6">
      <c r="E1232" s="11"/>
      <c r="F1232" s="16"/>
    </row>
    <row r="1233" spans="5:6">
      <c r="E1233" s="11"/>
      <c r="F1233" s="16"/>
    </row>
    <row r="1234" spans="5:6">
      <c r="E1234" s="11"/>
      <c r="F1234" s="16"/>
    </row>
    <row r="1235" spans="5:6">
      <c r="E1235" s="11"/>
      <c r="F1235" s="16"/>
    </row>
    <row r="1236" spans="5:6">
      <c r="E1236" s="11"/>
      <c r="F1236" s="16"/>
    </row>
    <row r="1237" spans="5:6">
      <c r="E1237" s="11"/>
      <c r="F1237" s="16"/>
    </row>
    <row r="1238" spans="5:6">
      <c r="E1238" s="11"/>
      <c r="F1238" s="16"/>
    </row>
    <row r="1239" spans="5:6">
      <c r="E1239" s="11"/>
      <c r="F1239" s="16"/>
    </row>
    <row r="1240" spans="5:6">
      <c r="E1240" s="11"/>
      <c r="F1240" s="16"/>
    </row>
    <row r="1241" spans="5:6">
      <c r="E1241" s="11"/>
      <c r="F1241" s="16"/>
    </row>
    <row r="1242" spans="5:6">
      <c r="E1242" s="11"/>
      <c r="F1242" s="16"/>
    </row>
    <row r="1243" spans="5:6">
      <c r="E1243" s="11"/>
      <c r="F1243" s="16"/>
    </row>
    <row r="1244" spans="5:6">
      <c r="E1244" s="11"/>
      <c r="F1244" s="16"/>
    </row>
    <row r="1245" spans="5:6">
      <c r="E1245" s="11"/>
      <c r="F1245" s="16"/>
    </row>
    <row r="1246" spans="5:6">
      <c r="E1246" s="11"/>
      <c r="F1246" s="16"/>
    </row>
    <row r="1247" spans="5:6">
      <c r="E1247" s="11"/>
      <c r="F1247" s="16"/>
    </row>
    <row r="1248" spans="5:6">
      <c r="E1248" s="11"/>
      <c r="F1248" s="16"/>
    </row>
    <row r="1249" spans="5:6">
      <c r="E1249" s="11"/>
      <c r="F1249" s="16"/>
    </row>
    <row r="1250" spans="5:6">
      <c r="E1250" s="11"/>
      <c r="F1250" s="16"/>
    </row>
    <row r="1251" spans="5:6">
      <c r="E1251" s="11"/>
      <c r="F1251" s="16"/>
    </row>
    <row r="1252" spans="5:6">
      <c r="E1252" s="11"/>
      <c r="F1252" s="16"/>
    </row>
    <row r="1253" spans="5:6">
      <c r="E1253" s="11"/>
      <c r="F1253" s="16"/>
    </row>
    <row r="1254" spans="5:6">
      <c r="E1254" s="11"/>
      <c r="F1254" s="16"/>
    </row>
    <row r="1255" spans="5:6">
      <c r="E1255" s="11"/>
      <c r="F1255" s="16"/>
    </row>
    <row r="1256" spans="5:6">
      <c r="E1256" s="11"/>
      <c r="F1256" s="16"/>
    </row>
    <row r="1257" spans="5:6">
      <c r="E1257" s="11"/>
      <c r="F1257" s="16"/>
    </row>
    <row r="1258" spans="5:6">
      <c r="E1258" s="11"/>
      <c r="F1258" s="16"/>
    </row>
    <row r="1259" spans="5:6">
      <c r="E1259" s="11"/>
      <c r="F1259" s="16"/>
    </row>
    <row r="1260" spans="5:6">
      <c r="E1260" s="11"/>
      <c r="F1260" s="16"/>
    </row>
    <row r="1261" spans="5:6">
      <c r="E1261" s="11"/>
      <c r="F1261" s="16"/>
    </row>
    <row r="1262" spans="5:6">
      <c r="E1262" s="11"/>
      <c r="F1262" s="16"/>
    </row>
    <row r="1263" spans="5:6">
      <c r="E1263" s="11"/>
      <c r="F1263" s="16"/>
    </row>
    <row r="1264" spans="5:6">
      <c r="E1264" s="11"/>
      <c r="F1264" s="16"/>
    </row>
    <row r="1265" spans="5:6">
      <c r="E1265" s="11"/>
      <c r="F1265" s="16"/>
    </row>
    <row r="1266" spans="5:6">
      <c r="E1266" s="11"/>
      <c r="F1266" s="16"/>
    </row>
    <row r="1267" spans="5:6">
      <c r="E1267" s="11"/>
      <c r="F1267" s="16"/>
    </row>
    <row r="1268" spans="5:6">
      <c r="E1268" s="11"/>
      <c r="F1268" s="16"/>
    </row>
    <row r="1269" spans="5:6">
      <c r="E1269" s="11"/>
      <c r="F1269" s="16"/>
    </row>
    <row r="1270" spans="5:6">
      <c r="E1270" s="11"/>
      <c r="F1270" s="16"/>
    </row>
    <row r="1271" spans="5:6">
      <c r="E1271" s="11"/>
      <c r="F1271" s="16"/>
    </row>
    <row r="1272" spans="5:6">
      <c r="E1272" s="11"/>
      <c r="F1272" s="16"/>
    </row>
    <row r="1273" spans="5:6">
      <c r="E1273" s="11"/>
      <c r="F1273" s="16"/>
    </row>
    <row r="1274" spans="5:6">
      <c r="E1274" s="11"/>
      <c r="F1274" s="16"/>
    </row>
    <row r="1275" spans="5:6">
      <c r="E1275" s="11"/>
      <c r="F1275" s="16"/>
    </row>
    <row r="1276" spans="5:6">
      <c r="E1276" s="11"/>
      <c r="F1276" s="16"/>
    </row>
    <row r="1277" spans="5:6">
      <c r="E1277" s="11"/>
      <c r="F1277" s="16"/>
    </row>
    <row r="1278" spans="5:6">
      <c r="E1278" s="11"/>
      <c r="F1278" s="16"/>
    </row>
    <row r="1279" spans="5:6">
      <c r="E1279" s="11"/>
      <c r="F1279" s="16"/>
    </row>
    <row r="1280" spans="5:6">
      <c r="E1280" s="11"/>
      <c r="F1280" s="16"/>
    </row>
    <row r="1281" spans="5:6">
      <c r="E1281" s="11"/>
      <c r="F1281" s="16"/>
    </row>
    <row r="1282" spans="5:6">
      <c r="E1282" s="11"/>
      <c r="F1282" s="16"/>
    </row>
    <row r="1283" spans="5:6">
      <c r="E1283" s="11"/>
      <c r="F1283" s="16"/>
    </row>
    <row r="1284" spans="5:6">
      <c r="E1284" s="11"/>
      <c r="F1284" s="16"/>
    </row>
    <row r="1285" spans="5:6">
      <c r="E1285" s="11"/>
      <c r="F1285" s="16"/>
    </row>
    <row r="1286" spans="5:6">
      <c r="E1286" s="11"/>
      <c r="F1286" s="16"/>
    </row>
    <row r="1287" spans="5:6">
      <c r="E1287" s="11"/>
      <c r="F1287" s="16"/>
    </row>
    <row r="1288" spans="5:6">
      <c r="E1288" s="11"/>
      <c r="F1288" s="16"/>
    </row>
    <row r="1289" spans="5:6">
      <c r="E1289" s="11"/>
      <c r="F1289" s="16"/>
    </row>
    <row r="1290" spans="5:6">
      <c r="E1290" s="11"/>
      <c r="F1290" s="16"/>
    </row>
    <row r="1291" spans="5:6">
      <c r="E1291" s="11"/>
      <c r="F1291" s="16"/>
    </row>
    <row r="1292" spans="5:6">
      <c r="E1292" s="11"/>
      <c r="F1292" s="16"/>
    </row>
    <row r="1293" spans="5:6">
      <c r="E1293" s="11"/>
      <c r="F1293" s="16"/>
    </row>
    <row r="1294" spans="5:6">
      <c r="E1294" s="11"/>
      <c r="F1294" s="16"/>
    </row>
    <row r="1295" spans="5:6">
      <c r="E1295" s="11"/>
      <c r="F1295" s="16"/>
    </row>
    <row r="1296" spans="5:6">
      <c r="E1296" s="11"/>
      <c r="F1296" s="16"/>
    </row>
    <row r="1297" spans="5:6">
      <c r="E1297" s="11"/>
      <c r="F1297" s="16"/>
    </row>
    <row r="1298" spans="5:6">
      <c r="E1298" s="11"/>
      <c r="F1298" s="16"/>
    </row>
    <row r="1299" spans="5:6">
      <c r="E1299" s="11"/>
      <c r="F1299" s="16"/>
    </row>
    <row r="1300" spans="5:6">
      <c r="E1300" s="11"/>
      <c r="F1300" s="16"/>
    </row>
    <row r="1301" spans="5:6">
      <c r="E1301" s="11"/>
      <c r="F1301" s="16"/>
    </row>
    <row r="1302" spans="5:6">
      <c r="E1302" s="11"/>
      <c r="F1302" s="16"/>
    </row>
    <row r="1303" spans="5:6">
      <c r="E1303" s="11"/>
      <c r="F1303" s="16"/>
    </row>
    <row r="1304" spans="5:6">
      <c r="E1304" s="11"/>
      <c r="F1304" s="16"/>
    </row>
    <row r="1305" spans="5:6">
      <c r="E1305" s="11"/>
      <c r="F1305" s="16"/>
    </row>
    <row r="1306" spans="5:6">
      <c r="E1306" s="11"/>
      <c r="F1306" s="16"/>
    </row>
    <row r="1307" spans="5:6">
      <c r="E1307" s="11"/>
      <c r="F1307" s="16"/>
    </row>
    <row r="1308" spans="5:6">
      <c r="E1308" s="11"/>
      <c r="F1308" s="16"/>
    </row>
    <row r="1309" spans="5:6">
      <c r="E1309" s="11"/>
      <c r="F1309" s="16"/>
    </row>
    <row r="1310" spans="5:6">
      <c r="E1310" s="11"/>
      <c r="F1310" s="16"/>
    </row>
    <row r="1311" spans="5:6">
      <c r="E1311" s="11"/>
      <c r="F1311" s="16"/>
    </row>
    <row r="1312" spans="5:6">
      <c r="E1312" s="11"/>
      <c r="F1312" s="16"/>
    </row>
    <row r="1313" spans="5:6">
      <c r="E1313" s="11"/>
      <c r="F1313" s="16"/>
    </row>
    <row r="1314" spans="5:6">
      <c r="E1314" s="11"/>
      <c r="F1314" s="16"/>
    </row>
    <row r="1315" spans="5:6">
      <c r="E1315" s="11"/>
      <c r="F1315" s="16"/>
    </row>
    <row r="1316" spans="5:6">
      <c r="E1316" s="11"/>
      <c r="F1316" s="16"/>
    </row>
    <row r="1317" spans="5:6">
      <c r="E1317" s="11"/>
      <c r="F1317" s="16"/>
    </row>
    <row r="1318" spans="5:6">
      <c r="E1318" s="11"/>
      <c r="F1318" s="16"/>
    </row>
    <row r="1319" spans="5:6">
      <c r="E1319" s="11"/>
      <c r="F1319" s="16"/>
    </row>
    <row r="1320" spans="5:6">
      <c r="E1320" s="11"/>
      <c r="F1320" s="16"/>
    </row>
    <row r="1321" spans="5:6">
      <c r="E1321" s="11"/>
      <c r="F1321" s="16"/>
    </row>
    <row r="1322" spans="5:6">
      <c r="E1322" s="11"/>
      <c r="F1322" s="16"/>
    </row>
    <row r="1323" spans="5:6">
      <c r="E1323" s="11"/>
      <c r="F1323" s="16"/>
    </row>
    <row r="1324" spans="5:6">
      <c r="E1324" s="11"/>
      <c r="F1324" s="16"/>
    </row>
    <row r="1325" spans="5:6">
      <c r="E1325" s="11"/>
      <c r="F1325" s="16"/>
    </row>
    <row r="1326" spans="5:6">
      <c r="E1326" s="11"/>
      <c r="F1326" s="16"/>
    </row>
    <row r="1327" spans="5:6">
      <c r="E1327" s="11"/>
      <c r="F1327" s="16"/>
    </row>
    <row r="1328" spans="5:6">
      <c r="E1328" s="11"/>
      <c r="F1328" s="16"/>
    </row>
    <row r="1329" spans="5:6">
      <c r="E1329" s="11"/>
      <c r="F1329" s="16"/>
    </row>
    <row r="1330" spans="5:6">
      <c r="E1330" s="11"/>
      <c r="F1330" s="16"/>
    </row>
    <row r="1331" spans="5:6">
      <c r="E1331" s="11"/>
      <c r="F1331" s="16"/>
    </row>
    <row r="1332" spans="5:6">
      <c r="E1332" s="11"/>
      <c r="F1332" s="16"/>
    </row>
    <row r="1333" spans="5:6">
      <c r="E1333" s="11"/>
      <c r="F1333" s="16"/>
    </row>
    <row r="1334" spans="5:6">
      <c r="E1334" s="11"/>
      <c r="F1334" s="16"/>
    </row>
    <row r="1335" spans="5:6">
      <c r="E1335" s="11"/>
      <c r="F1335" s="16"/>
    </row>
    <row r="1336" spans="5:6">
      <c r="E1336" s="11"/>
      <c r="F1336" s="16"/>
    </row>
    <row r="1337" spans="5:6">
      <c r="E1337" s="11"/>
      <c r="F1337" s="16"/>
    </row>
    <row r="1338" spans="5:6">
      <c r="E1338" s="11"/>
      <c r="F1338" s="16"/>
    </row>
    <row r="1339" spans="5:6">
      <c r="E1339" s="11"/>
      <c r="F1339" s="16"/>
    </row>
    <row r="1340" spans="5:6">
      <c r="E1340" s="11"/>
      <c r="F1340" s="16"/>
    </row>
    <row r="1341" spans="5:6">
      <c r="E1341" s="11"/>
      <c r="F1341" s="16"/>
    </row>
    <row r="1342" spans="5:6">
      <c r="E1342" s="11"/>
      <c r="F1342" s="16"/>
    </row>
    <row r="1343" spans="5:6">
      <c r="E1343" s="11"/>
      <c r="F1343" s="16"/>
    </row>
    <row r="1344" spans="5:6">
      <c r="E1344" s="11"/>
      <c r="F1344" s="16"/>
    </row>
    <row r="1345" spans="5:6">
      <c r="E1345" s="11"/>
      <c r="F1345" s="16"/>
    </row>
    <row r="1346" spans="5:6">
      <c r="E1346" s="11"/>
      <c r="F1346" s="16"/>
    </row>
    <row r="1347" spans="5:6">
      <c r="E1347" s="11"/>
      <c r="F1347" s="16"/>
    </row>
    <row r="1348" spans="5:6">
      <c r="E1348" s="11"/>
      <c r="F1348" s="16"/>
    </row>
    <row r="1349" spans="5:6">
      <c r="E1349" s="11"/>
      <c r="F1349" s="16"/>
    </row>
    <row r="1350" spans="5:6">
      <c r="E1350" s="11"/>
      <c r="F1350" s="16"/>
    </row>
    <row r="1351" spans="5:6">
      <c r="E1351" s="11"/>
      <c r="F1351" s="16"/>
    </row>
    <row r="1352" spans="5:6">
      <c r="E1352" s="11"/>
      <c r="F1352" s="16"/>
    </row>
    <row r="1353" spans="5:6">
      <c r="E1353" s="11"/>
      <c r="F1353" s="16"/>
    </row>
    <row r="1354" spans="5:6">
      <c r="E1354" s="11"/>
      <c r="F1354" s="16"/>
    </row>
    <row r="1355" spans="5:6">
      <c r="E1355" s="11"/>
      <c r="F1355" s="16"/>
    </row>
    <row r="1356" spans="5:6">
      <c r="E1356" s="11"/>
      <c r="F1356" s="16"/>
    </row>
    <row r="1357" spans="5:6">
      <c r="E1357" s="11"/>
      <c r="F1357" s="16"/>
    </row>
    <row r="1358" spans="5:6">
      <c r="E1358" s="11"/>
      <c r="F1358" s="16"/>
    </row>
    <row r="1359" spans="5:6">
      <c r="E1359" s="11"/>
      <c r="F1359" s="16"/>
    </row>
    <row r="1360" spans="5:6">
      <c r="E1360" s="11"/>
      <c r="F1360" s="16"/>
    </row>
    <row r="1361" spans="5:6">
      <c r="E1361" s="11"/>
      <c r="F1361" s="16"/>
    </row>
    <row r="1362" spans="5:6">
      <c r="E1362" s="11"/>
      <c r="F1362" s="16"/>
    </row>
    <row r="1363" spans="5:6">
      <c r="E1363" s="11"/>
      <c r="F1363" s="16"/>
    </row>
    <row r="1364" spans="5:6">
      <c r="E1364" s="11"/>
      <c r="F1364" s="16"/>
    </row>
    <row r="1365" spans="5:6">
      <c r="E1365" s="11"/>
      <c r="F1365" s="16"/>
    </row>
    <row r="1366" spans="5:6">
      <c r="E1366" s="11"/>
      <c r="F1366" s="16"/>
    </row>
    <row r="1367" spans="5:6">
      <c r="E1367" s="11"/>
      <c r="F1367" s="16"/>
    </row>
    <row r="1368" spans="5:6">
      <c r="E1368" s="11"/>
      <c r="F1368" s="16"/>
    </row>
    <row r="1369" spans="5:6">
      <c r="E1369" s="11"/>
      <c r="F1369" s="16"/>
    </row>
    <row r="1370" spans="5:6">
      <c r="E1370" s="11"/>
      <c r="F1370" s="16"/>
    </row>
    <row r="1371" spans="5:6">
      <c r="E1371" s="11"/>
      <c r="F1371" s="16"/>
    </row>
    <row r="1372" spans="5:6">
      <c r="E1372" s="11"/>
      <c r="F1372" s="16"/>
    </row>
    <row r="1373" spans="5:6">
      <c r="E1373" s="11"/>
      <c r="F1373" s="16"/>
    </row>
    <row r="1374" spans="5:6">
      <c r="E1374" s="11"/>
      <c r="F1374" s="16"/>
    </row>
    <row r="1375" spans="5:6">
      <c r="E1375" s="11"/>
      <c r="F1375" s="16"/>
    </row>
    <row r="1376" spans="5:6">
      <c r="E1376" s="11"/>
      <c r="F1376" s="16"/>
    </row>
    <row r="1377" spans="5:6">
      <c r="E1377" s="11"/>
      <c r="F1377" s="16"/>
    </row>
    <row r="1378" spans="5:6">
      <c r="E1378" s="11"/>
      <c r="F1378" s="16"/>
    </row>
    <row r="1379" spans="5:6">
      <c r="E1379" s="11"/>
      <c r="F1379" s="16"/>
    </row>
    <row r="1380" spans="5:6">
      <c r="E1380" s="11"/>
      <c r="F1380" s="16"/>
    </row>
    <row r="1381" spans="5:6">
      <c r="E1381" s="11"/>
      <c r="F1381" s="16"/>
    </row>
    <row r="1382" spans="5:6">
      <c r="E1382" s="11"/>
      <c r="F1382" s="16"/>
    </row>
    <row r="1383" spans="5:6">
      <c r="E1383" s="11"/>
      <c r="F1383" s="16"/>
    </row>
    <row r="1384" spans="5:6">
      <c r="E1384" s="11"/>
      <c r="F1384" s="16"/>
    </row>
    <row r="1385" spans="5:6">
      <c r="E1385" s="11"/>
      <c r="F1385" s="16"/>
    </row>
    <row r="1386" spans="5:6">
      <c r="E1386" s="11"/>
      <c r="F1386" s="16"/>
    </row>
    <row r="1387" spans="5:6">
      <c r="E1387" s="11"/>
      <c r="F1387" s="16"/>
    </row>
    <row r="1388" spans="5:6">
      <c r="E1388" s="11"/>
      <c r="F1388" s="16"/>
    </row>
    <row r="1389" spans="5:6">
      <c r="E1389" s="11"/>
      <c r="F1389" s="16"/>
    </row>
    <row r="1390" spans="5:6">
      <c r="E1390" s="11"/>
      <c r="F1390" s="16"/>
    </row>
    <row r="1391" spans="5:6">
      <c r="E1391" s="11"/>
      <c r="F1391" s="16"/>
    </row>
    <row r="1392" spans="5:6">
      <c r="E1392" s="11"/>
      <c r="F1392" s="16"/>
    </row>
    <row r="1393" spans="5:6">
      <c r="E1393" s="11"/>
      <c r="F1393" s="16"/>
    </row>
    <row r="1394" spans="5:6">
      <c r="E1394" s="11"/>
      <c r="F1394" s="16"/>
    </row>
    <row r="1395" spans="5:6">
      <c r="E1395" s="11"/>
      <c r="F1395" s="16"/>
    </row>
    <row r="1396" spans="5:6">
      <c r="E1396" s="11"/>
      <c r="F1396" s="16"/>
    </row>
    <row r="1397" spans="5:6">
      <c r="E1397" s="11"/>
      <c r="F1397" s="16"/>
    </row>
    <row r="1398" spans="5:6">
      <c r="E1398" s="11"/>
      <c r="F1398" s="16"/>
    </row>
    <row r="1399" spans="5:6">
      <c r="E1399" s="11"/>
      <c r="F1399" s="16"/>
    </row>
    <row r="1400" spans="5:6">
      <c r="E1400" s="11"/>
      <c r="F1400" s="16"/>
    </row>
    <row r="1401" spans="5:6">
      <c r="E1401" s="11"/>
      <c r="F1401" s="16"/>
    </row>
    <row r="1402" spans="5:6">
      <c r="E1402" s="11"/>
      <c r="F1402" s="16"/>
    </row>
    <row r="1403" spans="5:6">
      <c r="E1403" s="11"/>
      <c r="F1403" s="16"/>
    </row>
    <row r="1404" spans="5:6">
      <c r="E1404" s="11"/>
      <c r="F1404" s="16"/>
    </row>
    <row r="1405" spans="5:6">
      <c r="E1405" s="11"/>
      <c r="F1405" s="16"/>
    </row>
    <row r="1406" spans="5:6">
      <c r="E1406" s="11"/>
      <c r="F1406" s="16"/>
    </row>
    <row r="1407" spans="5:6">
      <c r="E1407" s="11"/>
      <c r="F1407" s="16"/>
    </row>
    <row r="1408" spans="5:6">
      <c r="E1408" s="11"/>
      <c r="F1408" s="16"/>
    </row>
    <row r="1409" spans="5:6">
      <c r="E1409" s="11"/>
      <c r="F1409" s="16"/>
    </row>
    <row r="1410" spans="5:6">
      <c r="E1410" s="11"/>
      <c r="F1410" s="16"/>
    </row>
    <row r="1411" spans="5:6">
      <c r="E1411" s="11"/>
      <c r="F1411" s="16"/>
    </row>
    <row r="1412" spans="5:6">
      <c r="E1412" s="11"/>
      <c r="F1412" s="16"/>
    </row>
    <row r="1413" spans="5:6">
      <c r="E1413" s="11"/>
      <c r="F1413" s="16"/>
    </row>
    <row r="1414" spans="5:6">
      <c r="E1414" s="11"/>
      <c r="F1414" s="16"/>
    </row>
    <row r="1415" spans="5:6">
      <c r="E1415" s="11"/>
      <c r="F1415" s="16"/>
    </row>
    <row r="1416" spans="5:6">
      <c r="E1416" s="11"/>
      <c r="F1416" s="16"/>
    </row>
    <row r="1417" spans="5:6">
      <c r="E1417" s="11"/>
      <c r="F1417" s="16"/>
    </row>
    <row r="1418" spans="5:6">
      <c r="E1418" s="11"/>
      <c r="F1418" s="16"/>
    </row>
    <row r="1419" spans="5:6">
      <c r="E1419" s="11"/>
      <c r="F1419" s="16"/>
    </row>
    <row r="1420" spans="5:6">
      <c r="E1420" s="11"/>
      <c r="F1420" s="16"/>
    </row>
    <row r="1421" spans="5:6">
      <c r="E1421" s="11"/>
      <c r="F1421" s="16"/>
    </row>
    <row r="1422" spans="5:6">
      <c r="E1422" s="11"/>
      <c r="F1422" s="16"/>
    </row>
    <row r="1423" spans="5:6">
      <c r="E1423" s="11"/>
      <c r="F1423" s="16"/>
    </row>
    <row r="1424" spans="5:6">
      <c r="E1424" s="11"/>
      <c r="F1424" s="16"/>
    </row>
    <row r="1425" spans="5:6">
      <c r="E1425" s="11"/>
      <c r="F1425" s="16"/>
    </row>
    <row r="1426" spans="5:6">
      <c r="E1426" s="11"/>
      <c r="F1426" s="16"/>
    </row>
    <row r="1427" spans="5:6">
      <c r="E1427" s="11"/>
      <c r="F1427" s="16"/>
    </row>
    <row r="1428" spans="5:6">
      <c r="E1428" s="11"/>
      <c r="F1428" s="16"/>
    </row>
    <row r="1429" spans="5:6">
      <c r="E1429" s="11"/>
      <c r="F1429" s="16"/>
    </row>
    <row r="1430" spans="5:6">
      <c r="E1430" s="11"/>
      <c r="F1430" s="16"/>
    </row>
    <row r="1431" spans="5:6">
      <c r="E1431" s="11"/>
      <c r="F1431" s="16"/>
    </row>
    <row r="1432" spans="5:6">
      <c r="E1432" s="11"/>
      <c r="F1432" s="16"/>
    </row>
    <row r="1433" spans="5:6">
      <c r="E1433" s="11"/>
      <c r="F1433" s="16"/>
    </row>
    <row r="1434" spans="5:6">
      <c r="E1434" s="11"/>
      <c r="F1434" s="16"/>
    </row>
    <row r="1435" spans="5:6">
      <c r="E1435" s="11"/>
      <c r="F1435" s="16"/>
    </row>
    <row r="1436" spans="5:6">
      <c r="E1436" s="11"/>
      <c r="F1436" s="16"/>
    </row>
    <row r="1437" spans="5:6">
      <c r="E1437" s="11"/>
      <c r="F1437" s="16"/>
    </row>
    <row r="1438" spans="5:6">
      <c r="E1438" s="11"/>
      <c r="F1438" s="16"/>
    </row>
    <row r="1439" spans="5:6">
      <c r="E1439" s="11"/>
      <c r="F1439" s="16"/>
    </row>
    <row r="1440" spans="5:6">
      <c r="E1440" s="11"/>
      <c r="F1440" s="16"/>
    </row>
    <row r="1441" spans="5:6">
      <c r="E1441" s="11"/>
      <c r="F1441" s="16"/>
    </row>
    <row r="1442" spans="5:6">
      <c r="E1442" s="11"/>
      <c r="F1442" s="16"/>
    </row>
    <row r="1443" spans="5:6">
      <c r="E1443" s="11"/>
      <c r="F1443" s="16"/>
    </row>
    <row r="1444" spans="5:6">
      <c r="E1444" s="11"/>
      <c r="F1444" s="16"/>
    </row>
    <row r="1445" spans="5:6">
      <c r="E1445" s="11"/>
      <c r="F1445" s="16"/>
    </row>
    <row r="1446" spans="5:6">
      <c r="E1446" s="11"/>
      <c r="F1446" s="16"/>
    </row>
    <row r="1447" spans="5:6">
      <c r="E1447" s="11"/>
      <c r="F1447" s="16"/>
    </row>
    <row r="1448" spans="5:6">
      <c r="E1448" s="11"/>
      <c r="F1448" s="16"/>
    </row>
    <row r="1449" spans="5:6">
      <c r="E1449" s="11"/>
      <c r="F1449" s="16"/>
    </row>
    <row r="1450" spans="5:6">
      <c r="E1450" s="11"/>
      <c r="F1450" s="16"/>
    </row>
    <row r="1451" spans="5:6">
      <c r="E1451" s="11"/>
      <c r="F1451" s="16"/>
    </row>
    <row r="1452" spans="5:6">
      <c r="E1452" s="11"/>
      <c r="F1452" s="16"/>
    </row>
    <row r="1453" spans="5:6">
      <c r="E1453" s="11"/>
      <c r="F1453" s="16"/>
    </row>
    <row r="1454" spans="5:6">
      <c r="E1454" s="11"/>
      <c r="F1454" s="16"/>
    </row>
    <row r="1455" spans="5:6">
      <c r="E1455" s="11"/>
      <c r="F1455" s="16"/>
    </row>
    <row r="1456" spans="5:6">
      <c r="E1456" s="11"/>
      <c r="F1456" s="16"/>
    </row>
    <row r="1457" spans="5:6">
      <c r="E1457" s="11"/>
      <c r="F1457" s="16"/>
    </row>
    <row r="1458" spans="5:6">
      <c r="E1458" s="11"/>
      <c r="F1458" s="16"/>
    </row>
    <row r="1459" spans="5:6">
      <c r="E1459" s="11"/>
      <c r="F1459" s="16"/>
    </row>
    <row r="1460" spans="5:6">
      <c r="E1460" s="11"/>
      <c r="F1460" s="16"/>
    </row>
    <row r="1461" spans="5:6">
      <c r="E1461" s="11"/>
      <c r="F1461" s="16"/>
    </row>
    <row r="1462" spans="5:6">
      <c r="E1462" s="11"/>
      <c r="F1462" s="16"/>
    </row>
    <row r="1463" spans="5:6">
      <c r="E1463" s="11"/>
      <c r="F1463" s="16"/>
    </row>
    <row r="1464" spans="5:6">
      <c r="E1464" s="11"/>
      <c r="F1464" s="16"/>
    </row>
    <row r="1465" spans="5:6">
      <c r="E1465" s="11"/>
      <c r="F1465" s="16"/>
    </row>
    <row r="1466" spans="5:6">
      <c r="E1466" s="11"/>
      <c r="F1466" s="16"/>
    </row>
    <row r="1467" spans="5:6">
      <c r="E1467" s="11"/>
      <c r="F1467" s="16"/>
    </row>
    <row r="1468" spans="5:6">
      <c r="E1468" s="11"/>
      <c r="F1468" s="16"/>
    </row>
    <row r="1469" spans="5:6">
      <c r="E1469" s="11"/>
      <c r="F1469" s="16"/>
    </row>
    <row r="1470" spans="5:6">
      <c r="E1470" s="11"/>
      <c r="F1470" s="16"/>
    </row>
    <row r="1471" spans="5:6">
      <c r="E1471" s="11"/>
      <c r="F1471" s="16"/>
    </row>
    <row r="1472" spans="5:6">
      <c r="E1472" s="11"/>
      <c r="F1472" s="16"/>
    </row>
    <row r="1473" spans="5:6">
      <c r="E1473" s="11"/>
      <c r="F1473" s="16"/>
    </row>
    <row r="1474" spans="5:6">
      <c r="E1474" s="11"/>
      <c r="F1474" s="16"/>
    </row>
    <row r="1475" spans="5:6">
      <c r="E1475" s="11"/>
      <c r="F1475" s="16"/>
    </row>
    <row r="1476" spans="5:6">
      <c r="E1476" s="11"/>
      <c r="F1476" s="16"/>
    </row>
    <row r="1477" spans="5:6">
      <c r="E1477" s="11"/>
      <c r="F1477" s="16"/>
    </row>
    <row r="1478" spans="5:6">
      <c r="E1478" s="11"/>
      <c r="F1478" s="16"/>
    </row>
    <row r="1479" spans="5:6">
      <c r="E1479" s="11"/>
      <c r="F1479" s="16"/>
    </row>
    <row r="1480" spans="5:6">
      <c r="E1480" s="11"/>
      <c r="F1480" s="16"/>
    </row>
    <row r="1481" spans="5:6">
      <c r="E1481" s="11"/>
      <c r="F1481" s="16"/>
    </row>
    <row r="1482" spans="5:6">
      <c r="E1482" s="11"/>
      <c r="F1482" s="16"/>
    </row>
    <row r="1483" spans="5:6">
      <c r="E1483" s="11"/>
      <c r="F1483" s="16"/>
    </row>
    <row r="1484" spans="5:6">
      <c r="E1484" s="11"/>
      <c r="F1484" s="16"/>
    </row>
    <row r="1485" spans="5:6">
      <c r="E1485" s="11"/>
      <c r="F1485" s="16"/>
    </row>
    <row r="1486" spans="5:6">
      <c r="E1486" s="11"/>
      <c r="F1486" s="16"/>
    </row>
    <row r="1487" spans="5:6">
      <c r="E1487" s="11"/>
      <c r="F1487" s="16"/>
    </row>
    <row r="1488" spans="5:6">
      <c r="E1488" s="11"/>
      <c r="F1488" s="16"/>
    </row>
    <row r="1489" spans="5:6">
      <c r="E1489" s="11"/>
      <c r="F1489" s="16"/>
    </row>
    <row r="1490" spans="5:6">
      <c r="E1490" s="11"/>
      <c r="F1490" s="16"/>
    </row>
    <row r="1491" spans="5:6">
      <c r="E1491" s="11"/>
      <c r="F1491" s="16"/>
    </row>
    <row r="1492" spans="5:6">
      <c r="E1492" s="11"/>
      <c r="F1492" s="16"/>
    </row>
    <row r="1493" spans="5:6">
      <c r="E1493" s="11"/>
      <c r="F1493" s="16"/>
    </row>
    <row r="1494" spans="5:6">
      <c r="E1494" s="11"/>
      <c r="F1494" s="16"/>
    </row>
    <row r="1495" spans="5:6">
      <c r="E1495" s="11"/>
      <c r="F1495" s="16"/>
    </row>
    <row r="1496" spans="5:6">
      <c r="E1496" s="11"/>
      <c r="F1496" s="16"/>
    </row>
    <row r="1497" spans="5:6">
      <c r="E1497" s="11"/>
      <c r="F1497" s="16"/>
    </row>
    <row r="1498" spans="5:6">
      <c r="E1498" s="11"/>
      <c r="F1498" s="16"/>
    </row>
    <row r="1499" spans="5:6">
      <c r="E1499" s="11"/>
      <c r="F1499" s="16"/>
    </row>
    <row r="1500" spans="5:6">
      <c r="E1500" s="11"/>
      <c r="F1500" s="16"/>
    </row>
    <row r="1501" spans="5:6">
      <c r="E1501" s="11"/>
      <c r="F1501" s="16"/>
    </row>
    <row r="1502" spans="5:6">
      <c r="E1502" s="11"/>
      <c r="F1502" s="16"/>
    </row>
    <row r="1503" spans="5:6">
      <c r="E1503" s="11"/>
      <c r="F1503" s="16"/>
    </row>
    <row r="1504" spans="5:6">
      <c r="E1504" s="11"/>
      <c r="F1504" s="16"/>
    </row>
    <row r="1505" spans="5:6">
      <c r="E1505" s="11"/>
      <c r="F1505" s="16"/>
    </row>
    <row r="1506" spans="5:6">
      <c r="E1506" s="11"/>
      <c r="F1506" s="16"/>
    </row>
    <row r="1507" spans="5:6">
      <c r="E1507" s="11"/>
      <c r="F1507" s="16"/>
    </row>
    <row r="1508" spans="5:6">
      <c r="E1508" s="11"/>
      <c r="F1508" s="16"/>
    </row>
    <row r="1509" spans="5:6">
      <c r="E1509" s="11"/>
      <c r="F1509" s="16"/>
    </row>
    <row r="1510" spans="5:6">
      <c r="E1510" s="11"/>
      <c r="F1510" s="16"/>
    </row>
    <row r="1511" spans="5:6">
      <c r="E1511" s="11"/>
      <c r="F1511" s="16"/>
    </row>
    <row r="1512" spans="5:6">
      <c r="E1512" s="11"/>
      <c r="F1512" s="16"/>
    </row>
    <row r="1513" spans="5:6">
      <c r="E1513" s="11"/>
      <c r="F1513" s="16"/>
    </row>
    <row r="1514" spans="5:6">
      <c r="E1514" s="11"/>
      <c r="F1514" s="16"/>
    </row>
    <row r="1515" spans="5:6">
      <c r="E1515" s="11"/>
      <c r="F1515" s="16"/>
    </row>
    <row r="1516" spans="5:6">
      <c r="E1516" s="11"/>
      <c r="F1516" s="16"/>
    </row>
    <row r="1517" spans="5:6">
      <c r="E1517" s="11"/>
      <c r="F1517" s="16"/>
    </row>
    <row r="1518" spans="5:6">
      <c r="E1518" s="11"/>
      <c r="F1518" s="16"/>
    </row>
    <row r="1519" spans="5:6">
      <c r="E1519" s="11"/>
      <c r="F1519" s="16"/>
    </row>
    <row r="1520" spans="5:6">
      <c r="E1520" s="11"/>
      <c r="F1520" s="16"/>
    </row>
    <row r="1521" spans="5:6">
      <c r="E1521" s="11"/>
      <c r="F1521" s="16"/>
    </row>
    <row r="1522" spans="5:6">
      <c r="E1522" s="11"/>
      <c r="F1522" s="16"/>
    </row>
    <row r="1523" spans="5:6">
      <c r="E1523" s="11"/>
      <c r="F1523" s="16"/>
    </row>
    <row r="1524" spans="5:6">
      <c r="E1524" s="11"/>
      <c r="F1524" s="16"/>
    </row>
    <row r="1525" spans="5:6">
      <c r="E1525" s="11"/>
      <c r="F1525" s="16"/>
    </row>
    <row r="1526" spans="5:6">
      <c r="E1526" s="11"/>
      <c r="F1526" s="16"/>
    </row>
    <row r="1527" spans="5:6">
      <c r="E1527" s="11"/>
      <c r="F1527" s="16"/>
    </row>
    <row r="1528" spans="5:6">
      <c r="E1528" s="11"/>
      <c r="F1528" s="16"/>
    </row>
    <row r="1529" spans="5:6">
      <c r="E1529" s="11"/>
      <c r="F1529" s="16"/>
    </row>
    <row r="1530" spans="5:6">
      <c r="E1530" s="11"/>
      <c r="F1530" s="16"/>
    </row>
    <row r="1531" spans="5:6">
      <c r="E1531" s="11"/>
      <c r="F1531" s="16"/>
    </row>
    <row r="1532" spans="5:6">
      <c r="E1532" s="11"/>
      <c r="F1532" s="16"/>
    </row>
    <row r="1533" spans="5:6">
      <c r="E1533" s="11"/>
      <c r="F1533" s="16"/>
    </row>
    <row r="1534" spans="5:6">
      <c r="E1534" s="11"/>
      <c r="F1534" s="16"/>
    </row>
    <row r="1535" spans="5:6">
      <c r="E1535" s="11"/>
      <c r="F1535" s="16"/>
    </row>
    <row r="1536" spans="5:6">
      <c r="E1536" s="11"/>
      <c r="F1536" s="16"/>
    </row>
    <row r="1537" spans="5:6">
      <c r="E1537" s="11"/>
      <c r="F1537" s="16"/>
    </row>
    <row r="1538" spans="5:6">
      <c r="E1538" s="11"/>
      <c r="F1538" s="16"/>
    </row>
    <row r="1539" spans="5:6">
      <c r="E1539" s="11"/>
      <c r="F1539" s="16"/>
    </row>
    <row r="1540" spans="5:6">
      <c r="E1540" s="11"/>
      <c r="F1540" s="16"/>
    </row>
    <row r="1541" spans="5:6">
      <c r="E1541" s="11"/>
      <c r="F1541" s="16"/>
    </row>
    <row r="1542" spans="5:6">
      <c r="E1542" s="11"/>
      <c r="F1542" s="16"/>
    </row>
    <row r="1543" spans="5:6">
      <c r="E1543" s="11"/>
      <c r="F1543" s="16"/>
    </row>
    <row r="1544" spans="5:6">
      <c r="E1544" s="11"/>
      <c r="F1544" s="16"/>
    </row>
    <row r="1545" spans="5:6">
      <c r="E1545" s="11"/>
      <c r="F1545" s="16"/>
    </row>
    <row r="1546" spans="5:6">
      <c r="E1546" s="11"/>
      <c r="F1546" s="16"/>
    </row>
    <row r="1547" spans="5:6">
      <c r="E1547" s="11"/>
      <c r="F1547" s="16"/>
    </row>
    <row r="1548" spans="5:6">
      <c r="E1548" s="11"/>
      <c r="F1548" s="16"/>
    </row>
    <row r="1549" spans="5:6">
      <c r="E1549" s="11"/>
      <c r="F1549" s="16"/>
    </row>
    <row r="1550" spans="5:6">
      <c r="E1550" s="11"/>
      <c r="F1550" s="16"/>
    </row>
    <row r="1551" spans="5:6">
      <c r="E1551" s="11"/>
      <c r="F1551" s="16"/>
    </row>
    <row r="1552" spans="5:6">
      <c r="E1552" s="11"/>
      <c r="F1552" s="16"/>
    </row>
    <row r="1553" spans="5:6">
      <c r="E1553" s="11"/>
      <c r="F1553" s="16"/>
    </row>
    <row r="1554" spans="5:6">
      <c r="E1554" s="11"/>
      <c r="F1554" s="16"/>
    </row>
    <row r="1555" spans="5:6">
      <c r="E1555" s="11"/>
      <c r="F1555" s="16"/>
    </row>
    <row r="1556" spans="5:6">
      <c r="E1556" s="11"/>
      <c r="F1556" s="16"/>
    </row>
    <row r="1557" spans="5:6">
      <c r="E1557" s="11"/>
      <c r="F1557" s="16"/>
    </row>
    <row r="1558" spans="5:6">
      <c r="E1558" s="11"/>
      <c r="F1558" s="16"/>
    </row>
    <row r="1559" spans="5:6">
      <c r="E1559" s="11"/>
      <c r="F1559" s="16"/>
    </row>
    <row r="1560" spans="5:6">
      <c r="E1560" s="11"/>
      <c r="F1560" s="16"/>
    </row>
    <row r="1561" spans="5:6">
      <c r="E1561" s="11"/>
      <c r="F1561" s="16"/>
    </row>
    <row r="1562" spans="5:6">
      <c r="E1562" s="11"/>
      <c r="F1562" s="16"/>
    </row>
    <row r="1563" spans="5:6">
      <c r="E1563" s="11"/>
      <c r="F1563" s="16"/>
    </row>
    <row r="1564" spans="5:6">
      <c r="E1564" s="11"/>
      <c r="F1564" s="16"/>
    </row>
    <row r="1565" spans="5:6">
      <c r="E1565" s="11"/>
      <c r="F1565" s="16"/>
    </row>
    <row r="1566" spans="5:6">
      <c r="E1566" s="11"/>
      <c r="F1566" s="16"/>
    </row>
    <row r="1567" spans="5:6">
      <c r="E1567" s="11"/>
      <c r="F1567" s="16"/>
    </row>
    <row r="1568" spans="5:6">
      <c r="E1568" s="11"/>
      <c r="F1568" s="16"/>
    </row>
    <row r="1569" spans="5:6">
      <c r="E1569" s="11"/>
      <c r="F1569" s="16"/>
    </row>
    <row r="1570" spans="5:6">
      <c r="E1570" s="11"/>
      <c r="F1570" s="16"/>
    </row>
    <row r="1571" spans="5:6">
      <c r="E1571" s="11"/>
      <c r="F1571" s="16"/>
    </row>
    <row r="1572" spans="5:6">
      <c r="E1572" s="11"/>
      <c r="F1572" s="16"/>
    </row>
    <row r="1573" spans="5:6">
      <c r="E1573" s="11"/>
      <c r="F1573" s="16"/>
    </row>
    <row r="1574" spans="5:6">
      <c r="E1574" s="11"/>
      <c r="F1574" s="16"/>
    </row>
    <row r="1575" spans="5:6">
      <c r="E1575" s="11"/>
      <c r="F1575" s="16"/>
    </row>
    <row r="1576" spans="5:6">
      <c r="E1576" s="11"/>
      <c r="F1576" s="16"/>
    </row>
    <row r="1577" spans="5:6">
      <c r="E1577" s="11"/>
      <c r="F1577" s="16"/>
    </row>
    <row r="1578" spans="5:6">
      <c r="E1578" s="11"/>
      <c r="F1578" s="16"/>
    </row>
    <row r="1579" spans="5:6">
      <c r="E1579" s="11"/>
      <c r="F1579" s="16"/>
    </row>
    <row r="1580" spans="5:6">
      <c r="E1580" s="11"/>
      <c r="F1580" s="16"/>
    </row>
    <row r="1581" spans="5:6">
      <c r="E1581" s="11"/>
      <c r="F1581" s="16"/>
    </row>
    <row r="1582" spans="5:6">
      <c r="E1582" s="11"/>
      <c r="F1582" s="16"/>
    </row>
    <row r="1583" spans="5:6">
      <c r="E1583" s="11"/>
      <c r="F1583" s="16"/>
    </row>
    <row r="1584" spans="5:6">
      <c r="E1584" s="11"/>
      <c r="F1584" s="16"/>
    </row>
    <row r="1585" spans="5:6">
      <c r="E1585" s="11"/>
      <c r="F1585" s="16"/>
    </row>
    <row r="1586" spans="5:6">
      <c r="E1586" s="11"/>
      <c r="F1586" s="16"/>
    </row>
    <row r="1587" spans="5:6">
      <c r="E1587" s="11"/>
      <c r="F1587" s="16"/>
    </row>
    <row r="1588" spans="5:6">
      <c r="E1588" s="11"/>
      <c r="F1588" s="16"/>
    </row>
    <row r="1589" spans="5:6">
      <c r="E1589" s="11"/>
      <c r="F1589" s="16"/>
    </row>
    <row r="1590" spans="5:6">
      <c r="E1590" s="11"/>
      <c r="F1590" s="16"/>
    </row>
    <row r="1591" spans="5:6">
      <c r="E1591" s="11"/>
      <c r="F1591" s="16"/>
    </row>
    <row r="1592" spans="5:6">
      <c r="E1592" s="11"/>
      <c r="F1592" s="16"/>
    </row>
    <row r="1593" spans="5:6">
      <c r="E1593" s="11"/>
      <c r="F1593" s="16"/>
    </row>
    <row r="1594" spans="5:6">
      <c r="E1594" s="11"/>
      <c r="F1594" s="16"/>
    </row>
    <row r="1595" spans="5:6">
      <c r="E1595" s="11"/>
      <c r="F1595" s="16"/>
    </row>
    <row r="1596" spans="5:6">
      <c r="E1596" s="11"/>
      <c r="F1596" s="16"/>
    </row>
    <row r="1597" spans="5:6">
      <c r="E1597" s="11"/>
      <c r="F1597" s="16"/>
    </row>
    <row r="1598" spans="5:6">
      <c r="E1598" s="11"/>
      <c r="F1598" s="16"/>
    </row>
    <row r="1599" spans="5:6">
      <c r="E1599" s="11"/>
      <c r="F1599" s="16"/>
    </row>
    <row r="1600" spans="5:6">
      <c r="E1600" s="11"/>
      <c r="F1600" s="16"/>
    </row>
    <row r="1601" spans="5:6">
      <c r="E1601" s="11"/>
      <c r="F1601" s="16"/>
    </row>
    <row r="1602" spans="5:6">
      <c r="E1602" s="11"/>
      <c r="F1602" s="16"/>
    </row>
    <row r="1603" spans="5:6">
      <c r="E1603" s="11"/>
      <c r="F1603" s="16"/>
    </row>
    <row r="1604" spans="5:6">
      <c r="E1604" s="11"/>
      <c r="F1604" s="16"/>
    </row>
    <row r="1605" spans="5:6">
      <c r="E1605" s="11"/>
      <c r="F1605" s="16"/>
    </row>
    <row r="1606" spans="5:6">
      <c r="E1606" s="11"/>
      <c r="F1606" s="16"/>
    </row>
    <row r="1607" spans="5:6">
      <c r="E1607" s="11"/>
      <c r="F1607" s="16"/>
    </row>
    <row r="1608" spans="5:6">
      <c r="E1608" s="11"/>
      <c r="F1608" s="16"/>
    </row>
    <row r="1609" spans="5:6">
      <c r="E1609" s="11"/>
      <c r="F1609" s="16"/>
    </row>
    <row r="1610" spans="5:6">
      <c r="E1610" s="11"/>
      <c r="F1610" s="16"/>
    </row>
    <row r="1611" spans="5:6">
      <c r="E1611" s="11"/>
      <c r="F1611" s="16"/>
    </row>
    <row r="1612" spans="5:6">
      <c r="E1612" s="11"/>
      <c r="F1612" s="16"/>
    </row>
    <row r="1613" spans="5:6">
      <c r="E1613" s="11"/>
      <c r="F1613" s="16"/>
    </row>
    <row r="1614" spans="5:6">
      <c r="E1614" s="11"/>
      <c r="F1614" s="16"/>
    </row>
    <row r="1615" spans="5:6">
      <c r="E1615" s="11"/>
      <c r="F1615" s="16"/>
    </row>
    <row r="1616" spans="5:6">
      <c r="E1616" s="11"/>
      <c r="F1616" s="16"/>
    </row>
    <row r="1617" spans="5:6">
      <c r="E1617" s="11"/>
      <c r="F1617" s="16"/>
    </row>
    <row r="1618" spans="5:6">
      <c r="E1618" s="11"/>
      <c r="F1618" s="16"/>
    </row>
    <row r="1619" spans="5:6">
      <c r="E1619" s="11"/>
      <c r="F1619" s="16"/>
    </row>
    <row r="1620" spans="5:6">
      <c r="E1620" s="11"/>
      <c r="F1620" s="16"/>
    </row>
    <row r="1621" spans="5:6">
      <c r="E1621" s="11"/>
      <c r="F1621" s="16"/>
    </row>
    <row r="1622" spans="5:6">
      <c r="E1622" s="11"/>
      <c r="F1622" s="16"/>
    </row>
    <row r="1623" spans="5:6">
      <c r="E1623" s="11"/>
      <c r="F1623" s="16"/>
    </row>
    <row r="1624" spans="5:6">
      <c r="E1624" s="11"/>
      <c r="F1624" s="16"/>
    </row>
    <row r="1625" spans="5:6">
      <c r="E1625" s="11"/>
      <c r="F1625" s="16"/>
    </row>
    <row r="1626" spans="5:6">
      <c r="E1626" s="11"/>
      <c r="F1626" s="16"/>
    </row>
    <row r="1627" spans="5:6">
      <c r="E1627" s="11"/>
      <c r="F1627" s="16"/>
    </row>
    <row r="1628" spans="5:6">
      <c r="E1628" s="11"/>
      <c r="F1628" s="16"/>
    </row>
    <row r="1629" spans="5:6">
      <c r="E1629" s="11"/>
      <c r="F1629" s="16"/>
    </row>
    <row r="1630" spans="5:6">
      <c r="E1630" s="11"/>
      <c r="F1630" s="16"/>
    </row>
    <row r="1631" spans="5:6">
      <c r="E1631" s="11"/>
      <c r="F1631" s="16"/>
    </row>
    <row r="1632" spans="5:6">
      <c r="E1632" s="11"/>
      <c r="F1632" s="16"/>
    </row>
    <row r="1633" spans="5:6">
      <c r="E1633" s="11"/>
      <c r="F1633" s="16"/>
    </row>
    <row r="1634" spans="5:6">
      <c r="E1634" s="11"/>
      <c r="F1634" s="16"/>
    </row>
    <row r="1635" spans="5:6">
      <c r="E1635" s="11"/>
      <c r="F1635" s="16"/>
    </row>
    <row r="1636" spans="5:6">
      <c r="E1636" s="11"/>
      <c r="F1636" s="16"/>
    </row>
    <row r="1637" spans="5:6">
      <c r="E1637" s="11"/>
      <c r="F1637" s="16"/>
    </row>
    <row r="1638" spans="5:6">
      <c r="E1638" s="11"/>
      <c r="F1638" s="16"/>
    </row>
    <row r="1639" spans="5:6">
      <c r="E1639" s="11"/>
      <c r="F1639" s="16"/>
    </row>
    <row r="1640" spans="5:6">
      <c r="E1640" s="11"/>
      <c r="F1640" s="16"/>
    </row>
    <row r="1641" spans="5:6">
      <c r="E1641" s="11"/>
      <c r="F1641" s="16"/>
    </row>
    <row r="1642" spans="5:6">
      <c r="E1642" s="11"/>
      <c r="F1642" s="16"/>
    </row>
    <row r="1643" spans="5:6">
      <c r="E1643" s="11"/>
      <c r="F1643" s="16"/>
    </row>
    <row r="1644" spans="5:6">
      <c r="E1644" s="11"/>
      <c r="F1644" s="16"/>
    </row>
    <row r="1645" spans="5:6">
      <c r="E1645" s="11"/>
      <c r="F1645" s="16"/>
    </row>
    <row r="1646" spans="5:6">
      <c r="E1646" s="11"/>
      <c r="F1646" s="16"/>
    </row>
    <row r="1647" spans="5:6">
      <c r="E1647" s="11"/>
      <c r="F1647" s="16"/>
    </row>
    <row r="1648" spans="5:6">
      <c r="E1648" s="11"/>
      <c r="F1648" s="16"/>
    </row>
    <row r="1649" spans="5:6">
      <c r="E1649" s="11"/>
      <c r="F1649" s="16"/>
    </row>
    <row r="1650" spans="5:6">
      <c r="E1650" s="11"/>
      <c r="F1650" s="16"/>
    </row>
    <row r="1651" spans="5:6">
      <c r="E1651" s="11"/>
      <c r="F1651" s="16"/>
    </row>
    <row r="1652" spans="5:6">
      <c r="E1652" s="11"/>
      <c r="F1652" s="16"/>
    </row>
    <row r="1653" spans="5:6">
      <c r="E1653" s="11"/>
      <c r="F1653" s="16"/>
    </row>
    <row r="1654" spans="5:6">
      <c r="E1654" s="11"/>
      <c r="F1654" s="16"/>
    </row>
    <row r="1655" spans="5:6">
      <c r="E1655" s="11"/>
      <c r="F1655" s="16"/>
    </row>
    <row r="1656" spans="5:6">
      <c r="E1656" s="11"/>
      <c r="F1656" s="16"/>
    </row>
    <row r="1657" spans="5:6">
      <c r="E1657" s="11"/>
      <c r="F1657" s="16"/>
    </row>
    <row r="1658" spans="5:6">
      <c r="E1658" s="11"/>
      <c r="F1658" s="16"/>
    </row>
    <row r="1659" spans="5:6">
      <c r="E1659" s="11"/>
      <c r="F1659" s="16"/>
    </row>
    <row r="1660" spans="5:6">
      <c r="E1660" s="11"/>
      <c r="F1660" s="16"/>
    </row>
    <row r="1661" spans="5:6">
      <c r="E1661" s="11"/>
      <c r="F1661" s="16"/>
    </row>
    <row r="1662" spans="5:6">
      <c r="E1662" s="11"/>
      <c r="F1662" s="16"/>
    </row>
    <row r="1663" spans="5:6">
      <c r="E1663" s="11"/>
      <c r="F1663" s="16"/>
    </row>
    <row r="1664" spans="5:6">
      <c r="E1664" s="11"/>
      <c r="F1664" s="16"/>
    </row>
    <row r="1665" spans="5:6">
      <c r="E1665" s="11"/>
      <c r="F1665" s="16"/>
    </row>
    <row r="1666" spans="5:6">
      <c r="E1666" s="11"/>
      <c r="F1666" s="16"/>
    </row>
    <row r="1667" spans="5:6">
      <c r="E1667" s="11"/>
      <c r="F1667" s="16"/>
    </row>
    <row r="1668" spans="5:6">
      <c r="E1668" s="11"/>
      <c r="F1668" s="16"/>
    </row>
    <row r="1669" spans="5:6">
      <c r="E1669" s="11"/>
      <c r="F1669" s="16"/>
    </row>
    <row r="1670" spans="5:6">
      <c r="E1670" s="11"/>
      <c r="F1670" s="16"/>
    </row>
    <row r="1671" spans="5:6">
      <c r="E1671" s="11"/>
      <c r="F1671" s="16"/>
    </row>
    <row r="1672" spans="5:6">
      <c r="E1672" s="11"/>
      <c r="F1672" s="16"/>
    </row>
    <row r="1673" spans="5:6">
      <c r="E1673" s="11"/>
      <c r="F1673" s="16"/>
    </row>
    <row r="1674" spans="5:6">
      <c r="E1674" s="11"/>
      <c r="F1674" s="16"/>
    </row>
    <row r="1675" spans="5:6">
      <c r="E1675" s="11"/>
      <c r="F1675" s="16"/>
    </row>
    <row r="1676" spans="5:6">
      <c r="E1676" s="11"/>
      <c r="F1676" s="16"/>
    </row>
    <row r="1677" spans="5:6">
      <c r="E1677" s="11"/>
      <c r="F1677" s="16"/>
    </row>
    <row r="1678" spans="5:6">
      <c r="E1678" s="11"/>
      <c r="F1678" s="16"/>
    </row>
    <row r="1679" spans="5:6">
      <c r="E1679" s="11"/>
      <c r="F1679" s="16"/>
    </row>
    <row r="1680" spans="5:6">
      <c r="E1680" s="11"/>
      <c r="F1680" s="16"/>
    </row>
    <row r="1681" spans="5:6">
      <c r="E1681" s="11"/>
      <c r="F1681" s="16"/>
    </row>
    <row r="1682" spans="5:6">
      <c r="E1682" s="11"/>
      <c r="F1682" s="16"/>
    </row>
    <row r="1683" spans="5:6">
      <c r="E1683" s="11"/>
      <c r="F1683" s="16"/>
    </row>
    <row r="1684" spans="5:6">
      <c r="E1684" s="11"/>
      <c r="F1684" s="16"/>
    </row>
    <row r="1685" spans="5:6">
      <c r="E1685" s="11"/>
      <c r="F1685" s="16"/>
    </row>
    <row r="1686" spans="5:6">
      <c r="E1686" s="11"/>
      <c r="F1686" s="16"/>
    </row>
    <row r="1687" spans="5:6">
      <c r="E1687" s="11"/>
      <c r="F1687" s="16"/>
    </row>
    <row r="1688" spans="5:6">
      <c r="E1688" s="11"/>
      <c r="F1688" s="16"/>
    </row>
    <row r="1689" spans="5:6">
      <c r="E1689" s="11"/>
      <c r="F1689" s="16"/>
    </row>
    <row r="1690" spans="5:6">
      <c r="E1690" s="11"/>
      <c r="F1690" s="16"/>
    </row>
    <row r="1691" spans="5:6">
      <c r="E1691" s="11"/>
      <c r="F1691" s="16"/>
    </row>
    <row r="1692" spans="5:6">
      <c r="E1692" s="11"/>
      <c r="F1692" s="16"/>
    </row>
    <row r="1693" spans="5:6">
      <c r="E1693" s="11"/>
      <c r="F1693" s="16"/>
    </row>
    <row r="1694" spans="5:6">
      <c r="E1694" s="11"/>
      <c r="F1694" s="16"/>
    </row>
    <row r="1695" spans="5:6">
      <c r="E1695" s="11"/>
      <c r="F1695" s="16"/>
    </row>
    <row r="1696" spans="5:6">
      <c r="E1696" s="11"/>
      <c r="F1696" s="16"/>
    </row>
    <row r="1697" spans="5:6">
      <c r="E1697" s="11"/>
      <c r="F1697" s="16"/>
    </row>
    <row r="1698" spans="5:6">
      <c r="E1698" s="11"/>
      <c r="F1698" s="16"/>
    </row>
    <row r="1699" spans="5:6">
      <c r="E1699" s="11"/>
      <c r="F1699" s="16"/>
    </row>
    <row r="1700" spans="5:6">
      <c r="E1700" s="11"/>
      <c r="F1700" s="16"/>
    </row>
    <row r="1701" spans="5:6">
      <c r="E1701" s="11"/>
      <c r="F1701" s="16"/>
    </row>
    <row r="1702" spans="5:6">
      <c r="E1702" s="11"/>
      <c r="F1702" s="16"/>
    </row>
    <row r="1703" spans="5:6">
      <c r="E1703" s="11"/>
      <c r="F1703" s="16"/>
    </row>
    <row r="1704" spans="5:6">
      <c r="E1704" s="11"/>
      <c r="F1704" s="16"/>
    </row>
    <row r="1705" spans="5:6">
      <c r="E1705" s="11"/>
      <c r="F1705" s="16"/>
    </row>
    <row r="1706" spans="5:6">
      <c r="E1706" s="11"/>
      <c r="F1706" s="16"/>
    </row>
    <row r="1707" spans="5:6">
      <c r="E1707" s="11"/>
      <c r="F1707" s="16"/>
    </row>
    <row r="1708" spans="5:6">
      <c r="E1708" s="11"/>
      <c r="F1708" s="16"/>
    </row>
    <row r="1709" spans="5:6">
      <c r="E1709" s="11"/>
      <c r="F1709" s="16"/>
    </row>
    <row r="1710" spans="5:6">
      <c r="E1710" s="11"/>
      <c r="F1710" s="16"/>
    </row>
    <row r="1711" spans="5:6">
      <c r="E1711" s="11"/>
      <c r="F1711" s="16"/>
    </row>
    <row r="1712" spans="5:6">
      <c r="E1712" s="11"/>
      <c r="F1712" s="16"/>
    </row>
    <row r="1713" spans="5:6">
      <c r="E1713" s="11"/>
      <c r="F1713" s="16"/>
    </row>
    <row r="1714" spans="5:6">
      <c r="E1714" s="11"/>
      <c r="F1714" s="16"/>
    </row>
    <row r="1715" spans="5:6">
      <c r="E1715" s="11"/>
      <c r="F1715" s="16"/>
    </row>
    <row r="1716" spans="5:6">
      <c r="E1716" s="11"/>
      <c r="F1716" s="16"/>
    </row>
    <row r="1717" spans="5:6">
      <c r="E1717" s="11"/>
      <c r="F1717" s="16"/>
    </row>
    <row r="1718" spans="5:6">
      <c r="E1718" s="11"/>
      <c r="F1718" s="16"/>
    </row>
    <row r="1719" spans="5:6">
      <c r="E1719" s="11"/>
      <c r="F1719" s="16"/>
    </row>
    <row r="1720" spans="5:6">
      <c r="E1720" s="11"/>
      <c r="F1720" s="16"/>
    </row>
    <row r="1721" spans="5:6">
      <c r="E1721" s="11"/>
      <c r="F1721" s="16"/>
    </row>
    <row r="1722" spans="5:6">
      <c r="E1722" s="11"/>
      <c r="F1722" s="16"/>
    </row>
    <row r="1723" spans="5:6">
      <c r="E1723" s="11"/>
      <c r="F1723" s="16"/>
    </row>
    <row r="1724" spans="5:6">
      <c r="E1724" s="11"/>
      <c r="F1724" s="16"/>
    </row>
    <row r="1725" spans="5:6">
      <c r="E1725" s="11"/>
      <c r="F1725" s="16"/>
    </row>
    <row r="1726" spans="5:6">
      <c r="E1726" s="11"/>
      <c r="F1726" s="16"/>
    </row>
    <row r="1727" spans="5:6">
      <c r="E1727" s="11"/>
      <c r="F1727" s="16"/>
    </row>
    <row r="1728" spans="5:6">
      <c r="E1728" s="11"/>
      <c r="F1728" s="16"/>
    </row>
    <row r="1729" spans="5:6">
      <c r="E1729" s="11"/>
      <c r="F1729" s="16"/>
    </row>
    <row r="1730" spans="5:6">
      <c r="E1730" s="11"/>
      <c r="F1730" s="16"/>
    </row>
    <row r="1731" spans="5:6">
      <c r="E1731" s="11"/>
      <c r="F1731" s="16"/>
    </row>
    <row r="1732" spans="5:6">
      <c r="E1732" s="11"/>
      <c r="F1732" s="16"/>
    </row>
    <row r="1733" spans="5:6">
      <c r="E1733" s="11"/>
      <c r="F1733" s="16"/>
    </row>
    <row r="1734" spans="5:6">
      <c r="E1734" s="11"/>
      <c r="F1734" s="16"/>
    </row>
    <row r="1735" spans="5:6">
      <c r="E1735" s="11"/>
      <c r="F1735" s="16"/>
    </row>
    <row r="1736" spans="5:6">
      <c r="E1736" s="11"/>
      <c r="F1736" s="16"/>
    </row>
    <row r="1737" spans="5:6">
      <c r="E1737" s="11"/>
      <c r="F1737" s="16"/>
    </row>
    <row r="1738" spans="5:6">
      <c r="E1738" s="11"/>
      <c r="F1738" s="16"/>
    </row>
    <row r="1739" spans="5:6">
      <c r="E1739" s="11"/>
      <c r="F1739" s="16"/>
    </row>
    <row r="1740" spans="5:6">
      <c r="E1740" s="11"/>
      <c r="F1740" s="16"/>
    </row>
    <row r="1741" spans="5:6">
      <c r="E1741" s="11"/>
      <c r="F1741" s="16"/>
    </row>
    <row r="1742" spans="5:6">
      <c r="E1742" s="11"/>
      <c r="F1742" s="16"/>
    </row>
    <row r="1743" spans="5:6">
      <c r="E1743" s="11"/>
      <c r="F1743" s="16"/>
    </row>
    <row r="1744" spans="5:6">
      <c r="E1744" s="11"/>
      <c r="F1744" s="16"/>
    </row>
    <row r="1745" spans="5:6">
      <c r="E1745" s="11"/>
      <c r="F1745" s="16"/>
    </row>
    <row r="1746" spans="5:6">
      <c r="E1746" s="11"/>
      <c r="F1746" s="16"/>
    </row>
    <row r="1747" spans="5:6">
      <c r="E1747" s="11"/>
      <c r="F1747" s="16"/>
    </row>
    <row r="1748" spans="5:6">
      <c r="E1748" s="11"/>
      <c r="F1748" s="16"/>
    </row>
    <row r="1749" spans="5:6">
      <c r="E1749" s="11"/>
      <c r="F1749" s="16"/>
    </row>
    <row r="1750" spans="5:6">
      <c r="E1750" s="11"/>
      <c r="F1750" s="16"/>
    </row>
    <row r="1751" spans="5:6">
      <c r="E1751" s="11"/>
      <c r="F1751" s="16"/>
    </row>
    <row r="1752" spans="5:6">
      <c r="E1752" s="11"/>
      <c r="F1752" s="16"/>
    </row>
    <row r="1753" spans="5:6">
      <c r="E1753" s="11"/>
      <c r="F1753" s="16"/>
    </row>
    <row r="1754" spans="5:6">
      <c r="E1754" s="11"/>
      <c r="F1754" s="16"/>
    </row>
    <row r="1755" spans="5:6">
      <c r="E1755" s="11"/>
      <c r="F1755" s="16"/>
    </row>
    <row r="1756" spans="5:6">
      <c r="E1756" s="11"/>
      <c r="F1756" s="16"/>
    </row>
    <row r="1757" spans="5:6">
      <c r="E1757" s="11"/>
      <c r="F1757" s="16"/>
    </row>
    <row r="1758" spans="5:6">
      <c r="E1758" s="11"/>
      <c r="F1758" s="16"/>
    </row>
    <row r="1759" spans="5:6">
      <c r="E1759" s="11"/>
      <c r="F1759" s="16"/>
    </row>
    <row r="1760" spans="5:6">
      <c r="E1760" s="11"/>
      <c r="F1760" s="16"/>
    </row>
    <row r="1761" spans="5:6">
      <c r="E1761" s="11"/>
      <c r="F1761" s="16"/>
    </row>
    <row r="1762" spans="5:6">
      <c r="E1762" s="11"/>
      <c r="F1762" s="16"/>
    </row>
    <row r="1763" spans="5:6">
      <c r="E1763" s="11"/>
      <c r="F1763" s="16"/>
    </row>
    <row r="1764" spans="5:6">
      <c r="E1764" s="11"/>
      <c r="F1764" s="16"/>
    </row>
    <row r="1765" spans="5:6">
      <c r="E1765" s="11"/>
      <c r="F1765" s="16"/>
    </row>
    <row r="1766" spans="5:6">
      <c r="E1766" s="11"/>
      <c r="F1766" s="16"/>
    </row>
    <row r="1767" spans="5:6">
      <c r="E1767" s="11"/>
      <c r="F1767" s="16"/>
    </row>
    <row r="1768" spans="5:6">
      <c r="E1768" s="11"/>
      <c r="F1768" s="16"/>
    </row>
    <row r="1769" spans="5:6">
      <c r="E1769" s="11"/>
      <c r="F1769" s="16"/>
    </row>
    <row r="1770" spans="5:6">
      <c r="E1770" s="11"/>
      <c r="F1770" s="16"/>
    </row>
    <row r="1771" spans="5:6">
      <c r="E1771" s="11"/>
      <c r="F1771" s="16"/>
    </row>
    <row r="1772" spans="5:6">
      <c r="E1772" s="11"/>
      <c r="F1772" s="16"/>
    </row>
    <row r="1773" spans="5:6">
      <c r="E1773" s="11"/>
      <c r="F1773" s="16"/>
    </row>
    <row r="1774" spans="5:6">
      <c r="E1774" s="11"/>
      <c r="F1774" s="16"/>
    </row>
    <row r="1775" spans="5:6">
      <c r="E1775" s="11"/>
      <c r="F1775" s="16"/>
    </row>
    <row r="1776" spans="5:6">
      <c r="E1776" s="11"/>
      <c r="F1776" s="16"/>
    </row>
    <row r="1777" spans="5:6">
      <c r="E1777" s="11"/>
      <c r="F1777" s="16"/>
    </row>
    <row r="1778" spans="5:6">
      <c r="E1778" s="11"/>
      <c r="F1778" s="16"/>
    </row>
    <row r="1779" spans="5:6">
      <c r="E1779" s="11"/>
      <c r="F1779" s="16"/>
    </row>
    <row r="1780" spans="5:6">
      <c r="E1780" s="11"/>
      <c r="F1780" s="16"/>
    </row>
    <row r="1781" spans="5:6">
      <c r="E1781" s="11"/>
      <c r="F1781" s="16"/>
    </row>
    <row r="1782" spans="5:6">
      <c r="E1782" s="11"/>
      <c r="F1782" s="16"/>
    </row>
    <row r="1783" spans="5:6">
      <c r="E1783" s="11"/>
      <c r="F1783" s="16"/>
    </row>
    <row r="1784" spans="5:6">
      <c r="E1784" s="11"/>
      <c r="F1784" s="16"/>
    </row>
    <row r="1785" spans="5:6">
      <c r="E1785" s="11"/>
      <c r="F1785" s="16"/>
    </row>
    <row r="1786" spans="5:6">
      <c r="E1786" s="11"/>
      <c r="F1786" s="16"/>
    </row>
    <row r="1787" spans="5:6">
      <c r="E1787" s="11"/>
      <c r="F1787" s="16"/>
    </row>
    <row r="1788" spans="5:6">
      <c r="E1788" s="11"/>
      <c r="F1788" s="16"/>
    </row>
    <row r="1789" spans="5:6">
      <c r="E1789" s="11"/>
      <c r="F1789" s="16"/>
    </row>
    <row r="1790" spans="5:6">
      <c r="E1790" s="11"/>
      <c r="F1790" s="16"/>
    </row>
    <row r="1791" spans="5:6">
      <c r="E1791" s="11"/>
      <c r="F1791" s="16"/>
    </row>
    <row r="1792" spans="5:6">
      <c r="E1792" s="11"/>
      <c r="F1792" s="16"/>
    </row>
    <row r="1793" spans="5:6">
      <c r="E1793" s="11"/>
      <c r="F1793" s="16"/>
    </row>
    <row r="1794" spans="5:6">
      <c r="E1794" s="11"/>
      <c r="F1794" s="16"/>
    </row>
    <row r="1795" spans="5:6">
      <c r="E1795" s="11"/>
      <c r="F1795" s="16"/>
    </row>
    <row r="1796" spans="5:6">
      <c r="E1796" s="11"/>
      <c r="F1796" s="16"/>
    </row>
    <row r="1797" spans="5:6">
      <c r="E1797" s="11"/>
      <c r="F1797" s="16"/>
    </row>
    <row r="1798" spans="5:6">
      <c r="E1798" s="11"/>
      <c r="F1798" s="16"/>
    </row>
    <row r="1799" spans="5:6">
      <c r="E1799" s="11"/>
      <c r="F1799" s="16"/>
    </row>
    <row r="1800" spans="5:6">
      <c r="E1800" s="11"/>
      <c r="F1800" s="16"/>
    </row>
    <row r="1801" spans="5:6">
      <c r="E1801" s="11"/>
      <c r="F1801" s="16"/>
    </row>
    <row r="1802" spans="5:6">
      <c r="E1802" s="11"/>
      <c r="F1802" s="16"/>
    </row>
    <row r="1803" spans="5:6">
      <c r="E1803" s="11"/>
      <c r="F1803" s="16"/>
    </row>
    <row r="1804" spans="5:6">
      <c r="E1804" s="11"/>
      <c r="F1804" s="16"/>
    </row>
    <row r="1805" spans="5:6">
      <c r="E1805" s="11"/>
      <c r="F1805" s="16"/>
    </row>
    <row r="1806" spans="5:6">
      <c r="E1806" s="11"/>
      <c r="F1806" s="16"/>
    </row>
    <row r="1807" spans="5:6">
      <c r="E1807" s="11"/>
      <c r="F1807" s="16"/>
    </row>
    <row r="1808" spans="5:6">
      <c r="E1808" s="11"/>
      <c r="F1808" s="16"/>
    </row>
    <row r="1809" spans="5:6">
      <c r="E1809" s="11"/>
      <c r="F1809" s="16"/>
    </row>
    <row r="1810" spans="5:6">
      <c r="E1810" s="11"/>
      <c r="F1810" s="16"/>
    </row>
    <row r="1811" spans="5:6">
      <c r="E1811" s="11"/>
      <c r="F1811" s="16"/>
    </row>
    <row r="1812" spans="5:6">
      <c r="E1812" s="11"/>
      <c r="F1812" s="16"/>
    </row>
    <row r="1813" spans="5:6">
      <c r="E1813" s="11"/>
      <c r="F1813" s="16"/>
    </row>
    <row r="1814" spans="5:6">
      <c r="E1814" s="11"/>
      <c r="F1814" s="16"/>
    </row>
    <row r="1815" spans="5:6">
      <c r="E1815" s="11"/>
      <c r="F1815" s="16"/>
    </row>
    <row r="1816" spans="5:6">
      <c r="E1816" s="11"/>
      <c r="F1816" s="16"/>
    </row>
    <row r="1817" spans="5:6">
      <c r="E1817" s="11"/>
      <c r="F1817" s="16"/>
    </row>
    <row r="1818" spans="5:6">
      <c r="E1818" s="11"/>
      <c r="F1818" s="16"/>
    </row>
    <row r="1819" spans="5:6">
      <c r="E1819" s="11"/>
      <c r="F1819" s="16"/>
    </row>
    <row r="1820" spans="5:6">
      <c r="E1820" s="11"/>
      <c r="F1820" s="16"/>
    </row>
    <row r="1821" spans="5:6">
      <c r="E1821" s="11"/>
      <c r="F1821" s="16"/>
    </row>
    <row r="1822" spans="5:6">
      <c r="E1822" s="11"/>
      <c r="F1822" s="16"/>
    </row>
    <row r="1823" spans="5:6">
      <c r="E1823" s="11"/>
      <c r="F1823" s="16"/>
    </row>
    <row r="1824" spans="5:6">
      <c r="E1824" s="11"/>
      <c r="F1824" s="16"/>
    </row>
    <row r="1825" spans="5:6">
      <c r="E1825" s="11"/>
      <c r="F1825" s="16"/>
    </row>
    <row r="1826" spans="5:6">
      <c r="E1826" s="11"/>
      <c r="F1826" s="16"/>
    </row>
    <row r="1827" spans="5:6">
      <c r="E1827" s="11"/>
      <c r="F1827" s="16"/>
    </row>
    <row r="1828" spans="5:6">
      <c r="E1828" s="11"/>
      <c r="F1828" s="16"/>
    </row>
    <row r="1829" spans="5:6">
      <c r="E1829" s="11"/>
      <c r="F1829" s="16"/>
    </row>
    <row r="1830" spans="5:6">
      <c r="E1830" s="11"/>
      <c r="F1830" s="16"/>
    </row>
    <row r="1831" spans="5:6">
      <c r="E1831" s="11"/>
      <c r="F1831" s="16"/>
    </row>
    <row r="1832" spans="5:6">
      <c r="E1832" s="11"/>
      <c r="F1832" s="16"/>
    </row>
    <row r="1833" spans="5:6">
      <c r="E1833" s="11"/>
      <c r="F1833" s="16"/>
    </row>
    <row r="1834" spans="5:6">
      <c r="E1834" s="11"/>
      <c r="F1834" s="16"/>
    </row>
    <row r="1835" spans="5:6">
      <c r="E1835" s="11"/>
      <c r="F1835" s="16"/>
    </row>
    <row r="1836" spans="5:6">
      <c r="E1836" s="11"/>
      <c r="F1836" s="16"/>
    </row>
    <row r="1837" spans="5:6">
      <c r="E1837" s="11"/>
      <c r="F1837" s="16"/>
    </row>
    <row r="1838" spans="5:6">
      <c r="E1838" s="11"/>
      <c r="F1838" s="16"/>
    </row>
    <row r="1839" spans="5:6">
      <c r="E1839" s="11"/>
      <c r="F1839" s="16"/>
    </row>
    <row r="1840" spans="5:6">
      <c r="E1840" s="11"/>
      <c r="F1840" s="16"/>
    </row>
    <row r="1841" spans="5:6">
      <c r="E1841" s="11"/>
      <c r="F1841" s="16"/>
    </row>
    <row r="1842" spans="5:6">
      <c r="E1842" s="11"/>
      <c r="F1842" s="16"/>
    </row>
    <row r="1843" spans="5:6">
      <c r="E1843" s="11"/>
      <c r="F1843" s="16"/>
    </row>
    <row r="1844" spans="5:6">
      <c r="E1844" s="11"/>
      <c r="F1844" s="16"/>
    </row>
    <row r="1845" spans="5:6">
      <c r="E1845" s="11"/>
      <c r="F1845" s="16"/>
    </row>
    <row r="1846" spans="5:6">
      <c r="E1846" s="11"/>
      <c r="F1846" s="16"/>
    </row>
    <row r="1847" spans="5:6">
      <c r="E1847" s="11"/>
      <c r="F1847" s="16"/>
    </row>
    <row r="1848" spans="5:6">
      <c r="E1848" s="11"/>
      <c r="F1848" s="16"/>
    </row>
    <row r="1849" spans="5:6">
      <c r="E1849" s="11"/>
      <c r="F1849" s="16"/>
    </row>
    <row r="1850" spans="5:6">
      <c r="E1850" s="11"/>
      <c r="F1850" s="16"/>
    </row>
    <row r="1851" spans="5:6">
      <c r="E1851" s="11"/>
      <c r="F1851" s="16"/>
    </row>
    <row r="1852" spans="5:6">
      <c r="E1852" s="11"/>
      <c r="F1852" s="16"/>
    </row>
    <row r="1853" spans="5:6">
      <c r="E1853" s="11"/>
      <c r="F1853" s="16"/>
    </row>
    <row r="1854" spans="5:6">
      <c r="E1854" s="11"/>
      <c r="F1854" s="16"/>
    </row>
    <row r="1855" spans="5:6">
      <c r="E1855" s="11"/>
      <c r="F1855" s="16"/>
    </row>
    <row r="1856" spans="5:6">
      <c r="E1856" s="11"/>
      <c r="F1856" s="16"/>
    </row>
    <row r="1857" spans="5:6">
      <c r="E1857" s="11"/>
      <c r="F1857" s="16"/>
    </row>
    <row r="1858" spans="5:6">
      <c r="E1858" s="11"/>
      <c r="F1858" s="16"/>
    </row>
    <row r="1859" spans="5:6">
      <c r="E1859" s="11"/>
      <c r="F1859" s="16"/>
    </row>
    <row r="1860" spans="5:6">
      <c r="E1860" s="11"/>
      <c r="F1860" s="16"/>
    </row>
    <row r="1861" spans="5:6">
      <c r="E1861" s="11"/>
      <c r="F1861" s="16"/>
    </row>
    <row r="1862" spans="5:6">
      <c r="E1862" s="11"/>
      <c r="F1862" s="16"/>
    </row>
    <row r="1863" spans="5:6">
      <c r="E1863" s="11"/>
      <c r="F1863" s="16"/>
    </row>
    <row r="1864" spans="5:6">
      <c r="E1864" s="11"/>
      <c r="F1864" s="16"/>
    </row>
    <row r="1865" spans="5:6">
      <c r="E1865" s="11"/>
      <c r="F1865" s="16"/>
    </row>
    <row r="1866" spans="5:6">
      <c r="E1866" s="11"/>
      <c r="F1866" s="16"/>
    </row>
    <row r="1867" spans="5:6">
      <c r="E1867" s="11"/>
      <c r="F1867" s="16"/>
    </row>
    <row r="1868" spans="5:6">
      <c r="E1868" s="11"/>
      <c r="F1868" s="16"/>
    </row>
    <row r="1869" spans="5:6">
      <c r="E1869" s="11"/>
      <c r="F1869" s="16"/>
    </row>
    <row r="1870" spans="5:6">
      <c r="E1870" s="11"/>
      <c r="F1870" s="16"/>
    </row>
    <row r="1871" spans="5:6">
      <c r="E1871" s="11"/>
      <c r="F1871" s="16"/>
    </row>
    <row r="1872" spans="5:6">
      <c r="E1872" s="11"/>
      <c r="F1872" s="16"/>
    </row>
    <row r="1873" spans="5:6">
      <c r="E1873" s="11"/>
      <c r="F1873" s="16"/>
    </row>
    <row r="1874" spans="5:6">
      <c r="E1874" s="11"/>
      <c r="F1874" s="16"/>
    </row>
    <row r="1875" spans="5:6">
      <c r="E1875" s="11"/>
      <c r="F1875" s="16"/>
    </row>
    <row r="1876" spans="5:6">
      <c r="E1876" s="11"/>
      <c r="F1876" s="16"/>
    </row>
    <row r="1877" spans="5:6">
      <c r="E1877" s="11"/>
      <c r="F1877" s="16"/>
    </row>
    <row r="1878" spans="5:6">
      <c r="E1878" s="11"/>
      <c r="F1878" s="16"/>
    </row>
    <row r="1879" spans="5:6">
      <c r="E1879" s="11"/>
      <c r="F1879" s="16"/>
    </row>
    <row r="1880" spans="5:6">
      <c r="E1880" s="11"/>
      <c r="F1880" s="16"/>
    </row>
    <row r="1881" spans="5:6">
      <c r="E1881" s="11"/>
      <c r="F1881" s="16"/>
    </row>
    <row r="1882" spans="5:6">
      <c r="E1882" s="11"/>
      <c r="F1882" s="16"/>
    </row>
    <row r="1883" spans="5:6">
      <c r="E1883" s="11"/>
      <c r="F1883" s="16"/>
    </row>
    <row r="1884" spans="5:6">
      <c r="E1884" s="11"/>
      <c r="F1884" s="16"/>
    </row>
    <row r="1885" spans="5:6">
      <c r="E1885" s="11"/>
      <c r="F1885" s="16"/>
    </row>
    <row r="1886" spans="5:6">
      <c r="E1886" s="11"/>
      <c r="F1886" s="16"/>
    </row>
    <row r="1887" spans="5:6">
      <c r="E1887" s="11"/>
      <c r="F1887" s="16"/>
    </row>
    <row r="1888" spans="5:6">
      <c r="E1888" s="11"/>
      <c r="F1888" s="16"/>
    </row>
    <row r="1889" spans="5:6">
      <c r="E1889" s="11"/>
      <c r="F1889" s="16"/>
    </row>
    <row r="1890" spans="5:6">
      <c r="E1890" s="11"/>
      <c r="F1890" s="16"/>
    </row>
    <row r="1891" spans="5:6">
      <c r="E1891" s="11"/>
      <c r="F1891" s="16"/>
    </row>
    <row r="1892" spans="5:6">
      <c r="E1892" s="11"/>
      <c r="F1892" s="16"/>
    </row>
    <row r="1893" spans="5:6">
      <c r="E1893" s="11"/>
      <c r="F1893" s="16"/>
    </row>
    <row r="1894" spans="5:6">
      <c r="E1894" s="11"/>
      <c r="F1894" s="16"/>
    </row>
    <row r="1895" spans="5:6">
      <c r="E1895" s="11"/>
      <c r="F1895" s="16"/>
    </row>
    <row r="1896" spans="5:6">
      <c r="E1896" s="11"/>
      <c r="F1896" s="16"/>
    </row>
    <row r="1897" spans="5:6">
      <c r="E1897" s="11"/>
      <c r="F1897" s="16"/>
    </row>
    <row r="1898" spans="5:6">
      <c r="E1898" s="11"/>
      <c r="F1898" s="16"/>
    </row>
    <row r="1899" spans="5:6">
      <c r="E1899" s="11"/>
      <c r="F1899" s="16"/>
    </row>
    <row r="1900" spans="5:6">
      <c r="E1900" s="11"/>
      <c r="F1900" s="16"/>
    </row>
    <row r="1901" spans="5:6">
      <c r="E1901" s="11"/>
      <c r="F1901" s="16"/>
    </row>
    <row r="1902" spans="5:6">
      <c r="E1902" s="11"/>
      <c r="F1902" s="16"/>
    </row>
    <row r="1903" spans="5:6">
      <c r="E1903" s="11"/>
      <c r="F1903" s="16"/>
    </row>
    <row r="1904" spans="5:6">
      <c r="E1904" s="11"/>
      <c r="F1904" s="16"/>
    </row>
    <row r="1905" spans="5:6">
      <c r="E1905" s="11"/>
      <c r="F1905" s="16"/>
    </row>
    <row r="1906" spans="5:6">
      <c r="E1906" s="11"/>
      <c r="F1906" s="16"/>
    </row>
    <row r="1907" spans="5:6">
      <c r="E1907" s="11"/>
      <c r="F1907" s="16"/>
    </row>
    <row r="1908" spans="5:6">
      <c r="E1908" s="11"/>
      <c r="F1908" s="16"/>
    </row>
    <row r="1909" spans="5:6">
      <c r="E1909" s="11"/>
      <c r="F1909" s="16"/>
    </row>
    <row r="1910" spans="5:6">
      <c r="E1910" s="11"/>
      <c r="F1910" s="16"/>
    </row>
    <row r="1911" spans="5:6">
      <c r="E1911" s="11"/>
      <c r="F1911" s="16"/>
    </row>
    <row r="1912" spans="5:6">
      <c r="E1912" s="11"/>
      <c r="F1912" s="16"/>
    </row>
    <row r="1913" spans="5:6">
      <c r="E1913" s="11"/>
      <c r="F1913" s="16"/>
    </row>
    <row r="1914" spans="5:6">
      <c r="E1914" s="11"/>
      <c r="F1914" s="16"/>
    </row>
    <row r="1915" spans="5:6">
      <c r="E1915" s="11"/>
      <c r="F1915" s="16"/>
    </row>
    <row r="1916" spans="5:6">
      <c r="E1916" s="11"/>
      <c r="F1916" s="16"/>
    </row>
    <row r="1917" spans="5:6">
      <c r="E1917" s="11"/>
      <c r="F1917" s="16"/>
    </row>
    <row r="1918" spans="5:6">
      <c r="E1918" s="11"/>
      <c r="F1918" s="16"/>
    </row>
    <row r="1919" spans="5:6">
      <c r="E1919" s="11"/>
      <c r="F1919" s="16"/>
    </row>
    <row r="1920" spans="5:6">
      <c r="E1920" s="11"/>
      <c r="F1920" s="16"/>
    </row>
    <row r="1921" spans="5:6">
      <c r="E1921" s="11"/>
      <c r="F1921" s="16"/>
    </row>
    <row r="1922" spans="5:6">
      <c r="E1922" s="11"/>
      <c r="F1922" s="16"/>
    </row>
    <row r="1923" spans="5:6">
      <c r="E1923" s="11"/>
      <c r="F1923" s="16"/>
    </row>
    <row r="1924" spans="5:6">
      <c r="E1924" s="11"/>
      <c r="F1924" s="16"/>
    </row>
    <row r="1925" spans="5:6">
      <c r="E1925" s="11"/>
      <c r="F1925" s="16"/>
    </row>
    <row r="1926" spans="5:6">
      <c r="E1926" s="11"/>
      <c r="F1926" s="16"/>
    </row>
    <row r="1927" spans="5:6">
      <c r="E1927" s="11"/>
      <c r="F1927" s="16"/>
    </row>
    <row r="1928" spans="5:6">
      <c r="E1928" s="11"/>
      <c r="F1928" s="16"/>
    </row>
    <row r="1929" spans="5:6">
      <c r="E1929" s="11"/>
      <c r="F1929" s="16"/>
    </row>
    <row r="1930" spans="5:6">
      <c r="E1930" s="11"/>
      <c r="F1930" s="16"/>
    </row>
    <row r="1931" spans="5:6">
      <c r="E1931" s="11"/>
      <c r="F1931" s="16"/>
    </row>
    <row r="1932" spans="5:6">
      <c r="E1932" s="11"/>
      <c r="F1932" s="16"/>
    </row>
    <row r="1933" spans="5:6">
      <c r="E1933" s="11"/>
      <c r="F1933" s="16"/>
    </row>
    <row r="1934" spans="5:6">
      <c r="E1934" s="11"/>
      <c r="F1934" s="16"/>
    </row>
    <row r="1935" spans="5:6">
      <c r="E1935" s="11"/>
      <c r="F1935" s="16"/>
    </row>
    <row r="1936" spans="5:6">
      <c r="E1936" s="11"/>
      <c r="F1936" s="16"/>
    </row>
    <row r="1937" spans="5:6">
      <c r="E1937" s="11"/>
      <c r="F1937" s="16"/>
    </row>
    <row r="1938" spans="5:6">
      <c r="E1938" s="11"/>
      <c r="F1938" s="16"/>
    </row>
    <row r="1939" spans="5:6">
      <c r="E1939" s="11"/>
      <c r="F1939" s="16"/>
    </row>
    <row r="1940" spans="5:6">
      <c r="E1940" s="11"/>
      <c r="F1940" s="16"/>
    </row>
    <row r="1941" spans="5:6">
      <c r="E1941" s="11"/>
      <c r="F1941" s="16"/>
    </row>
    <row r="1942" spans="5:6">
      <c r="E1942" s="11"/>
      <c r="F1942" s="16"/>
    </row>
    <row r="1943" spans="5:6">
      <c r="E1943" s="11"/>
      <c r="F1943" s="16"/>
    </row>
    <row r="1944" spans="5:6">
      <c r="E1944" s="11"/>
      <c r="F1944" s="16"/>
    </row>
    <row r="1945" spans="5:6">
      <c r="E1945" s="11"/>
      <c r="F1945" s="16"/>
    </row>
    <row r="1946" spans="5:6">
      <c r="E1946" s="11"/>
      <c r="F1946" s="16"/>
    </row>
    <row r="1947" spans="5:6">
      <c r="E1947" s="11"/>
      <c r="F1947" s="16"/>
    </row>
    <row r="1948" spans="5:6">
      <c r="E1948" s="11"/>
      <c r="F1948" s="16"/>
    </row>
    <row r="1949" spans="5:6">
      <c r="E1949" s="11"/>
      <c r="F1949" s="16"/>
    </row>
    <row r="1950" spans="5:6">
      <c r="E1950" s="11"/>
      <c r="F1950" s="16"/>
    </row>
    <row r="1951" spans="5:6">
      <c r="E1951" s="11"/>
      <c r="F1951" s="16"/>
    </row>
    <row r="1952" spans="5:6">
      <c r="E1952" s="11"/>
      <c r="F1952" s="16"/>
    </row>
    <row r="1953" spans="5:6">
      <c r="E1953" s="11"/>
      <c r="F1953" s="16"/>
    </row>
    <row r="1954" spans="5:6">
      <c r="E1954" s="11"/>
      <c r="F1954" s="16"/>
    </row>
    <row r="1955" spans="5:6">
      <c r="E1955" s="11"/>
      <c r="F1955" s="16"/>
    </row>
    <row r="1956" spans="5:6">
      <c r="E1956" s="11"/>
      <c r="F1956" s="16"/>
    </row>
    <row r="1957" spans="5:6">
      <c r="E1957" s="11"/>
      <c r="F1957" s="16"/>
    </row>
    <row r="1958" spans="5:6">
      <c r="E1958" s="11"/>
      <c r="F1958" s="16"/>
    </row>
    <row r="1959" spans="5:6">
      <c r="E1959" s="11"/>
      <c r="F1959" s="16"/>
    </row>
    <row r="1960" spans="5:6">
      <c r="E1960" s="11"/>
      <c r="F1960" s="16"/>
    </row>
    <row r="1961" spans="5:6">
      <c r="E1961" s="11"/>
      <c r="F1961" s="16"/>
    </row>
    <row r="1962" spans="5:6">
      <c r="E1962" s="11"/>
      <c r="F1962" s="16"/>
    </row>
    <row r="1963" spans="5:6">
      <c r="E1963" s="11"/>
      <c r="F1963" s="16"/>
    </row>
    <row r="1964" spans="5:6">
      <c r="E1964" s="11"/>
      <c r="F1964" s="16"/>
    </row>
    <row r="1965" spans="5:6">
      <c r="E1965" s="11"/>
      <c r="F1965" s="16"/>
    </row>
    <row r="1966" spans="5:6">
      <c r="E1966" s="11"/>
      <c r="F1966" s="16"/>
    </row>
    <row r="1967" spans="5:6">
      <c r="E1967" s="11"/>
      <c r="F1967" s="16"/>
    </row>
    <row r="1968" spans="5:6">
      <c r="E1968" s="11"/>
      <c r="F1968" s="16"/>
    </row>
    <row r="1969" spans="5:6">
      <c r="E1969" s="11"/>
      <c r="F1969" s="16"/>
    </row>
    <row r="1970" spans="5:6">
      <c r="E1970" s="11"/>
      <c r="F1970" s="16"/>
    </row>
    <row r="1971" spans="5:6">
      <c r="E1971" s="11"/>
      <c r="F1971" s="16"/>
    </row>
    <row r="1972" spans="5:6">
      <c r="E1972" s="11"/>
      <c r="F1972" s="16"/>
    </row>
    <row r="1973" spans="5:6">
      <c r="E1973" s="11"/>
      <c r="F1973" s="16"/>
    </row>
    <row r="1974" spans="5:6">
      <c r="E1974" s="11"/>
      <c r="F1974" s="16"/>
    </row>
    <row r="1975" spans="5:6">
      <c r="E1975" s="11"/>
      <c r="F1975" s="16"/>
    </row>
    <row r="1976" spans="5:6">
      <c r="E1976" s="11"/>
      <c r="F1976" s="16"/>
    </row>
    <row r="1977" spans="5:6">
      <c r="E1977" s="11"/>
      <c r="F1977" s="16"/>
    </row>
    <row r="1978" spans="5:6">
      <c r="E1978" s="11"/>
      <c r="F1978" s="16"/>
    </row>
    <row r="1979" spans="5:6">
      <c r="E1979" s="11"/>
      <c r="F1979" s="16"/>
    </row>
    <row r="1980" spans="5:6">
      <c r="E1980" s="11"/>
      <c r="F1980" s="16"/>
    </row>
    <row r="1981" spans="5:6">
      <c r="E1981" s="11"/>
      <c r="F1981" s="16"/>
    </row>
    <row r="1982" spans="5:6">
      <c r="E1982" s="11"/>
      <c r="F1982" s="16"/>
    </row>
    <row r="1983" spans="5:6">
      <c r="E1983" s="11"/>
      <c r="F1983" s="16"/>
    </row>
    <row r="1984" spans="5:6">
      <c r="E1984" s="11"/>
      <c r="F1984" s="16"/>
    </row>
    <row r="1985" spans="5:6">
      <c r="E1985" s="11"/>
      <c r="F1985" s="16"/>
    </row>
    <row r="1986" spans="5:6">
      <c r="E1986" s="11"/>
      <c r="F1986" s="16"/>
    </row>
    <row r="1987" spans="5:6">
      <c r="E1987" s="11"/>
      <c r="F1987" s="16"/>
    </row>
    <row r="1988" spans="5:6">
      <c r="E1988" s="11"/>
      <c r="F1988" s="16"/>
    </row>
    <row r="1989" spans="5:6">
      <c r="E1989" s="11"/>
      <c r="F1989" s="16"/>
    </row>
    <row r="1990" spans="5:6">
      <c r="E1990" s="11"/>
      <c r="F1990" s="16"/>
    </row>
    <row r="1991" spans="5:6">
      <c r="E1991" s="11"/>
      <c r="F1991" s="16"/>
    </row>
    <row r="1992" spans="5:6">
      <c r="E1992" s="11"/>
      <c r="F1992" s="16"/>
    </row>
    <row r="1993" spans="5:6">
      <c r="E1993" s="11"/>
      <c r="F1993" s="16"/>
    </row>
    <row r="1994" spans="5:6">
      <c r="E1994" s="11"/>
      <c r="F1994" s="16"/>
    </row>
    <row r="1995" spans="5:6">
      <c r="E1995" s="11"/>
      <c r="F1995" s="16"/>
    </row>
    <row r="1996" spans="5:6">
      <c r="E1996" s="11"/>
      <c r="F1996" s="16"/>
    </row>
    <row r="1997" spans="5:6">
      <c r="E1997" s="11"/>
      <c r="F1997" s="16"/>
    </row>
    <row r="1998" spans="5:6">
      <c r="E1998" s="11"/>
      <c r="F1998" s="16"/>
    </row>
    <row r="1999" spans="5:6">
      <c r="E1999" s="11"/>
      <c r="F1999" s="16"/>
    </row>
    <row r="2000" spans="5:6">
      <c r="E2000" s="11"/>
      <c r="F2000" s="16"/>
    </row>
    <row r="2001" spans="5:6">
      <c r="E2001" s="11"/>
      <c r="F2001" s="16"/>
    </row>
    <row r="2002" spans="5:6">
      <c r="E2002" s="11"/>
      <c r="F2002" s="16"/>
    </row>
    <row r="2003" spans="5:6">
      <c r="E2003" s="11"/>
      <c r="F2003" s="16"/>
    </row>
    <row r="2004" spans="5:6">
      <c r="E2004" s="11"/>
      <c r="F2004" s="16"/>
    </row>
    <row r="2005" spans="5:6">
      <c r="E2005" s="11"/>
      <c r="F2005" s="16"/>
    </row>
    <row r="2006" spans="5:6">
      <c r="E2006" s="11"/>
      <c r="F2006" s="16"/>
    </row>
    <row r="2007" spans="5:6">
      <c r="E2007" s="11"/>
      <c r="F2007" s="16"/>
    </row>
    <row r="2008" spans="5:6">
      <c r="E2008" s="11"/>
      <c r="F2008" s="16"/>
    </row>
    <row r="2009" spans="5:6">
      <c r="E2009" s="11"/>
      <c r="F2009" s="16"/>
    </row>
    <row r="2010" spans="5:6">
      <c r="E2010" s="11"/>
      <c r="F2010" s="16"/>
    </row>
    <row r="2011" spans="5:6">
      <c r="E2011" s="11"/>
      <c r="F2011" s="16"/>
    </row>
    <row r="2012" spans="5:6">
      <c r="E2012" s="11"/>
      <c r="F2012" s="16"/>
    </row>
    <row r="2013" spans="5:6">
      <c r="E2013" s="11"/>
      <c r="F2013" s="16"/>
    </row>
    <row r="2014" spans="5:6">
      <c r="E2014" s="11"/>
      <c r="F2014" s="16"/>
    </row>
    <row r="2015" spans="5:6">
      <c r="E2015" s="11"/>
      <c r="F2015" s="16"/>
    </row>
    <row r="2016" spans="5:6">
      <c r="E2016" s="11"/>
      <c r="F2016" s="16"/>
    </row>
    <row r="2017" spans="5:6">
      <c r="E2017" s="11"/>
      <c r="F2017" s="16"/>
    </row>
    <row r="2018" spans="5:6">
      <c r="E2018" s="11"/>
      <c r="F2018" s="16"/>
    </row>
    <row r="2019" spans="5:6">
      <c r="E2019" s="11"/>
      <c r="F2019" s="16"/>
    </row>
    <row r="2020" spans="5:6">
      <c r="E2020" s="11"/>
      <c r="F2020" s="16"/>
    </row>
    <row r="2021" spans="5:6">
      <c r="E2021" s="11"/>
      <c r="F2021" s="16"/>
    </row>
    <row r="2022" spans="5:6">
      <c r="E2022" s="11"/>
      <c r="F2022" s="16"/>
    </row>
    <row r="2023" spans="5:6">
      <c r="E2023" s="11"/>
      <c r="F2023" s="16"/>
    </row>
    <row r="2024" spans="5:6">
      <c r="E2024" s="11"/>
      <c r="F2024" s="16"/>
    </row>
    <row r="2025" spans="5:6">
      <c r="E2025" s="11"/>
      <c r="F2025" s="16"/>
    </row>
    <row r="2026" spans="5:6">
      <c r="E2026" s="11"/>
      <c r="F2026" s="16"/>
    </row>
    <row r="2027" spans="5:6">
      <c r="E2027" s="11"/>
      <c r="F2027" s="16"/>
    </row>
    <row r="2028" spans="5:6">
      <c r="E2028" s="11"/>
      <c r="F2028" s="16"/>
    </row>
    <row r="2029" spans="5:6">
      <c r="E2029" s="11"/>
      <c r="F2029" s="16"/>
    </row>
    <row r="2030" spans="5:6">
      <c r="E2030" s="11"/>
      <c r="F2030" s="16"/>
    </row>
    <row r="2031" spans="5:6">
      <c r="E2031" s="11"/>
      <c r="F2031" s="16"/>
    </row>
    <row r="2032" spans="5:6">
      <c r="E2032" s="11"/>
      <c r="F2032" s="16"/>
    </row>
    <row r="2033" spans="5:6">
      <c r="E2033" s="11"/>
      <c r="F2033" s="16"/>
    </row>
    <row r="2034" spans="5:6">
      <c r="E2034" s="11"/>
      <c r="F2034" s="16"/>
    </row>
    <row r="2035" spans="5:6">
      <c r="E2035" s="11"/>
      <c r="F2035" s="16"/>
    </row>
    <row r="2036" spans="5:6">
      <c r="E2036" s="11"/>
      <c r="F2036" s="16"/>
    </row>
    <row r="2037" spans="5:6">
      <c r="E2037" s="11"/>
      <c r="F2037" s="16"/>
    </row>
    <row r="2038" spans="5:6">
      <c r="E2038" s="11"/>
      <c r="F2038" s="16"/>
    </row>
    <row r="2039" spans="5:6">
      <c r="E2039" s="11"/>
      <c r="F2039" s="16"/>
    </row>
    <row r="2040" spans="5:6">
      <c r="E2040" s="11"/>
      <c r="F2040" s="16"/>
    </row>
    <row r="2041" spans="5:6">
      <c r="E2041" s="11"/>
      <c r="F2041" s="16"/>
    </row>
    <row r="2042" spans="5:6">
      <c r="E2042" s="11"/>
      <c r="F2042" s="16"/>
    </row>
    <row r="2043" spans="5:6">
      <c r="E2043" s="11"/>
      <c r="F2043" s="16"/>
    </row>
    <row r="2044" spans="5:6">
      <c r="E2044" s="11"/>
      <c r="F2044" s="16"/>
    </row>
    <row r="2045" spans="5:6">
      <c r="E2045" s="11"/>
      <c r="F2045" s="16"/>
    </row>
    <row r="2046" spans="5:6">
      <c r="E2046" s="11"/>
      <c r="F2046" s="16"/>
    </row>
    <row r="2047" spans="5:6">
      <c r="E2047" s="11"/>
      <c r="F2047" s="16"/>
    </row>
    <row r="2048" spans="5:6">
      <c r="E2048" s="11"/>
      <c r="F2048" s="16"/>
    </row>
    <row r="2049" spans="5:6">
      <c r="E2049" s="11"/>
      <c r="F2049" s="16"/>
    </row>
    <row r="2050" spans="5:6">
      <c r="E2050" s="11"/>
      <c r="F2050" s="16"/>
    </row>
    <row r="2051" spans="5:6">
      <c r="E2051" s="11"/>
      <c r="F2051" s="16"/>
    </row>
    <row r="2052" spans="5:6">
      <c r="E2052" s="11"/>
      <c r="F2052" s="16"/>
    </row>
    <row r="2053" spans="5:6">
      <c r="E2053" s="11"/>
      <c r="F2053" s="16"/>
    </row>
    <row r="2054" spans="5:6">
      <c r="E2054" s="11"/>
      <c r="F2054" s="16"/>
    </row>
    <row r="2055" spans="5:6">
      <c r="E2055" s="11"/>
      <c r="F2055" s="16"/>
    </row>
    <row r="2056" spans="5:6">
      <c r="E2056" s="11"/>
      <c r="F2056" s="16"/>
    </row>
    <row r="2057" spans="5:6">
      <c r="E2057" s="11"/>
      <c r="F2057" s="16"/>
    </row>
    <row r="2058" spans="5:6">
      <c r="E2058" s="11"/>
      <c r="F2058" s="16"/>
    </row>
    <row r="2059" spans="5:6">
      <c r="E2059" s="11"/>
      <c r="F2059" s="16"/>
    </row>
    <row r="2060" spans="5:6">
      <c r="E2060" s="11"/>
      <c r="F2060" s="16"/>
    </row>
    <row r="2061" spans="5:6">
      <c r="E2061" s="11"/>
      <c r="F2061" s="16"/>
    </row>
    <row r="2062" spans="5:6">
      <c r="E2062" s="11"/>
      <c r="F2062" s="16"/>
    </row>
    <row r="2063" spans="5:6">
      <c r="E2063" s="11"/>
      <c r="F2063" s="16"/>
    </row>
    <row r="2064" spans="5:6">
      <c r="E2064" s="11"/>
      <c r="F2064" s="16"/>
    </row>
    <row r="2065" spans="5:6">
      <c r="E2065" s="11"/>
      <c r="F2065" s="16"/>
    </row>
    <row r="2066" spans="5:6">
      <c r="E2066" s="11"/>
      <c r="F2066" s="16"/>
    </row>
    <row r="2067" spans="5:6">
      <c r="E2067" s="11"/>
      <c r="F2067" s="16"/>
    </row>
    <row r="2068" spans="5:6">
      <c r="E2068" s="11"/>
      <c r="F2068" s="16"/>
    </row>
    <row r="2069" spans="5:6">
      <c r="E2069" s="11"/>
      <c r="F2069" s="16"/>
    </row>
    <row r="2070" spans="5:6">
      <c r="E2070" s="11"/>
      <c r="F2070" s="16"/>
    </row>
    <row r="2071" spans="5:6">
      <c r="E2071" s="11"/>
      <c r="F2071" s="16"/>
    </row>
    <row r="2072" spans="5:6">
      <c r="E2072" s="11"/>
      <c r="F2072" s="16"/>
    </row>
    <row r="2073" spans="5:6">
      <c r="E2073" s="11"/>
      <c r="F2073" s="16"/>
    </row>
    <row r="2074" spans="5:6">
      <c r="E2074" s="11"/>
      <c r="F2074" s="16"/>
    </row>
    <row r="2075" spans="5:6">
      <c r="E2075" s="11"/>
      <c r="F2075" s="16"/>
    </row>
    <row r="2076" spans="5:6">
      <c r="E2076" s="11"/>
      <c r="F2076" s="16"/>
    </row>
    <row r="2077" spans="5:6">
      <c r="E2077" s="11"/>
      <c r="F2077" s="16"/>
    </row>
    <row r="2078" spans="5:6">
      <c r="E2078" s="11"/>
      <c r="F2078" s="16"/>
    </row>
    <row r="2079" spans="5:6">
      <c r="E2079" s="11"/>
      <c r="F2079" s="16"/>
    </row>
    <row r="2080" spans="5:6">
      <c r="E2080" s="11"/>
      <c r="F2080" s="16"/>
    </row>
    <row r="2081" spans="5:6">
      <c r="E2081" s="11"/>
      <c r="F2081" s="16"/>
    </row>
    <row r="2082" spans="5:6">
      <c r="E2082" s="11"/>
      <c r="F2082" s="16"/>
    </row>
    <row r="2083" spans="5:6">
      <c r="E2083" s="11"/>
      <c r="F2083" s="16"/>
    </row>
    <row r="2084" spans="5:6">
      <c r="E2084" s="11"/>
      <c r="F2084" s="16"/>
    </row>
    <row r="2085" spans="5:6">
      <c r="E2085" s="11"/>
      <c r="F2085" s="16"/>
    </row>
    <row r="2086" spans="5:6">
      <c r="E2086" s="11"/>
      <c r="F2086" s="16"/>
    </row>
    <row r="2087" spans="5:6">
      <c r="E2087" s="11"/>
      <c r="F2087" s="16"/>
    </row>
    <row r="2088" spans="5:6">
      <c r="E2088" s="11"/>
      <c r="F2088" s="16"/>
    </row>
    <row r="2089" spans="5:6">
      <c r="E2089" s="11"/>
      <c r="F2089" s="16"/>
    </row>
    <row r="2090" spans="5:6">
      <c r="E2090" s="11"/>
      <c r="F2090" s="16"/>
    </row>
    <row r="2091" spans="5:6">
      <c r="E2091" s="11"/>
      <c r="F2091" s="16"/>
    </row>
    <row r="2092" spans="5:6">
      <c r="E2092" s="11"/>
      <c r="F2092" s="16"/>
    </row>
    <row r="2093" spans="5:6">
      <c r="E2093" s="11"/>
      <c r="F2093" s="16"/>
    </row>
    <row r="2094" spans="5:6">
      <c r="E2094" s="11"/>
      <c r="F2094" s="16"/>
    </row>
    <row r="2095" spans="5:6">
      <c r="E2095" s="11"/>
      <c r="F2095" s="16"/>
    </row>
    <row r="2096" spans="5:6">
      <c r="E2096" s="11"/>
      <c r="F2096" s="16"/>
    </row>
    <row r="2097" spans="5:6">
      <c r="E2097" s="11"/>
      <c r="F2097" s="16"/>
    </row>
    <row r="2098" spans="5:6">
      <c r="E2098" s="11"/>
      <c r="F2098" s="16"/>
    </row>
    <row r="2099" spans="5:6">
      <c r="E2099" s="11"/>
      <c r="F2099" s="16"/>
    </row>
    <row r="2100" spans="5:6">
      <c r="E2100" s="11"/>
      <c r="F2100" s="16"/>
    </row>
    <row r="2101" spans="5:6">
      <c r="E2101" s="11"/>
      <c r="F2101" s="16"/>
    </row>
    <row r="2102" spans="5:6">
      <c r="E2102" s="11"/>
      <c r="F2102" s="16"/>
    </row>
    <row r="2103" spans="5:6">
      <c r="E2103" s="11"/>
      <c r="F2103" s="16"/>
    </row>
    <row r="2104" spans="5:6">
      <c r="E2104" s="11"/>
      <c r="F2104" s="16"/>
    </row>
    <row r="2105" spans="5:6">
      <c r="E2105" s="11"/>
      <c r="F2105" s="16"/>
    </row>
    <row r="2106" spans="5:6">
      <c r="E2106" s="11"/>
      <c r="F2106" s="16"/>
    </row>
    <row r="2107" spans="5:6">
      <c r="E2107" s="11"/>
      <c r="F2107" s="16"/>
    </row>
    <row r="2108" spans="5:6">
      <c r="E2108" s="11"/>
      <c r="F2108" s="16"/>
    </row>
    <row r="2109" spans="5:6">
      <c r="E2109" s="11"/>
      <c r="F2109" s="16"/>
    </row>
    <row r="2110" spans="5:6">
      <c r="E2110" s="11"/>
      <c r="F2110" s="16"/>
    </row>
    <row r="2111" spans="5:6">
      <c r="E2111" s="11"/>
      <c r="F2111" s="16"/>
    </row>
    <row r="2112" spans="5:6">
      <c r="E2112" s="11"/>
      <c r="F2112" s="16"/>
    </row>
    <row r="2113" spans="5:6">
      <c r="E2113" s="11"/>
      <c r="F2113" s="16"/>
    </row>
    <row r="2114" spans="5:6">
      <c r="E2114" s="11"/>
      <c r="F2114" s="16"/>
    </row>
    <row r="2115" spans="5:6">
      <c r="E2115" s="11"/>
      <c r="F2115" s="16"/>
    </row>
    <row r="2116" spans="5:6">
      <c r="E2116" s="11"/>
      <c r="F2116" s="16"/>
    </row>
    <row r="2117" spans="5:6">
      <c r="E2117" s="11"/>
      <c r="F2117" s="16"/>
    </row>
    <row r="2118" spans="5:6">
      <c r="E2118" s="11"/>
      <c r="F2118" s="16"/>
    </row>
    <row r="2119" spans="5:6">
      <c r="E2119" s="11"/>
      <c r="F2119" s="16"/>
    </row>
    <row r="2120" spans="5:6">
      <c r="E2120" s="11"/>
      <c r="F2120" s="16"/>
    </row>
    <row r="2121" spans="5:6">
      <c r="E2121" s="11"/>
      <c r="F2121" s="16"/>
    </row>
    <row r="2122" spans="5:6">
      <c r="E2122" s="11"/>
      <c r="F2122" s="16"/>
    </row>
    <row r="2123" spans="5:6">
      <c r="E2123" s="11"/>
      <c r="F2123" s="16"/>
    </row>
    <row r="2124" spans="5:6">
      <c r="E2124" s="11"/>
      <c r="F2124" s="16"/>
    </row>
    <row r="2125" spans="5:6">
      <c r="E2125" s="11"/>
      <c r="F2125" s="16"/>
    </row>
    <row r="2126" spans="5:6">
      <c r="E2126" s="11"/>
      <c r="F2126" s="16"/>
    </row>
    <row r="2127" spans="5:6">
      <c r="E2127" s="11"/>
      <c r="F2127" s="16"/>
    </row>
    <row r="2128" spans="5:6">
      <c r="E2128" s="11"/>
      <c r="F2128" s="16"/>
    </row>
    <row r="2129" spans="5:6">
      <c r="E2129" s="11"/>
      <c r="F2129" s="16"/>
    </row>
    <row r="2130" spans="5:6">
      <c r="E2130" s="11"/>
      <c r="F2130" s="16"/>
    </row>
    <row r="2131" spans="5:6">
      <c r="E2131" s="11"/>
      <c r="F2131" s="16"/>
    </row>
    <row r="2132" spans="5:6">
      <c r="E2132" s="11"/>
      <c r="F2132" s="16"/>
    </row>
    <row r="2133" spans="5:6">
      <c r="E2133" s="11"/>
      <c r="F2133" s="16"/>
    </row>
    <row r="2134" spans="5:6">
      <c r="E2134" s="11"/>
      <c r="F2134" s="16"/>
    </row>
    <row r="2135" spans="5:6">
      <c r="E2135" s="11"/>
      <c r="F2135" s="16"/>
    </row>
    <row r="2136" spans="5:6">
      <c r="E2136" s="11"/>
      <c r="F2136" s="16"/>
    </row>
    <row r="2137" spans="5:6">
      <c r="E2137" s="11"/>
      <c r="F2137" s="16"/>
    </row>
    <row r="2138" spans="5:6">
      <c r="E2138" s="11"/>
      <c r="F2138" s="16"/>
    </row>
    <row r="2139" spans="5:6">
      <c r="E2139" s="11"/>
      <c r="F2139" s="16"/>
    </row>
    <row r="2140" spans="5:6">
      <c r="E2140" s="11"/>
      <c r="F2140" s="16"/>
    </row>
    <row r="2141" spans="5:6">
      <c r="E2141" s="11"/>
      <c r="F2141" s="16"/>
    </row>
    <row r="2142" spans="5:6">
      <c r="E2142" s="11"/>
      <c r="F2142" s="16"/>
    </row>
    <row r="2143" spans="5:6">
      <c r="E2143" s="11"/>
      <c r="F2143" s="16"/>
    </row>
    <row r="2144" spans="5:6">
      <c r="E2144" s="11"/>
      <c r="F2144" s="16"/>
    </row>
    <row r="2145" spans="5:6">
      <c r="E2145" s="11"/>
      <c r="F2145" s="16"/>
    </row>
    <row r="2146" spans="5:6">
      <c r="E2146" s="11"/>
      <c r="F2146" s="16"/>
    </row>
    <row r="2147" spans="5:6">
      <c r="E2147" s="11"/>
      <c r="F2147" s="16"/>
    </row>
    <row r="2148" spans="5:6">
      <c r="E2148" s="11"/>
      <c r="F2148" s="16"/>
    </row>
    <row r="2149" spans="5:6">
      <c r="E2149" s="11"/>
      <c r="F2149" s="16"/>
    </row>
    <row r="2150" spans="5:6">
      <c r="E2150" s="11"/>
      <c r="F2150" s="16"/>
    </row>
    <row r="2151" spans="5:6">
      <c r="E2151" s="11"/>
      <c r="F2151" s="16"/>
    </row>
    <row r="2152" spans="5:6">
      <c r="E2152" s="11"/>
      <c r="F2152" s="16"/>
    </row>
    <row r="2153" spans="5:6">
      <c r="E2153" s="11"/>
      <c r="F2153" s="16"/>
    </row>
    <row r="2154" spans="5:6">
      <c r="E2154" s="11"/>
      <c r="F2154" s="16"/>
    </row>
    <row r="2155" spans="5:6">
      <c r="E2155" s="11"/>
      <c r="F2155" s="16"/>
    </row>
    <row r="2156" spans="5:6">
      <c r="E2156" s="11"/>
      <c r="F2156" s="16"/>
    </row>
    <row r="2157" spans="5:6">
      <c r="E2157" s="11"/>
      <c r="F2157" s="16"/>
    </row>
    <row r="2158" spans="5:6">
      <c r="E2158" s="11"/>
      <c r="F2158" s="16"/>
    </row>
    <row r="2159" spans="5:6">
      <c r="E2159" s="11"/>
      <c r="F2159" s="16"/>
    </row>
    <row r="2160" spans="5:6">
      <c r="E2160" s="11"/>
      <c r="F2160" s="16"/>
    </row>
    <row r="2161" spans="5:6">
      <c r="E2161" s="11"/>
      <c r="F2161" s="16"/>
    </row>
    <row r="2162" spans="5:6">
      <c r="E2162" s="11"/>
      <c r="F2162" s="16"/>
    </row>
    <row r="2163" spans="5:6">
      <c r="E2163" s="11"/>
      <c r="F2163" s="16"/>
    </row>
    <row r="2164" spans="5:6">
      <c r="E2164" s="11"/>
      <c r="F2164" s="16"/>
    </row>
    <row r="2165" spans="5:6">
      <c r="E2165" s="11"/>
      <c r="F2165" s="16"/>
    </row>
    <row r="2166" spans="5:6">
      <c r="E2166" s="11"/>
      <c r="F2166" s="16"/>
    </row>
    <row r="2167" spans="5:6">
      <c r="E2167" s="11"/>
      <c r="F2167" s="16"/>
    </row>
    <row r="2168" spans="5:6">
      <c r="E2168" s="11"/>
      <c r="F2168" s="16"/>
    </row>
    <row r="2169" spans="5:6">
      <c r="E2169" s="11"/>
      <c r="F2169" s="16"/>
    </row>
    <row r="2170" spans="5:6">
      <c r="E2170" s="11"/>
      <c r="F2170" s="16"/>
    </row>
    <row r="2171" spans="5:6">
      <c r="E2171" s="11"/>
      <c r="F2171" s="16"/>
    </row>
    <row r="2172" spans="5:6">
      <c r="E2172" s="11"/>
      <c r="F2172" s="16"/>
    </row>
    <row r="2173" spans="5:6">
      <c r="E2173" s="11"/>
      <c r="F2173" s="16"/>
    </row>
    <row r="2174" spans="5:6">
      <c r="E2174" s="11"/>
      <c r="F2174" s="16"/>
    </row>
    <row r="2175" spans="5:6">
      <c r="E2175" s="11"/>
      <c r="F2175" s="16"/>
    </row>
    <row r="2176" spans="5:6">
      <c r="E2176" s="11"/>
      <c r="F2176" s="16"/>
    </row>
    <row r="2177" spans="5:6">
      <c r="E2177" s="11"/>
      <c r="F2177" s="16"/>
    </row>
    <row r="2178" spans="5:6">
      <c r="E2178" s="11"/>
      <c r="F2178" s="16"/>
    </row>
    <row r="2179" spans="5:6">
      <c r="E2179" s="11"/>
      <c r="F2179" s="16"/>
    </row>
    <row r="2180" spans="5:6">
      <c r="E2180" s="11"/>
      <c r="F2180" s="16"/>
    </row>
    <row r="2181" spans="5:6">
      <c r="E2181" s="11"/>
      <c r="F2181" s="16"/>
    </row>
    <row r="2182" spans="5:6">
      <c r="E2182" s="11"/>
      <c r="F2182" s="16"/>
    </row>
    <row r="2183" spans="5:6">
      <c r="E2183" s="11"/>
      <c r="F2183" s="16"/>
    </row>
    <row r="2184" spans="5:6">
      <c r="E2184" s="11"/>
      <c r="F2184" s="16"/>
    </row>
    <row r="2185" spans="5:6">
      <c r="E2185" s="11"/>
      <c r="F2185" s="16"/>
    </row>
    <row r="2186" spans="5:6">
      <c r="E2186" s="11"/>
      <c r="F2186" s="16"/>
    </row>
    <row r="2187" spans="5:6">
      <c r="E2187" s="11"/>
      <c r="F2187" s="16"/>
    </row>
    <row r="2188" spans="5:6">
      <c r="E2188" s="11"/>
      <c r="F2188" s="16"/>
    </row>
    <row r="2189" spans="5:6">
      <c r="E2189" s="11"/>
      <c r="F2189" s="16"/>
    </row>
    <row r="2190" spans="5:6">
      <c r="E2190" s="11"/>
      <c r="F2190" s="16"/>
    </row>
    <row r="2191" spans="5:6">
      <c r="E2191" s="11"/>
      <c r="F2191" s="16"/>
    </row>
    <row r="2192" spans="5:6">
      <c r="E2192" s="11"/>
      <c r="F2192" s="16"/>
    </row>
    <row r="2193" spans="5:6">
      <c r="E2193" s="11"/>
      <c r="F2193" s="16"/>
    </row>
    <row r="2194" spans="5:6">
      <c r="E2194" s="11"/>
      <c r="F2194" s="16"/>
    </row>
    <row r="2195" spans="5:6">
      <c r="E2195" s="11"/>
      <c r="F2195" s="16"/>
    </row>
    <row r="2196" spans="5:6">
      <c r="E2196" s="11"/>
      <c r="F2196" s="16"/>
    </row>
    <row r="2197" spans="5:6">
      <c r="E2197" s="11"/>
      <c r="F2197" s="16"/>
    </row>
    <row r="2198" spans="5:6">
      <c r="E2198" s="11"/>
      <c r="F2198" s="16"/>
    </row>
    <row r="2199" spans="5:6">
      <c r="E2199" s="11"/>
      <c r="F2199" s="16"/>
    </row>
    <row r="2200" spans="5:6">
      <c r="E2200" s="11"/>
      <c r="F2200" s="16"/>
    </row>
    <row r="2201" spans="5:6">
      <c r="E2201" s="11"/>
      <c r="F2201" s="16"/>
    </row>
    <row r="2202" spans="5:6">
      <c r="E2202" s="11"/>
      <c r="F2202" s="16"/>
    </row>
    <row r="2203" spans="5:6">
      <c r="E2203" s="11"/>
      <c r="F2203" s="16"/>
    </row>
    <row r="2204" spans="5:6">
      <c r="E2204" s="11"/>
      <c r="F2204" s="16"/>
    </row>
    <row r="2205" spans="5:6">
      <c r="E2205" s="11"/>
      <c r="F2205" s="16"/>
    </row>
    <row r="2206" spans="5:6">
      <c r="E2206" s="11"/>
      <c r="F2206" s="16"/>
    </row>
    <row r="2207" spans="5:6">
      <c r="E2207" s="11"/>
      <c r="F2207" s="16"/>
    </row>
    <row r="2208" spans="5:6">
      <c r="E2208" s="11"/>
      <c r="F2208" s="16"/>
    </row>
    <row r="2209" spans="5:6">
      <c r="E2209" s="11"/>
      <c r="F2209" s="16"/>
    </row>
    <row r="2210" spans="5:6">
      <c r="E2210" s="11"/>
      <c r="F2210" s="16"/>
    </row>
    <row r="2211" spans="5:6">
      <c r="E2211" s="11"/>
      <c r="F2211" s="16"/>
    </row>
    <row r="2212" spans="5:6">
      <c r="E2212" s="11"/>
      <c r="F2212" s="16"/>
    </row>
    <row r="2213" spans="5:6">
      <c r="E2213" s="11"/>
      <c r="F2213" s="16"/>
    </row>
    <row r="2214" spans="5:6">
      <c r="E2214" s="11"/>
      <c r="F2214" s="16"/>
    </row>
    <row r="2215" spans="5:6">
      <c r="E2215" s="11"/>
      <c r="F2215" s="16"/>
    </row>
    <row r="2216" spans="5:6">
      <c r="E2216" s="11"/>
      <c r="F2216" s="16"/>
    </row>
    <row r="2217" spans="5:6">
      <c r="E2217" s="11"/>
      <c r="F2217" s="16"/>
    </row>
    <row r="2218" spans="5:6">
      <c r="E2218" s="11"/>
      <c r="F2218" s="16"/>
    </row>
    <row r="2219" spans="5:6">
      <c r="E2219" s="11"/>
      <c r="F2219" s="16"/>
    </row>
    <row r="2220" spans="5:6">
      <c r="E2220" s="11"/>
      <c r="F2220" s="16"/>
    </row>
    <row r="2221" spans="5:6">
      <c r="E2221" s="11"/>
      <c r="F2221" s="16"/>
    </row>
    <row r="2222" spans="5:6">
      <c r="E2222" s="11"/>
      <c r="F2222" s="16"/>
    </row>
    <row r="2223" spans="5:6">
      <c r="E2223" s="11"/>
      <c r="F2223" s="16"/>
    </row>
    <row r="2224" spans="5:6">
      <c r="E2224" s="11"/>
      <c r="F2224" s="16"/>
    </row>
    <row r="2225" spans="5:6">
      <c r="E2225" s="11"/>
      <c r="F2225" s="16"/>
    </row>
    <row r="2226" spans="5:6">
      <c r="E2226" s="11"/>
      <c r="F2226" s="16"/>
    </row>
    <row r="2227" spans="5:6">
      <c r="E2227" s="11"/>
      <c r="F2227" s="16"/>
    </row>
    <row r="2228" spans="5:6">
      <c r="E2228" s="11"/>
      <c r="F2228" s="16"/>
    </row>
    <row r="2229" spans="5:6">
      <c r="E2229" s="11"/>
      <c r="F2229" s="16"/>
    </row>
    <row r="2230" spans="5:6">
      <c r="E2230" s="11"/>
      <c r="F2230" s="16"/>
    </row>
    <row r="2231" spans="5:6">
      <c r="E2231" s="11"/>
      <c r="F2231" s="16"/>
    </row>
    <row r="2232" spans="5:6">
      <c r="E2232" s="11"/>
      <c r="F2232" s="16"/>
    </row>
    <row r="2233" spans="5:6">
      <c r="E2233" s="11"/>
      <c r="F2233" s="16"/>
    </row>
    <row r="2234" spans="5:6">
      <c r="E2234" s="11"/>
      <c r="F2234" s="16"/>
    </row>
    <row r="2235" spans="5:6">
      <c r="E2235" s="11"/>
      <c r="F2235" s="16"/>
    </row>
    <row r="2236" spans="5:6">
      <c r="E2236" s="11"/>
      <c r="F2236" s="16"/>
    </row>
    <row r="2237" spans="5:6">
      <c r="E2237" s="11"/>
      <c r="F2237" s="16"/>
    </row>
    <row r="2238" spans="5:6">
      <c r="E2238" s="11"/>
      <c r="F2238" s="16"/>
    </row>
    <row r="2239" spans="5:6">
      <c r="E2239" s="11"/>
      <c r="F2239" s="16"/>
    </row>
    <row r="2240" spans="5:6">
      <c r="E2240" s="11"/>
      <c r="F2240" s="16"/>
    </row>
    <row r="2241" spans="5:6">
      <c r="E2241" s="11"/>
      <c r="F2241" s="16"/>
    </row>
    <row r="2242" spans="5:6">
      <c r="E2242" s="11"/>
      <c r="F2242" s="16"/>
    </row>
    <row r="2243" spans="5:6">
      <c r="E2243" s="11"/>
      <c r="F2243" s="16"/>
    </row>
    <row r="2244" spans="5:6">
      <c r="E2244" s="11"/>
      <c r="F2244" s="16"/>
    </row>
    <row r="2245" spans="5:6">
      <c r="E2245" s="11"/>
      <c r="F2245" s="16"/>
    </row>
    <row r="2246" spans="5:6">
      <c r="E2246" s="11"/>
      <c r="F2246" s="16"/>
    </row>
    <row r="2247" spans="5:6">
      <c r="E2247" s="11"/>
      <c r="F2247" s="16"/>
    </row>
    <row r="2248" spans="5:6">
      <c r="E2248" s="11"/>
      <c r="F2248" s="16"/>
    </row>
    <row r="2249" spans="5:6">
      <c r="E2249" s="11"/>
      <c r="F2249" s="16"/>
    </row>
    <row r="2250" spans="5:6">
      <c r="E2250" s="11"/>
      <c r="F2250" s="16"/>
    </row>
    <row r="2251" spans="5:6">
      <c r="E2251" s="11"/>
      <c r="F2251" s="16"/>
    </row>
    <row r="2252" spans="5:6">
      <c r="E2252" s="11"/>
      <c r="F2252" s="16"/>
    </row>
    <row r="2253" spans="5:6">
      <c r="E2253" s="11"/>
      <c r="F2253" s="16"/>
    </row>
    <row r="2254" spans="5:6">
      <c r="E2254" s="11"/>
      <c r="F2254" s="16"/>
    </row>
    <row r="2255" spans="5:6">
      <c r="E2255" s="11"/>
      <c r="F2255" s="16"/>
    </row>
    <row r="2256" spans="5:6">
      <c r="E2256" s="11"/>
      <c r="F2256" s="16"/>
    </row>
    <row r="2257" spans="5:6">
      <c r="E2257" s="11"/>
      <c r="F2257" s="16"/>
    </row>
    <row r="2258" spans="5:6">
      <c r="E2258" s="11"/>
      <c r="F2258" s="16"/>
    </row>
    <row r="2259" spans="5:6">
      <c r="E2259" s="11"/>
      <c r="F2259" s="16"/>
    </row>
    <row r="2260" spans="5:6">
      <c r="E2260" s="11"/>
      <c r="F2260" s="16"/>
    </row>
    <row r="2261" spans="5:6">
      <c r="E2261" s="11"/>
      <c r="F2261" s="16"/>
    </row>
    <row r="2262" spans="5:6">
      <c r="E2262" s="11"/>
      <c r="F2262" s="16"/>
    </row>
    <row r="2263" spans="5:6">
      <c r="E2263" s="11"/>
      <c r="F2263" s="16"/>
    </row>
    <row r="2264" spans="5:6">
      <c r="E2264" s="11"/>
      <c r="F2264" s="16"/>
    </row>
    <row r="2265" spans="5:6">
      <c r="E2265" s="11"/>
      <c r="F2265" s="16"/>
    </row>
    <row r="2266" spans="5:6">
      <c r="E2266" s="11"/>
      <c r="F2266" s="16"/>
    </row>
    <row r="2267" spans="5:6">
      <c r="E2267" s="11"/>
      <c r="F2267" s="16"/>
    </row>
    <row r="2268" spans="5:6">
      <c r="E2268" s="11"/>
      <c r="F2268" s="16"/>
    </row>
    <row r="2269" spans="5:6">
      <c r="E2269" s="11"/>
      <c r="F2269" s="16"/>
    </row>
    <row r="2270" spans="5:6">
      <c r="E2270" s="11"/>
      <c r="F2270" s="16"/>
    </row>
    <row r="2271" spans="5:6">
      <c r="E2271" s="11"/>
      <c r="F2271" s="16"/>
    </row>
    <row r="2272" spans="5:6">
      <c r="E2272" s="11"/>
      <c r="F2272" s="16"/>
    </row>
    <row r="2273" spans="5:6">
      <c r="E2273" s="11"/>
      <c r="F2273" s="16"/>
    </row>
    <row r="2274" spans="5:6">
      <c r="E2274" s="11"/>
      <c r="F2274" s="16"/>
    </row>
    <row r="2275" spans="5:6">
      <c r="E2275" s="11"/>
      <c r="F2275" s="16"/>
    </row>
    <row r="2276" spans="5:6">
      <c r="E2276" s="11"/>
      <c r="F2276" s="16"/>
    </row>
    <row r="2277" spans="5:6">
      <c r="E2277" s="11"/>
      <c r="F2277" s="16"/>
    </row>
    <row r="2278" spans="5:6">
      <c r="E2278" s="11"/>
      <c r="F2278" s="16"/>
    </row>
    <row r="2279" spans="5:6">
      <c r="E2279" s="11"/>
      <c r="F2279" s="16"/>
    </row>
    <row r="2280" spans="5:6">
      <c r="E2280" s="11"/>
      <c r="F2280" s="16"/>
    </row>
    <row r="2281" spans="5:6">
      <c r="E2281" s="11"/>
      <c r="F2281" s="16"/>
    </row>
    <row r="2282" spans="5:6">
      <c r="E2282" s="11"/>
      <c r="F2282" s="16"/>
    </row>
    <row r="2283" spans="5:6">
      <c r="E2283" s="11"/>
      <c r="F2283" s="16"/>
    </row>
    <row r="2284" spans="5:6">
      <c r="E2284" s="11"/>
      <c r="F2284" s="16"/>
    </row>
    <row r="2285" spans="5:6">
      <c r="E2285" s="11"/>
      <c r="F2285" s="16"/>
    </row>
    <row r="2286" spans="5:6">
      <c r="E2286" s="11"/>
      <c r="F2286" s="16"/>
    </row>
    <row r="2287" spans="5:6">
      <c r="E2287" s="11"/>
      <c r="F2287" s="16"/>
    </row>
    <row r="2288" spans="5:6">
      <c r="E2288" s="11"/>
      <c r="F2288" s="16"/>
    </row>
    <row r="2289" spans="5:6">
      <c r="E2289" s="11"/>
      <c r="F2289" s="16"/>
    </row>
    <row r="2290" spans="5:6">
      <c r="E2290" s="11"/>
      <c r="F2290" s="16"/>
    </row>
    <row r="2291" spans="5:6">
      <c r="E2291" s="11"/>
      <c r="F2291" s="16"/>
    </row>
    <row r="2292" spans="5:6">
      <c r="E2292" s="11"/>
      <c r="F2292" s="16"/>
    </row>
    <row r="2293" spans="5:6">
      <c r="E2293" s="11"/>
      <c r="F2293" s="16"/>
    </row>
    <row r="2294" spans="5:6">
      <c r="E2294" s="11"/>
      <c r="F2294" s="16"/>
    </row>
    <row r="2295" spans="5:6">
      <c r="E2295" s="11"/>
      <c r="F2295" s="16"/>
    </row>
    <row r="2296" spans="5:6">
      <c r="E2296" s="11"/>
      <c r="F2296" s="16"/>
    </row>
    <row r="2297" spans="5:6">
      <c r="E2297" s="11"/>
      <c r="F2297" s="16"/>
    </row>
    <row r="2298" spans="5:6">
      <c r="E2298" s="11"/>
      <c r="F2298" s="16"/>
    </row>
    <row r="2299" spans="5:6">
      <c r="E2299" s="11"/>
      <c r="F2299" s="16"/>
    </row>
    <row r="2300" spans="5:6">
      <c r="E2300" s="11"/>
      <c r="F2300" s="16"/>
    </row>
    <row r="2301" spans="5:6">
      <c r="E2301" s="11"/>
      <c r="F2301" s="16"/>
    </row>
    <row r="2302" spans="5:6">
      <c r="E2302" s="11"/>
      <c r="F2302" s="16"/>
    </row>
    <row r="2303" spans="5:6">
      <c r="E2303" s="11"/>
      <c r="F2303" s="16"/>
    </row>
    <row r="2304" spans="5:6">
      <c r="E2304" s="11"/>
      <c r="F2304" s="16"/>
    </row>
    <row r="2305" spans="5:6">
      <c r="E2305" s="11"/>
      <c r="F2305" s="16"/>
    </row>
    <row r="2306" spans="5:6">
      <c r="E2306" s="11"/>
      <c r="F2306" s="16"/>
    </row>
    <row r="2307" spans="5:6">
      <c r="E2307" s="11"/>
      <c r="F2307" s="16"/>
    </row>
    <row r="2308" spans="5:6">
      <c r="E2308" s="11"/>
      <c r="F2308" s="16"/>
    </row>
    <row r="2309" spans="5:6">
      <c r="E2309" s="11"/>
      <c r="F2309" s="16"/>
    </row>
    <row r="2310" spans="5:6">
      <c r="E2310" s="11"/>
      <c r="F2310" s="16"/>
    </row>
    <row r="2311" spans="5:6">
      <c r="E2311" s="11"/>
      <c r="F2311" s="16"/>
    </row>
    <row r="2312" spans="5:6">
      <c r="E2312" s="11"/>
      <c r="F2312" s="16"/>
    </row>
    <row r="2313" spans="5:6">
      <c r="E2313" s="11"/>
      <c r="F2313" s="16"/>
    </row>
    <row r="2314" spans="5:6">
      <c r="E2314" s="11"/>
      <c r="F2314" s="16"/>
    </row>
    <row r="2315" spans="5:6">
      <c r="E2315" s="11"/>
      <c r="F2315" s="16"/>
    </row>
    <row r="2316" spans="5:6">
      <c r="E2316" s="11"/>
      <c r="F2316" s="16"/>
    </row>
    <row r="2317" spans="5:6">
      <c r="E2317" s="11"/>
      <c r="F2317" s="16"/>
    </row>
    <row r="2318" spans="5:6">
      <c r="E2318" s="11"/>
      <c r="F2318" s="16"/>
    </row>
    <row r="2319" spans="5:6">
      <c r="E2319" s="11"/>
      <c r="F2319" s="16"/>
    </row>
    <row r="2320" spans="5:6">
      <c r="E2320" s="11"/>
      <c r="F2320" s="16"/>
    </row>
    <row r="2321" spans="5:6">
      <c r="E2321" s="11"/>
      <c r="F2321" s="16"/>
    </row>
    <row r="2322" spans="5:6">
      <c r="E2322" s="11"/>
      <c r="F2322" s="16"/>
    </row>
    <row r="2323" spans="5:6">
      <c r="E2323" s="11"/>
      <c r="F2323" s="16"/>
    </row>
    <row r="2324" spans="5:6">
      <c r="E2324" s="11"/>
      <c r="F2324" s="16"/>
    </row>
    <row r="2325" spans="5:6">
      <c r="E2325" s="11"/>
      <c r="F2325" s="16"/>
    </row>
    <row r="2326" spans="5:6">
      <c r="E2326" s="11"/>
      <c r="F2326" s="16"/>
    </row>
    <row r="2327" spans="5:6">
      <c r="E2327" s="11"/>
      <c r="F2327" s="16"/>
    </row>
    <row r="2328" spans="5:6">
      <c r="E2328" s="11"/>
      <c r="F2328" s="16"/>
    </row>
    <row r="2329" spans="5:6">
      <c r="E2329" s="11"/>
      <c r="F2329" s="16"/>
    </row>
    <row r="2330" spans="5:6">
      <c r="E2330" s="11"/>
      <c r="F2330" s="16"/>
    </row>
    <row r="2331" spans="5:6">
      <c r="E2331" s="11"/>
      <c r="F2331" s="16"/>
    </row>
    <row r="2332" spans="5:6">
      <c r="E2332" s="11"/>
      <c r="F2332" s="16"/>
    </row>
    <row r="2333" spans="5:6">
      <c r="E2333" s="11"/>
      <c r="F2333" s="16"/>
    </row>
    <row r="2334" spans="5:6">
      <c r="E2334" s="11"/>
      <c r="F2334" s="16"/>
    </row>
    <row r="2335" spans="5:6">
      <c r="E2335" s="11"/>
      <c r="F2335" s="16"/>
    </row>
    <row r="2336" spans="5:6">
      <c r="E2336" s="11"/>
      <c r="F2336" s="16"/>
    </row>
    <row r="2337" spans="5:6">
      <c r="E2337" s="11"/>
      <c r="F2337" s="16"/>
    </row>
    <row r="2338" spans="5:6">
      <c r="E2338" s="11"/>
      <c r="F2338" s="16"/>
    </row>
    <row r="2339" spans="5:6">
      <c r="E2339" s="11"/>
      <c r="F2339" s="16"/>
    </row>
    <row r="2340" spans="5:6">
      <c r="E2340" s="11"/>
      <c r="F2340" s="16"/>
    </row>
    <row r="2341" spans="5:6">
      <c r="E2341" s="11"/>
      <c r="F2341" s="16"/>
    </row>
    <row r="2342" spans="5:6">
      <c r="E2342" s="11"/>
      <c r="F2342" s="16"/>
    </row>
    <row r="2343" spans="5:6">
      <c r="E2343" s="11"/>
      <c r="F2343" s="16"/>
    </row>
    <row r="2344" spans="5:6">
      <c r="E2344" s="11"/>
      <c r="F2344" s="16"/>
    </row>
    <row r="2345" spans="5:6">
      <c r="E2345" s="11"/>
      <c r="F2345" s="16"/>
    </row>
    <row r="2346" spans="5:6">
      <c r="E2346" s="11"/>
      <c r="F2346" s="16"/>
    </row>
    <row r="2347" spans="5:6">
      <c r="E2347" s="11"/>
      <c r="F2347" s="16"/>
    </row>
    <row r="2348" spans="5:6">
      <c r="E2348" s="11"/>
      <c r="F2348" s="16"/>
    </row>
    <row r="2349" spans="5:6">
      <c r="E2349" s="11"/>
      <c r="F2349" s="16"/>
    </row>
    <row r="2350" spans="5:6">
      <c r="E2350" s="11"/>
      <c r="F2350" s="16"/>
    </row>
    <row r="2351" spans="5:6">
      <c r="E2351" s="11"/>
      <c r="F2351" s="16"/>
    </row>
    <row r="2352" spans="5:6">
      <c r="E2352" s="11"/>
      <c r="F2352" s="16"/>
    </row>
    <row r="2353" spans="5:6">
      <c r="E2353" s="11"/>
      <c r="F2353" s="16"/>
    </row>
    <row r="2354" spans="5:6">
      <c r="E2354" s="11"/>
      <c r="F2354" s="16"/>
    </row>
    <row r="2355" spans="5:6">
      <c r="E2355" s="11"/>
      <c r="F2355" s="16"/>
    </row>
    <row r="2356" spans="5:6">
      <c r="E2356" s="11"/>
      <c r="F2356" s="16"/>
    </row>
    <row r="2357" spans="5:6">
      <c r="E2357" s="11"/>
      <c r="F2357" s="16"/>
    </row>
    <row r="2358" spans="5:6">
      <c r="E2358" s="11"/>
      <c r="F2358" s="16"/>
    </row>
    <row r="2359" spans="5:6">
      <c r="E2359" s="11"/>
      <c r="F2359" s="16"/>
    </row>
    <row r="2360" spans="5:6">
      <c r="E2360" s="11"/>
      <c r="F2360" s="16"/>
    </row>
    <row r="2361" spans="5:6">
      <c r="E2361" s="11"/>
      <c r="F2361" s="16"/>
    </row>
    <row r="2362" spans="5:6">
      <c r="E2362" s="11"/>
      <c r="F2362" s="16"/>
    </row>
    <row r="2363" spans="5:6">
      <c r="E2363" s="11"/>
      <c r="F2363" s="16"/>
    </row>
    <row r="2364" spans="5:6">
      <c r="E2364" s="11"/>
      <c r="F2364" s="16"/>
    </row>
    <row r="2365" spans="5:6">
      <c r="E2365" s="11"/>
      <c r="F2365" s="16"/>
    </row>
    <row r="2366" spans="5:6">
      <c r="E2366" s="11"/>
      <c r="F2366" s="16"/>
    </row>
    <row r="2367" spans="5:6">
      <c r="E2367" s="11"/>
      <c r="F2367" s="16"/>
    </row>
    <row r="2368" spans="5:6">
      <c r="E2368" s="11"/>
      <c r="F2368" s="16"/>
    </row>
    <row r="2369" spans="5:6">
      <c r="E2369" s="11"/>
      <c r="F2369" s="16"/>
    </row>
    <row r="2370" spans="5:6">
      <c r="E2370" s="11"/>
      <c r="F2370" s="16"/>
    </row>
    <row r="2371" spans="5:6">
      <c r="E2371" s="11"/>
      <c r="F2371" s="16"/>
    </row>
    <row r="2372" spans="5:6">
      <c r="E2372" s="11"/>
      <c r="F2372" s="16"/>
    </row>
    <row r="2373" spans="5:6">
      <c r="E2373" s="11"/>
      <c r="F2373" s="16"/>
    </row>
    <row r="2374" spans="5:6">
      <c r="E2374" s="11"/>
      <c r="F2374" s="16"/>
    </row>
    <row r="2375" spans="5:6">
      <c r="E2375" s="11"/>
      <c r="F2375" s="16"/>
    </row>
    <row r="2376" spans="5:6">
      <c r="E2376" s="11"/>
      <c r="F2376" s="16"/>
    </row>
    <row r="2377" spans="5:6">
      <c r="E2377" s="11"/>
      <c r="F2377" s="16"/>
    </row>
    <row r="2378" spans="5:6">
      <c r="E2378" s="11"/>
      <c r="F2378" s="16"/>
    </row>
    <row r="2379" spans="5:6">
      <c r="E2379" s="11"/>
      <c r="F2379" s="16"/>
    </row>
    <row r="2380" spans="5:6">
      <c r="E2380" s="11"/>
      <c r="F2380" s="16"/>
    </row>
    <row r="2381" spans="5:6">
      <c r="E2381" s="11"/>
      <c r="F2381" s="16"/>
    </row>
    <row r="2382" spans="5:6">
      <c r="E2382" s="11"/>
      <c r="F2382" s="16"/>
    </row>
    <row r="2383" spans="5:6">
      <c r="E2383" s="11"/>
      <c r="F2383" s="16"/>
    </row>
    <row r="2384" spans="5:6">
      <c r="E2384" s="11"/>
      <c r="F2384" s="16"/>
    </row>
    <row r="2385" spans="5:6">
      <c r="E2385" s="11"/>
      <c r="F2385" s="16"/>
    </row>
    <row r="2386" spans="5:6">
      <c r="E2386" s="11"/>
      <c r="F2386" s="16"/>
    </row>
    <row r="2387" spans="5:6">
      <c r="E2387" s="11"/>
      <c r="F2387" s="16"/>
    </row>
    <row r="2388" spans="5:6">
      <c r="E2388" s="11"/>
      <c r="F2388" s="16"/>
    </row>
    <row r="2389" spans="5:6">
      <c r="E2389" s="11"/>
      <c r="F2389" s="16"/>
    </row>
    <row r="2390" spans="5:6">
      <c r="E2390" s="11"/>
      <c r="F2390" s="16"/>
    </row>
    <row r="2391" spans="5:6">
      <c r="E2391" s="11"/>
      <c r="F2391" s="16"/>
    </row>
    <row r="2392" spans="5:6">
      <c r="E2392" s="11"/>
      <c r="F2392" s="16"/>
    </row>
    <row r="2393" spans="5:6">
      <c r="E2393" s="11"/>
      <c r="F2393" s="16"/>
    </row>
    <row r="2394" spans="5:6">
      <c r="E2394" s="11"/>
      <c r="F2394" s="16"/>
    </row>
    <row r="2395" spans="5:6">
      <c r="E2395" s="11"/>
      <c r="F2395" s="16"/>
    </row>
    <row r="2396" spans="5:6">
      <c r="E2396" s="11"/>
      <c r="F2396" s="16"/>
    </row>
    <row r="2397" spans="5:6">
      <c r="E2397" s="11"/>
      <c r="F2397" s="16"/>
    </row>
    <row r="2398" spans="5:6">
      <c r="E2398" s="11"/>
      <c r="F2398" s="16"/>
    </row>
    <row r="2399" spans="5:6">
      <c r="E2399" s="11"/>
      <c r="F2399" s="16"/>
    </row>
    <row r="2400" spans="5:6">
      <c r="E2400" s="11"/>
      <c r="F2400" s="16"/>
    </row>
    <row r="2401" spans="5:6">
      <c r="E2401" s="11"/>
      <c r="F2401" s="16"/>
    </row>
    <row r="2402" spans="5:6">
      <c r="E2402" s="11"/>
      <c r="F2402" s="16"/>
    </row>
    <row r="2403" spans="5:6">
      <c r="E2403" s="11"/>
      <c r="F2403" s="16"/>
    </row>
    <row r="2404" spans="5:6">
      <c r="E2404" s="11"/>
      <c r="F2404" s="16"/>
    </row>
    <row r="2405" spans="5:6">
      <c r="E2405" s="11"/>
      <c r="F2405" s="16"/>
    </row>
    <row r="2406" spans="5:6">
      <c r="E2406" s="11"/>
      <c r="F2406" s="16"/>
    </row>
    <row r="2407" spans="5:6">
      <c r="E2407" s="11"/>
      <c r="F2407" s="16"/>
    </row>
    <row r="2408" spans="5:6">
      <c r="E2408" s="11"/>
      <c r="F2408" s="16"/>
    </row>
    <row r="2409" spans="5:6">
      <c r="E2409" s="11"/>
      <c r="F2409" s="16"/>
    </row>
    <row r="2410" spans="5:6">
      <c r="E2410" s="11"/>
      <c r="F2410" s="16"/>
    </row>
    <row r="2411" spans="5:6">
      <c r="E2411" s="11"/>
      <c r="F2411" s="16"/>
    </row>
    <row r="2412" spans="5:6">
      <c r="E2412" s="11"/>
      <c r="F2412" s="16"/>
    </row>
    <row r="2413" spans="5:6">
      <c r="E2413" s="11"/>
      <c r="F2413" s="16"/>
    </row>
    <row r="2414" spans="5:6">
      <c r="E2414" s="11"/>
      <c r="F2414" s="16"/>
    </row>
    <row r="2415" spans="5:6">
      <c r="E2415" s="11"/>
      <c r="F2415" s="16"/>
    </row>
    <row r="2416" spans="5:6">
      <c r="E2416" s="11"/>
      <c r="F2416" s="16"/>
    </row>
    <row r="2417" spans="5:6">
      <c r="E2417" s="11"/>
      <c r="F2417" s="16"/>
    </row>
    <row r="2418" spans="5:6">
      <c r="E2418" s="11"/>
      <c r="F2418" s="16"/>
    </row>
    <row r="2419" spans="5:6">
      <c r="E2419" s="11"/>
      <c r="F2419" s="16"/>
    </row>
    <row r="2420" spans="5:6">
      <c r="E2420" s="11"/>
      <c r="F2420" s="16"/>
    </row>
    <row r="2421" spans="5:6">
      <c r="E2421" s="11"/>
      <c r="F2421" s="16"/>
    </row>
    <row r="2422" spans="5:6">
      <c r="E2422" s="11"/>
      <c r="F2422" s="16"/>
    </row>
    <row r="2423" spans="5:6">
      <c r="E2423" s="11"/>
      <c r="F2423" s="16"/>
    </row>
    <row r="2424" spans="5:6">
      <c r="E2424" s="11"/>
      <c r="F2424" s="16"/>
    </row>
    <row r="2425" spans="5:6">
      <c r="E2425" s="11"/>
      <c r="F2425" s="16"/>
    </row>
    <row r="2426" spans="5:6">
      <c r="E2426" s="11"/>
      <c r="F2426" s="16"/>
    </row>
    <row r="2427" spans="5:6">
      <c r="E2427" s="11"/>
      <c r="F2427" s="16"/>
    </row>
    <row r="2428" spans="5:6">
      <c r="E2428" s="11"/>
      <c r="F2428" s="16"/>
    </row>
    <row r="2429" spans="5:6">
      <c r="E2429" s="11"/>
      <c r="F2429" s="16"/>
    </row>
    <row r="2430" spans="5:6">
      <c r="E2430" s="11"/>
      <c r="F2430" s="16"/>
    </row>
    <row r="2431" spans="5:6">
      <c r="E2431" s="11"/>
      <c r="F2431" s="16"/>
    </row>
    <row r="2432" spans="5:6">
      <c r="E2432" s="11"/>
      <c r="F2432" s="16"/>
    </row>
    <row r="2433" spans="5:6">
      <c r="E2433" s="11"/>
      <c r="F2433" s="16"/>
    </row>
    <row r="2434" spans="5:6">
      <c r="E2434" s="11"/>
      <c r="F2434" s="16"/>
    </row>
    <row r="2435" spans="5:6">
      <c r="E2435" s="11"/>
      <c r="F2435" s="16"/>
    </row>
    <row r="2436" spans="5:6">
      <c r="E2436" s="11"/>
      <c r="F2436" s="16"/>
    </row>
    <row r="2437" spans="5:6">
      <c r="E2437" s="11"/>
      <c r="F2437" s="16"/>
    </row>
    <row r="2438" spans="5:6">
      <c r="E2438" s="11"/>
      <c r="F2438" s="16"/>
    </row>
    <row r="2439" spans="5:6">
      <c r="E2439" s="11"/>
      <c r="F2439" s="16"/>
    </row>
    <row r="2440" spans="5:6">
      <c r="E2440" s="11"/>
      <c r="F2440" s="16"/>
    </row>
    <row r="2441" spans="5:6">
      <c r="E2441" s="11"/>
      <c r="F2441" s="16"/>
    </row>
    <row r="2442" spans="5:6">
      <c r="E2442" s="11"/>
      <c r="F2442" s="16"/>
    </row>
    <row r="2443" spans="5:6">
      <c r="E2443" s="11"/>
      <c r="F2443" s="16"/>
    </row>
    <row r="2444" spans="5:6">
      <c r="E2444" s="11"/>
      <c r="F2444" s="16"/>
    </row>
    <row r="2445" spans="5:6">
      <c r="E2445" s="11"/>
      <c r="F2445" s="16"/>
    </row>
    <row r="2446" spans="5:6">
      <c r="E2446" s="11"/>
      <c r="F2446" s="16"/>
    </row>
    <row r="2447" spans="5:6">
      <c r="E2447" s="11"/>
      <c r="F2447" s="16"/>
    </row>
    <row r="2448" spans="5:6">
      <c r="E2448" s="11"/>
      <c r="F2448" s="16"/>
    </row>
    <row r="2449" spans="5:6">
      <c r="E2449" s="11"/>
      <c r="F2449" s="16"/>
    </row>
    <row r="2450" spans="5:6">
      <c r="E2450" s="11"/>
      <c r="F2450" s="16"/>
    </row>
    <row r="2451" spans="5:6">
      <c r="E2451" s="11"/>
      <c r="F2451" s="16"/>
    </row>
    <row r="2452" spans="5:6">
      <c r="E2452" s="11"/>
      <c r="F2452" s="16"/>
    </row>
    <row r="2453" spans="5:6">
      <c r="E2453" s="11"/>
      <c r="F2453" s="16"/>
    </row>
    <row r="2454" spans="5:6">
      <c r="E2454" s="11"/>
      <c r="F2454" s="16"/>
    </row>
    <row r="2455" spans="5:6">
      <c r="E2455" s="11"/>
      <c r="F2455" s="16"/>
    </row>
    <row r="2456" spans="5:6">
      <c r="E2456" s="11"/>
      <c r="F2456" s="16"/>
    </row>
    <row r="2457" spans="5:6">
      <c r="E2457" s="11"/>
      <c r="F2457" s="16"/>
    </row>
    <row r="2458" spans="5:6">
      <c r="E2458" s="11"/>
      <c r="F2458" s="16"/>
    </row>
    <row r="2459" spans="5:6">
      <c r="E2459" s="11"/>
      <c r="F2459" s="16"/>
    </row>
    <row r="2460" spans="5:6">
      <c r="E2460" s="11"/>
      <c r="F2460" s="16"/>
    </row>
    <row r="2461" spans="5:6">
      <c r="E2461" s="11"/>
      <c r="F2461" s="16"/>
    </row>
    <row r="2462" spans="5:6">
      <c r="E2462" s="11"/>
      <c r="F2462" s="16"/>
    </row>
    <row r="2463" spans="5:6">
      <c r="E2463" s="11"/>
      <c r="F2463" s="16"/>
    </row>
    <row r="2464" spans="5:6">
      <c r="E2464" s="11"/>
      <c r="F2464" s="16"/>
    </row>
    <row r="2465" spans="5:6">
      <c r="E2465" s="11"/>
      <c r="F2465" s="16"/>
    </row>
    <row r="2466" spans="5:6">
      <c r="E2466" s="11"/>
      <c r="F2466" s="16"/>
    </row>
    <row r="2467" spans="5:6">
      <c r="E2467" s="11"/>
      <c r="F2467" s="16"/>
    </row>
    <row r="2468" spans="5:6">
      <c r="E2468" s="11"/>
      <c r="F2468" s="16"/>
    </row>
    <row r="2469" spans="5:6">
      <c r="E2469" s="11"/>
      <c r="F2469" s="16"/>
    </row>
    <row r="2470" spans="5:6">
      <c r="E2470" s="11"/>
      <c r="F2470" s="16"/>
    </row>
    <row r="2471" spans="5:6">
      <c r="E2471" s="11"/>
      <c r="F2471" s="16"/>
    </row>
    <row r="2472" spans="5:6">
      <c r="E2472" s="11"/>
      <c r="F2472" s="16"/>
    </row>
    <row r="2473" spans="5:6">
      <c r="E2473" s="11"/>
      <c r="F2473" s="16"/>
    </row>
    <row r="2474" spans="5:6">
      <c r="E2474" s="11"/>
      <c r="F2474" s="16"/>
    </row>
    <row r="2475" spans="5:6">
      <c r="E2475" s="11"/>
      <c r="F2475" s="16"/>
    </row>
    <row r="2476" spans="5:6">
      <c r="E2476" s="11"/>
      <c r="F2476" s="16"/>
    </row>
    <row r="2477" spans="5:6">
      <c r="E2477" s="11"/>
      <c r="F2477" s="16"/>
    </row>
    <row r="2478" spans="5:6">
      <c r="E2478" s="11"/>
      <c r="F2478" s="16"/>
    </row>
    <row r="2479" spans="5:6">
      <c r="E2479" s="11"/>
      <c r="F2479" s="16"/>
    </row>
    <row r="2480" spans="5:6">
      <c r="E2480" s="11"/>
      <c r="F2480" s="16"/>
    </row>
    <row r="2481" spans="5:6">
      <c r="E2481" s="11"/>
      <c r="F2481" s="16"/>
    </row>
    <row r="2482" spans="5:6">
      <c r="E2482" s="11"/>
      <c r="F2482" s="16"/>
    </row>
    <row r="2483" spans="5:6">
      <c r="E2483" s="11"/>
      <c r="F2483" s="16"/>
    </row>
    <row r="2484" spans="5:6">
      <c r="E2484" s="11"/>
      <c r="F2484" s="16"/>
    </row>
    <row r="2485" spans="5:6">
      <c r="E2485" s="11"/>
      <c r="F2485" s="16"/>
    </row>
    <row r="2486" spans="5:6">
      <c r="E2486" s="11"/>
      <c r="F2486" s="16"/>
    </row>
    <row r="2487" spans="5:6">
      <c r="E2487" s="11"/>
      <c r="F2487" s="16"/>
    </row>
    <row r="2488" spans="5:6">
      <c r="E2488" s="11"/>
      <c r="F2488" s="16"/>
    </row>
    <row r="2489" spans="5:6">
      <c r="E2489" s="11"/>
      <c r="F2489" s="16"/>
    </row>
    <row r="2490" spans="5:6">
      <c r="E2490" s="11"/>
      <c r="F2490" s="16"/>
    </row>
    <row r="2491" spans="5:6">
      <c r="E2491" s="11"/>
      <c r="F2491" s="16"/>
    </row>
    <row r="2492" spans="5:6">
      <c r="E2492" s="11"/>
      <c r="F2492" s="16"/>
    </row>
    <row r="2493" spans="5:6">
      <c r="E2493" s="11"/>
      <c r="F2493" s="16"/>
    </row>
    <row r="2494" spans="5:6">
      <c r="E2494" s="11"/>
      <c r="F2494" s="16"/>
    </row>
    <row r="2495" spans="5:6">
      <c r="E2495" s="11"/>
      <c r="F2495" s="16"/>
    </row>
    <row r="2496" spans="5:6">
      <c r="E2496" s="11"/>
      <c r="F2496" s="16"/>
    </row>
    <row r="2497" spans="5:6">
      <c r="E2497" s="11"/>
      <c r="F2497" s="16"/>
    </row>
    <row r="2498" spans="5:6">
      <c r="E2498" s="11"/>
      <c r="F2498" s="16"/>
    </row>
    <row r="2499" spans="5:6">
      <c r="E2499" s="11"/>
      <c r="F2499" s="16"/>
    </row>
    <row r="2500" spans="5:6">
      <c r="E2500" s="11"/>
      <c r="F2500" s="16"/>
    </row>
    <row r="2501" spans="5:6">
      <c r="E2501" s="11"/>
      <c r="F2501" s="16"/>
    </row>
    <row r="2502" spans="5:6">
      <c r="E2502" s="11"/>
      <c r="F2502" s="16"/>
    </row>
    <row r="2503" spans="5:6">
      <c r="E2503" s="11"/>
      <c r="F2503" s="16"/>
    </row>
    <row r="2504" spans="5:6">
      <c r="E2504" s="11"/>
      <c r="F2504" s="16"/>
    </row>
    <row r="2505" spans="5:6">
      <c r="E2505" s="11"/>
      <c r="F2505" s="16"/>
    </row>
    <row r="2506" spans="5:6">
      <c r="E2506" s="11"/>
      <c r="F2506" s="16"/>
    </row>
    <row r="2507" spans="5:6">
      <c r="E2507" s="11"/>
      <c r="F2507" s="16"/>
    </row>
    <row r="2508" spans="5:6">
      <c r="E2508" s="11"/>
      <c r="F2508" s="16"/>
    </row>
    <row r="2509" spans="5:6">
      <c r="E2509" s="11"/>
      <c r="F2509" s="16"/>
    </row>
    <row r="2510" spans="5:6">
      <c r="E2510" s="11"/>
      <c r="F2510" s="16"/>
    </row>
    <row r="2511" spans="5:6">
      <c r="E2511" s="11"/>
      <c r="F2511" s="16"/>
    </row>
    <row r="2512" spans="5:6">
      <c r="E2512" s="11"/>
      <c r="F2512" s="16"/>
    </row>
    <row r="2513" spans="5:6">
      <c r="E2513" s="11"/>
      <c r="F2513" s="16"/>
    </row>
    <row r="2514" spans="5:6">
      <c r="E2514" s="11"/>
      <c r="F2514" s="16"/>
    </row>
    <row r="2515" spans="5:6">
      <c r="E2515" s="11"/>
      <c r="F2515" s="16"/>
    </row>
    <row r="2516" spans="5:6">
      <c r="E2516" s="11"/>
      <c r="F2516" s="16"/>
    </row>
    <row r="2517" spans="5:6">
      <c r="E2517" s="11"/>
      <c r="F2517" s="16"/>
    </row>
    <row r="2518" spans="5:6">
      <c r="E2518" s="11"/>
      <c r="F2518" s="16"/>
    </row>
    <row r="2519" spans="5:6">
      <c r="E2519" s="11"/>
      <c r="F2519" s="16"/>
    </row>
    <row r="2520" spans="5:6">
      <c r="E2520" s="11"/>
      <c r="F2520" s="16"/>
    </row>
    <row r="2521" spans="5:6">
      <c r="E2521" s="11"/>
      <c r="F2521" s="16"/>
    </row>
    <row r="2522" spans="5:6">
      <c r="E2522" s="11"/>
      <c r="F2522" s="16"/>
    </row>
    <row r="2523" spans="5:6">
      <c r="E2523" s="11"/>
      <c r="F2523" s="16"/>
    </row>
    <row r="2524" spans="5:6">
      <c r="E2524" s="11"/>
      <c r="F2524" s="16"/>
    </row>
    <row r="2525" spans="5:6">
      <c r="E2525" s="11"/>
      <c r="F2525" s="16"/>
    </row>
    <row r="2526" spans="5:6">
      <c r="E2526" s="11"/>
      <c r="F2526" s="16"/>
    </row>
    <row r="2527" spans="5:6">
      <c r="E2527" s="11"/>
      <c r="F2527" s="16"/>
    </row>
    <row r="2528" spans="5:6">
      <c r="E2528" s="11"/>
      <c r="F2528" s="16"/>
    </row>
    <row r="2529" spans="5:6">
      <c r="E2529" s="11"/>
      <c r="F2529" s="16"/>
    </row>
    <row r="2530" spans="5:6">
      <c r="E2530" s="11"/>
      <c r="F2530" s="16"/>
    </row>
    <row r="2531" spans="5:6">
      <c r="E2531" s="11"/>
      <c r="F2531" s="16"/>
    </row>
    <row r="2532" spans="5:6">
      <c r="E2532" s="11"/>
      <c r="F2532" s="16"/>
    </row>
    <row r="2533" spans="5:6">
      <c r="E2533" s="11"/>
      <c r="F2533" s="16"/>
    </row>
    <row r="2534" spans="5:6">
      <c r="E2534" s="11"/>
      <c r="F2534" s="16"/>
    </row>
    <row r="2535" spans="5:6">
      <c r="E2535" s="11"/>
      <c r="F2535" s="16"/>
    </row>
    <row r="2536" spans="5:6">
      <c r="E2536" s="11"/>
      <c r="F2536" s="16"/>
    </row>
    <row r="2537" spans="5:6">
      <c r="E2537" s="11"/>
      <c r="F2537" s="16"/>
    </row>
    <row r="2538" spans="5:6">
      <c r="E2538" s="11"/>
      <c r="F2538" s="16"/>
    </row>
    <row r="2539" spans="5:6">
      <c r="E2539" s="11"/>
      <c r="F2539" s="16"/>
    </row>
    <row r="2540" spans="5:6">
      <c r="E2540" s="11"/>
      <c r="F2540" s="16"/>
    </row>
    <row r="2541" spans="5:6">
      <c r="E2541" s="11"/>
      <c r="F2541" s="16"/>
    </row>
    <row r="2542" spans="5:6">
      <c r="E2542" s="11"/>
      <c r="F2542" s="16"/>
    </row>
    <row r="2543" spans="5:6">
      <c r="E2543" s="11"/>
      <c r="F2543" s="16"/>
    </row>
    <row r="2544" spans="5:6">
      <c r="E2544" s="11"/>
      <c r="F2544" s="16"/>
    </row>
    <row r="2545" spans="5:6">
      <c r="E2545" s="11"/>
      <c r="F2545" s="16"/>
    </row>
    <row r="2546" spans="5:6">
      <c r="E2546" s="11"/>
      <c r="F2546" s="16"/>
    </row>
    <row r="2547" spans="5:6">
      <c r="E2547" s="11"/>
      <c r="F2547" s="16"/>
    </row>
    <row r="2548" spans="5:6">
      <c r="E2548" s="11"/>
      <c r="F2548" s="16"/>
    </row>
    <row r="2549" spans="5:6">
      <c r="E2549" s="11"/>
      <c r="F2549" s="16"/>
    </row>
    <row r="2550" spans="5:6">
      <c r="E2550" s="11"/>
      <c r="F2550" s="16"/>
    </row>
    <row r="2551" spans="5:6">
      <c r="E2551" s="11"/>
      <c r="F2551" s="16"/>
    </row>
    <row r="2552" spans="5:6">
      <c r="E2552" s="11"/>
      <c r="F2552" s="16"/>
    </row>
    <row r="2553" spans="5:6">
      <c r="E2553" s="11"/>
      <c r="F2553" s="16"/>
    </row>
    <row r="2554" spans="5:6">
      <c r="E2554" s="11"/>
      <c r="F2554" s="16"/>
    </row>
    <row r="2555" spans="5:6">
      <c r="E2555" s="11"/>
      <c r="F2555" s="16"/>
    </row>
    <row r="2556" spans="5:6">
      <c r="E2556" s="11"/>
      <c r="F2556" s="16"/>
    </row>
    <row r="2557" spans="5:6">
      <c r="E2557" s="11"/>
      <c r="F2557" s="16"/>
    </row>
    <row r="2558" spans="5:6">
      <c r="E2558" s="11"/>
      <c r="F2558" s="16"/>
    </row>
    <row r="2559" spans="5:6">
      <c r="E2559" s="11"/>
      <c r="F2559" s="16"/>
    </row>
    <row r="2560" spans="5:6">
      <c r="E2560" s="11"/>
      <c r="F2560" s="16"/>
    </row>
    <row r="2561" spans="5:6">
      <c r="E2561" s="11"/>
      <c r="F2561" s="16"/>
    </row>
    <row r="2562" spans="5:6">
      <c r="E2562" s="11"/>
      <c r="F2562" s="16"/>
    </row>
    <row r="2563" spans="5:6">
      <c r="E2563" s="11"/>
      <c r="F2563" s="16"/>
    </row>
    <row r="2564" spans="5:6">
      <c r="E2564" s="11"/>
      <c r="F2564" s="16"/>
    </row>
    <row r="2565" spans="5:6">
      <c r="E2565" s="11"/>
      <c r="F2565" s="16"/>
    </row>
    <row r="2566" spans="5:6">
      <c r="E2566" s="11"/>
      <c r="F2566" s="16"/>
    </row>
    <row r="2567" spans="5:6">
      <c r="E2567" s="11"/>
      <c r="F2567" s="16"/>
    </row>
    <row r="2568" spans="5:6">
      <c r="E2568" s="11"/>
      <c r="F2568" s="16"/>
    </row>
    <row r="2569" spans="5:6">
      <c r="E2569" s="11"/>
      <c r="F2569" s="16"/>
    </row>
    <row r="2570" spans="5:6">
      <c r="E2570" s="11"/>
      <c r="F2570" s="16"/>
    </row>
    <row r="2571" spans="5:6">
      <c r="E2571" s="11"/>
      <c r="F2571" s="16"/>
    </row>
    <row r="2572" spans="5:6">
      <c r="E2572" s="11"/>
      <c r="F2572" s="16"/>
    </row>
    <row r="2573" spans="5:6">
      <c r="E2573" s="11"/>
      <c r="F2573" s="16"/>
    </row>
    <row r="2574" spans="5:6">
      <c r="E2574" s="11"/>
      <c r="F2574" s="16"/>
    </row>
    <row r="2575" spans="5:6">
      <c r="E2575" s="11"/>
      <c r="F2575" s="16"/>
    </row>
    <row r="2576" spans="5:6">
      <c r="E2576" s="11"/>
      <c r="F2576" s="16"/>
    </row>
    <row r="2577" spans="5:6">
      <c r="E2577" s="11"/>
      <c r="F2577" s="16"/>
    </row>
    <row r="2578" spans="5:6">
      <c r="E2578" s="11"/>
      <c r="F2578" s="16"/>
    </row>
    <row r="2579" spans="5:6">
      <c r="E2579" s="11"/>
      <c r="F2579" s="16"/>
    </row>
    <row r="2580" spans="5:6">
      <c r="E2580" s="11"/>
      <c r="F2580" s="16"/>
    </row>
    <row r="2581" spans="5:6">
      <c r="E2581" s="11"/>
      <c r="F2581" s="16"/>
    </row>
    <row r="2582" spans="5:6">
      <c r="E2582" s="11"/>
      <c r="F2582" s="16"/>
    </row>
    <row r="2583" spans="5:6">
      <c r="E2583" s="11"/>
      <c r="F2583" s="16"/>
    </row>
    <row r="2584" spans="5:6">
      <c r="E2584" s="11"/>
      <c r="F2584" s="16"/>
    </row>
    <row r="2585" spans="5:6">
      <c r="E2585" s="11"/>
      <c r="F2585" s="16"/>
    </row>
    <row r="2586" spans="5:6">
      <c r="E2586" s="11"/>
      <c r="F2586" s="16"/>
    </row>
    <row r="2587" spans="5:6">
      <c r="E2587" s="11"/>
      <c r="F2587" s="16"/>
    </row>
    <row r="2588" spans="5:6">
      <c r="E2588" s="11"/>
      <c r="F2588" s="16"/>
    </row>
    <row r="2589" spans="5:6">
      <c r="E2589" s="11"/>
      <c r="F2589" s="16"/>
    </row>
    <row r="2590" spans="5:6">
      <c r="E2590" s="11"/>
      <c r="F2590" s="16"/>
    </row>
    <row r="2591" spans="5:6">
      <c r="E2591" s="11"/>
      <c r="F2591" s="16"/>
    </row>
    <row r="2592" spans="5:6">
      <c r="E2592" s="11"/>
      <c r="F2592" s="16"/>
    </row>
    <row r="2593" spans="5:6">
      <c r="E2593" s="11"/>
      <c r="F2593" s="16"/>
    </row>
    <row r="2594" spans="5:6">
      <c r="E2594" s="11"/>
      <c r="F2594" s="16"/>
    </row>
    <row r="2595" spans="5:6">
      <c r="E2595" s="11"/>
      <c r="F2595" s="16"/>
    </row>
    <row r="2596" spans="5:6">
      <c r="E2596" s="11"/>
      <c r="F2596" s="16"/>
    </row>
    <row r="2597" spans="5:6">
      <c r="E2597" s="11"/>
      <c r="F2597" s="16"/>
    </row>
    <row r="2598" spans="5:6">
      <c r="E2598" s="11"/>
      <c r="F2598" s="16"/>
    </row>
    <row r="2599" spans="5:6">
      <c r="E2599" s="11"/>
      <c r="F2599" s="16"/>
    </row>
    <row r="2600" spans="5:6">
      <c r="E2600" s="11"/>
      <c r="F2600" s="16"/>
    </row>
    <row r="2601" spans="5:6">
      <c r="E2601" s="11"/>
      <c r="F2601" s="16"/>
    </row>
    <row r="2602" spans="5:6">
      <c r="E2602" s="11"/>
      <c r="F2602" s="16"/>
    </row>
    <row r="2603" spans="5:6">
      <c r="E2603" s="11"/>
      <c r="F2603" s="16"/>
    </row>
    <row r="2604" spans="5:6">
      <c r="E2604" s="11"/>
      <c r="F2604" s="16"/>
    </row>
    <row r="2605" spans="5:6">
      <c r="E2605" s="11"/>
      <c r="F2605" s="16"/>
    </row>
    <row r="2606" spans="5:6">
      <c r="E2606" s="11"/>
      <c r="F2606" s="16"/>
    </row>
    <row r="2607" spans="5:6">
      <c r="E2607" s="11"/>
      <c r="F2607" s="16"/>
    </row>
    <row r="2608" spans="5:6">
      <c r="E2608" s="11"/>
      <c r="F2608" s="16"/>
    </row>
    <row r="2609" spans="5:6">
      <c r="E2609" s="11"/>
      <c r="F2609" s="16"/>
    </row>
    <row r="2610" spans="5:6">
      <c r="E2610" s="11"/>
      <c r="F2610" s="16"/>
    </row>
    <row r="2611" spans="5:6">
      <c r="E2611" s="11"/>
      <c r="F2611" s="16"/>
    </row>
    <row r="2612" spans="5:6">
      <c r="E2612" s="11"/>
      <c r="F2612" s="16"/>
    </row>
    <row r="2613" spans="5:6">
      <c r="E2613" s="11"/>
      <c r="F2613" s="16"/>
    </row>
    <row r="2614" spans="5:6">
      <c r="E2614" s="11"/>
      <c r="F2614" s="16"/>
    </row>
    <row r="2615" spans="5:6">
      <c r="E2615" s="11"/>
      <c r="F2615" s="16"/>
    </row>
    <row r="2616" spans="5:6">
      <c r="E2616" s="11"/>
      <c r="F2616" s="16"/>
    </row>
    <row r="2617" spans="5:6">
      <c r="E2617" s="11"/>
      <c r="F2617" s="16"/>
    </row>
    <row r="2618" spans="5:6">
      <c r="E2618" s="11"/>
      <c r="F2618" s="16"/>
    </row>
    <row r="2619" spans="5:6">
      <c r="E2619" s="11"/>
      <c r="F2619" s="16"/>
    </row>
    <row r="2620" spans="5:6">
      <c r="E2620" s="11"/>
      <c r="F2620" s="16"/>
    </row>
    <row r="2621" spans="5:6">
      <c r="E2621" s="11"/>
      <c r="F2621" s="16"/>
    </row>
    <row r="2622" spans="5:6">
      <c r="E2622" s="11"/>
      <c r="F2622" s="16"/>
    </row>
    <row r="2623" spans="5:6">
      <c r="E2623" s="11"/>
      <c r="F2623" s="16"/>
    </row>
    <row r="2624" spans="5:6">
      <c r="E2624" s="11"/>
      <c r="F2624" s="16"/>
    </row>
    <row r="2625" spans="5:6">
      <c r="E2625" s="11"/>
      <c r="F2625" s="16"/>
    </row>
    <row r="2626" spans="5:6">
      <c r="E2626" s="11"/>
      <c r="F2626" s="16"/>
    </row>
    <row r="2627" spans="5:6">
      <c r="E2627" s="11"/>
      <c r="F2627" s="16"/>
    </row>
    <row r="2628" spans="5:6">
      <c r="E2628" s="11"/>
      <c r="F2628" s="16"/>
    </row>
    <row r="2629" spans="5:6">
      <c r="E2629" s="11"/>
      <c r="F2629" s="16"/>
    </row>
    <row r="2630" spans="5:6">
      <c r="E2630" s="11"/>
      <c r="F2630" s="16"/>
    </row>
    <row r="2631" spans="5:6">
      <c r="E2631" s="11"/>
      <c r="F2631" s="16"/>
    </row>
    <row r="2632" spans="5:6">
      <c r="E2632" s="11"/>
      <c r="F2632" s="16"/>
    </row>
    <row r="2633" spans="5:6">
      <c r="E2633" s="11"/>
      <c r="F2633" s="16"/>
    </row>
    <row r="2634" spans="5:6">
      <c r="E2634" s="11"/>
      <c r="F2634" s="16"/>
    </row>
    <row r="2635" spans="5:6">
      <c r="E2635" s="11"/>
      <c r="F2635" s="16"/>
    </row>
    <row r="2636" spans="5:6">
      <c r="E2636" s="11"/>
      <c r="F2636" s="16"/>
    </row>
    <row r="2637" spans="5:6">
      <c r="E2637" s="11"/>
      <c r="F2637" s="16"/>
    </row>
    <row r="2638" spans="5:6">
      <c r="E2638" s="11"/>
      <c r="F2638" s="16"/>
    </row>
    <row r="2639" spans="5:6">
      <c r="E2639" s="11"/>
      <c r="F2639" s="16"/>
    </row>
    <row r="2640" spans="5:6">
      <c r="E2640" s="11"/>
      <c r="F2640" s="16"/>
    </row>
    <row r="2641" spans="5:6">
      <c r="E2641" s="11"/>
      <c r="F2641" s="16"/>
    </row>
    <row r="2642" spans="5:6">
      <c r="E2642" s="11"/>
      <c r="F2642" s="16"/>
    </row>
    <row r="2643" spans="5:6">
      <c r="E2643" s="11"/>
      <c r="F2643" s="16"/>
    </row>
    <row r="2644" spans="5:6">
      <c r="E2644" s="11"/>
      <c r="F2644" s="16"/>
    </row>
    <row r="2645" spans="5:6">
      <c r="E2645" s="11"/>
      <c r="F2645" s="16"/>
    </row>
    <row r="2646" spans="5:6">
      <c r="E2646" s="11"/>
      <c r="F2646" s="16"/>
    </row>
    <row r="2647" spans="5:6">
      <c r="E2647" s="11"/>
      <c r="F2647" s="16"/>
    </row>
    <row r="2648" spans="5:6">
      <c r="E2648" s="11"/>
      <c r="F2648" s="16"/>
    </row>
    <row r="2649" spans="5:6">
      <c r="E2649" s="11"/>
      <c r="F2649" s="16"/>
    </row>
    <row r="2650" spans="5:6">
      <c r="E2650" s="11"/>
      <c r="F2650" s="16"/>
    </row>
    <row r="2651" spans="5:6">
      <c r="E2651" s="11"/>
      <c r="F2651" s="16"/>
    </row>
    <row r="2652" spans="5:6">
      <c r="E2652" s="11"/>
      <c r="F2652" s="16"/>
    </row>
    <row r="2653" spans="5:6">
      <c r="E2653" s="11"/>
      <c r="F2653" s="16"/>
    </row>
    <row r="2654" spans="5:6">
      <c r="E2654" s="11"/>
      <c r="F2654" s="16"/>
    </row>
    <row r="2655" spans="5:6">
      <c r="E2655" s="11"/>
      <c r="F2655" s="16"/>
    </row>
    <row r="2656" spans="5:6">
      <c r="E2656" s="11"/>
      <c r="F2656" s="16"/>
    </row>
    <row r="2657" spans="5:6">
      <c r="E2657" s="11"/>
      <c r="F2657" s="16"/>
    </row>
    <row r="2658" spans="5:6">
      <c r="E2658" s="11"/>
      <c r="F2658" s="16"/>
    </row>
    <row r="2659" spans="5:6">
      <c r="E2659" s="11"/>
      <c r="F2659" s="16"/>
    </row>
    <row r="2660" spans="5:6">
      <c r="E2660" s="11"/>
      <c r="F2660" s="16"/>
    </row>
    <row r="2661" spans="5:6">
      <c r="E2661" s="11"/>
      <c r="F2661" s="16"/>
    </row>
    <row r="2662" spans="5:6">
      <c r="E2662" s="11"/>
      <c r="F2662" s="16"/>
    </row>
    <row r="2663" spans="5:6">
      <c r="E2663" s="11"/>
      <c r="F2663" s="16"/>
    </row>
    <row r="2664" spans="5:6">
      <c r="E2664" s="11"/>
      <c r="F2664" s="16"/>
    </row>
    <row r="2665" spans="5:6">
      <c r="E2665" s="11"/>
      <c r="F2665" s="16"/>
    </row>
    <row r="2666" spans="5:6">
      <c r="E2666" s="11"/>
      <c r="F2666" s="16"/>
    </row>
    <row r="2667" spans="5:6">
      <c r="E2667" s="11"/>
      <c r="F2667" s="16"/>
    </row>
    <row r="2668" spans="5:6">
      <c r="E2668" s="11"/>
      <c r="F2668" s="16"/>
    </row>
    <row r="2669" spans="5:6">
      <c r="E2669" s="11"/>
      <c r="F2669" s="16"/>
    </row>
    <row r="2670" spans="5:6">
      <c r="E2670" s="11"/>
      <c r="F2670" s="16"/>
    </row>
    <row r="2671" spans="5:6">
      <c r="E2671" s="11"/>
      <c r="F2671" s="16"/>
    </row>
    <row r="2672" spans="5:6">
      <c r="E2672" s="11"/>
      <c r="F2672" s="16"/>
    </row>
    <row r="2673" spans="5:6">
      <c r="E2673" s="11"/>
      <c r="F2673" s="16"/>
    </row>
    <row r="2674" spans="5:6">
      <c r="E2674" s="11"/>
      <c r="F2674" s="16"/>
    </row>
    <row r="2675" spans="5:6">
      <c r="E2675" s="11"/>
      <c r="F2675" s="16"/>
    </row>
    <row r="2676" spans="5:6">
      <c r="E2676" s="11"/>
      <c r="F2676" s="16"/>
    </row>
    <row r="2677" spans="5:6">
      <c r="E2677" s="11"/>
      <c r="F2677" s="16"/>
    </row>
    <row r="2678" spans="5:6">
      <c r="E2678" s="11"/>
      <c r="F2678" s="16"/>
    </row>
    <row r="2679" spans="5:6">
      <c r="E2679" s="11"/>
      <c r="F2679" s="16"/>
    </row>
    <row r="2680" spans="5:6">
      <c r="E2680" s="11"/>
      <c r="F2680" s="16"/>
    </row>
    <row r="2681" spans="5:6">
      <c r="E2681" s="11"/>
      <c r="F2681" s="16"/>
    </row>
    <row r="2682" spans="5:6">
      <c r="E2682" s="11"/>
      <c r="F2682" s="16"/>
    </row>
    <row r="2683" spans="5:6">
      <c r="E2683" s="11"/>
      <c r="F2683" s="16"/>
    </row>
    <row r="2684" spans="5:6">
      <c r="E2684" s="11"/>
      <c r="F2684" s="16"/>
    </row>
    <row r="2685" spans="5:6">
      <c r="E2685" s="11"/>
      <c r="F2685" s="16"/>
    </row>
    <row r="2686" spans="5:6">
      <c r="E2686" s="11"/>
      <c r="F2686" s="16"/>
    </row>
    <row r="2687" spans="5:6">
      <c r="E2687" s="11"/>
      <c r="F2687" s="16"/>
    </row>
    <row r="2688" spans="5:6">
      <c r="E2688" s="11"/>
      <c r="F2688" s="16"/>
    </row>
    <row r="2689" spans="5:6">
      <c r="E2689" s="11"/>
      <c r="F2689" s="16"/>
    </row>
    <row r="2690" spans="5:6">
      <c r="E2690" s="11"/>
      <c r="F2690" s="16"/>
    </row>
    <row r="2691" spans="5:6">
      <c r="E2691" s="11"/>
      <c r="F2691" s="16"/>
    </row>
    <row r="2692" spans="5:6">
      <c r="E2692" s="11"/>
      <c r="F2692" s="16"/>
    </row>
    <row r="2693" spans="5:6">
      <c r="E2693" s="11"/>
      <c r="F2693" s="16"/>
    </row>
    <row r="2694" spans="5:6">
      <c r="E2694" s="11"/>
      <c r="F2694" s="16"/>
    </row>
    <row r="2695" spans="5:6">
      <c r="E2695" s="11"/>
      <c r="F2695" s="16"/>
    </row>
    <row r="2696" spans="5:6">
      <c r="E2696" s="11"/>
      <c r="F2696" s="16"/>
    </row>
    <row r="2697" spans="5:6">
      <c r="E2697" s="11"/>
      <c r="F2697" s="16"/>
    </row>
    <row r="2698" spans="5:6">
      <c r="E2698" s="11"/>
      <c r="F2698" s="16"/>
    </row>
    <row r="2699" spans="5:6">
      <c r="E2699" s="11"/>
      <c r="F2699" s="16"/>
    </row>
    <row r="2700" spans="5:6">
      <c r="E2700" s="11"/>
      <c r="F2700" s="16"/>
    </row>
    <row r="2701" spans="5:6">
      <c r="E2701" s="11"/>
      <c r="F2701" s="16"/>
    </row>
    <row r="2702" spans="5:6">
      <c r="E2702" s="11"/>
      <c r="F2702" s="16"/>
    </row>
    <row r="2703" spans="5:6">
      <c r="E2703" s="11"/>
      <c r="F2703" s="16"/>
    </row>
    <row r="2704" spans="5:6">
      <c r="E2704" s="11"/>
      <c r="F2704" s="16"/>
    </row>
    <row r="2705" spans="5:6">
      <c r="E2705" s="11"/>
      <c r="F2705" s="16"/>
    </row>
    <row r="2706" spans="5:6">
      <c r="E2706" s="11"/>
      <c r="F2706" s="16"/>
    </row>
    <row r="2707" spans="5:6">
      <c r="E2707" s="11"/>
      <c r="F2707" s="16"/>
    </row>
    <row r="2708" spans="5:6">
      <c r="E2708" s="11"/>
      <c r="F2708" s="16"/>
    </row>
    <row r="2709" spans="5:6">
      <c r="E2709" s="11"/>
      <c r="F2709" s="16"/>
    </row>
    <row r="2710" spans="5:6">
      <c r="E2710" s="11"/>
      <c r="F2710" s="16"/>
    </row>
    <row r="2711" spans="5:6">
      <c r="E2711" s="11"/>
      <c r="F2711" s="16"/>
    </row>
    <row r="2712" spans="5:6">
      <c r="E2712" s="11"/>
      <c r="F2712" s="16"/>
    </row>
    <row r="2713" spans="5:6">
      <c r="E2713" s="11"/>
      <c r="F2713" s="16"/>
    </row>
    <row r="2714" spans="5:6">
      <c r="E2714" s="11"/>
      <c r="F2714" s="16"/>
    </row>
    <row r="2715" spans="5:6">
      <c r="E2715" s="11"/>
      <c r="F2715" s="16"/>
    </row>
    <row r="2716" spans="5:6">
      <c r="E2716" s="11"/>
      <c r="F2716" s="16"/>
    </row>
    <row r="2717" spans="5:6">
      <c r="E2717" s="11"/>
      <c r="F2717" s="16"/>
    </row>
    <row r="2718" spans="5:6">
      <c r="E2718" s="11"/>
      <c r="F2718" s="16"/>
    </row>
    <row r="2719" spans="5:6">
      <c r="E2719" s="11"/>
      <c r="F2719" s="16"/>
    </row>
    <row r="2720" spans="5:6">
      <c r="E2720" s="11"/>
      <c r="F2720" s="16"/>
    </row>
    <row r="2721" spans="5:6">
      <c r="E2721" s="11"/>
      <c r="F2721" s="16"/>
    </row>
    <row r="2722" spans="5:6">
      <c r="E2722" s="11"/>
      <c r="F2722" s="16"/>
    </row>
    <row r="2723" spans="5:6">
      <c r="E2723" s="11"/>
      <c r="F2723" s="16"/>
    </row>
    <row r="2724" spans="5:6">
      <c r="E2724" s="11"/>
      <c r="F2724" s="16"/>
    </row>
    <row r="2725" spans="5:6">
      <c r="E2725" s="11"/>
      <c r="F2725" s="16"/>
    </row>
    <row r="2726" spans="5:6">
      <c r="E2726" s="11"/>
      <c r="F2726" s="16"/>
    </row>
    <row r="2727" spans="5:6">
      <c r="E2727" s="11"/>
      <c r="F2727" s="16"/>
    </row>
    <row r="2728" spans="5:6">
      <c r="E2728" s="11"/>
      <c r="F2728" s="16"/>
    </row>
    <row r="2729" spans="5:6">
      <c r="E2729" s="11"/>
      <c r="F2729" s="16"/>
    </row>
    <row r="2730" spans="5:6">
      <c r="E2730" s="11"/>
      <c r="F2730" s="16"/>
    </row>
    <row r="2731" spans="5:6">
      <c r="E2731" s="11"/>
      <c r="F2731" s="16"/>
    </row>
    <row r="2732" spans="5:6">
      <c r="E2732" s="11"/>
      <c r="F2732" s="16"/>
    </row>
    <row r="2733" spans="5:6">
      <c r="E2733" s="11"/>
      <c r="F2733" s="16"/>
    </row>
    <row r="2734" spans="5:6">
      <c r="E2734" s="11"/>
      <c r="F2734" s="16"/>
    </row>
    <row r="2735" spans="5:6">
      <c r="E2735" s="11"/>
      <c r="F2735" s="16"/>
    </row>
    <row r="2736" spans="5:6">
      <c r="E2736" s="11"/>
      <c r="F2736" s="16"/>
    </row>
    <row r="2737" spans="5:6">
      <c r="E2737" s="11"/>
      <c r="F2737" s="16"/>
    </row>
    <row r="2738" spans="5:6">
      <c r="E2738" s="11"/>
      <c r="F2738" s="16"/>
    </row>
    <row r="2739" spans="5:6">
      <c r="E2739" s="11"/>
      <c r="F2739" s="16"/>
    </row>
    <row r="2740" spans="5:6">
      <c r="E2740" s="11"/>
      <c r="F2740" s="16"/>
    </row>
    <row r="2741" spans="5:6">
      <c r="E2741" s="11"/>
      <c r="F2741" s="16"/>
    </row>
    <row r="2742" spans="5:6">
      <c r="E2742" s="11"/>
      <c r="F2742" s="16"/>
    </row>
    <row r="2743" spans="5:6">
      <c r="E2743" s="11"/>
      <c r="F2743" s="16"/>
    </row>
    <row r="2744" spans="5:6">
      <c r="E2744" s="11"/>
      <c r="F2744" s="16"/>
    </row>
    <row r="2745" spans="5:6">
      <c r="E2745" s="11"/>
      <c r="F2745" s="16"/>
    </row>
    <row r="2746" spans="5:6">
      <c r="E2746" s="11"/>
      <c r="F2746" s="16"/>
    </row>
    <row r="2747" spans="5:6">
      <c r="E2747" s="11"/>
      <c r="F2747" s="16"/>
    </row>
    <row r="2748" spans="5:6">
      <c r="E2748" s="11"/>
      <c r="F2748" s="16"/>
    </row>
    <row r="2749" spans="5:6">
      <c r="E2749" s="11"/>
      <c r="F2749" s="16"/>
    </row>
    <row r="2750" spans="5:6">
      <c r="E2750" s="11"/>
      <c r="F2750" s="16"/>
    </row>
    <row r="2751" spans="5:6">
      <c r="E2751" s="11"/>
      <c r="F2751" s="16"/>
    </row>
    <row r="2752" spans="5:6">
      <c r="E2752" s="11"/>
      <c r="F2752" s="16"/>
    </row>
    <row r="2753" spans="5:6">
      <c r="E2753" s="11"/>
      <c r="F2753" s="16"/>
    </row>
    <row r="2754" spans="5:6">
      <c r="E2754" s="11"/>
      <c r="F2754" s="16"/>
    </row>
    <row r="2755" spans="5:6">
      <c r="E2755" s="11"/>
      <c r="F2755" s="16"/>
    </row>
    <row r="2756" spans="5:6">
      <c r="E2756" s="11"/>
      <c r="F2756" s="16"/>
    </row>
    <row r="2757" spans="5:6">
      <c r="E2757" s="11"/>
      <c r="F2757" s="16"/>
    </row>
    <row r="2758" spans="5:6">
      <c r="E2758" s="11"/>
      <c r="F2758" s="16"/>
    </row>
    <row r="2759" spans="5:6">
      <c r="E2759" s="11"/>
      <c r="F2759" s="16"/>
    </row>
    <row r="2760" spans="5:6">
      <c r="E2760" s="11"/>
      <c r="F2760" s="16"/>
    </row>
    <row r="2761" spans="5:6">
      <c r="E2761" s="11"/>
      <c r="F2761" s="16"/>
    </row>
    <row r="2762" spans="5:6">
      <c r="E2762" s="11"/>
      <c r="F2762" s="16"/>
    </row>
    <row r="2763" spans="5:6">
      <c r="E2763" s="11"/>
      <c r="F2763" s="16"/>
    </row>
    <row r="2764" spans="5:6">
      <c r="E2764" s="11"/>
      <c r="F2764" s="16"/>
    </row>
    <row r="2765" spans="5:6">
      <c r="E2765" s="11"/>
      <c r="F2765" s="16"/>
    </row>
    <row r="2766" spans="5:6">
      <c r="E2766" s="11"/>
      <c r="F2766" s="16"/>
    </row>
    <row r="2767" spans="5:6">
      <c r="E2767" s="11"/>
      <c r="F2767" s="16"/>
    </row>
    <row r="2768" spans="5:6">
      <c r="E2768" s="11"/>
      <c r="F2768" s="16"/>
    </row>
    <row r="2769" spans="5:6">
      <c r="E2769" s="11"/>
      <c r="F2769" s="16"/>
    </row>
    <row r="2770" spans="5:6">
      <c r="E2770" s="11"/>
      <c r="F2770" s="16"/>
    </row>
    <row r="2771" spans="5:6">
      <c r="E2771" s="11"/>
      <c r="F2771" s="16"/>
    </row>
    <row r="2772" spans="5:6">
      <c r="E2772" s="11"/>
      <c r="F2772" s="16"/>
    </row>
    <row r="2773" spans="5:6">
      <c r="E2773" s="11"/>
      <c r="F2773" s="16"/>
    </row>
    <row r="2774" spans="5:6">
      <c r="E2774" s="11"/>
      <c r="F2774" s="16"/>
    </row>
    <row r="2775" spans="5:6">
      <c r="E2775" s="11"/>
      <c r="F2775" s="16"/>
    </row>
    <row r="2776" spans="5:6">
      <c r="E2776" s="11"/>
      <c r="F2776" s="16"/>
    </row>
    <row r="2777" spans="5:6">
      <c r="E2777" s="11"/>
      <c r="F2777" s="16"/>
    </row>
    <row r="2778" spans="5:6">
      <c r="E2778" s="11"/>
      <c r="F2778" s="16"/>
    </row>
    <row r="2779" spans="5:6">
      <c r="E2779" s="11"/>
      <c r="F2779" s="16"/>
    </row>
    <row r="2780" spans="5:6">
      <c r="E2780" s="11"/>
      <c r="F2780" s="16"/>
    </row>
    <row r="2781" spans="5:6">
      <c r="E2781" s="11"/>
      <c r="F2781" s="16"/>
    </row>
    <row r="2782" spans="5:6">
      <c r="E2782" s="11"/>
      <c r="F2782" s="16"/>
    </row>
    <row r="2783" spans="5:6">
      <c r="E2783" s="11"/>
      <c r="F2783" s="16"/>
    </row>
    <row r="2784" spans="5:6">
      <c r="E2784" s="11"/>
      <c r="F2784" s="16"/>
    </row>
    <row r="2785" spans="5:6">
      <c r="E2785" s="11"/>
      <c r="F2785" s="16"/>
    </row>
    <row r="2786" spans="5:6">
      <c r="E2786" s="11"/>
      <c r="F2786" s="16"/>
    </row>
    <row r="2787" spans="5:6">
      <c r="E2787" s="11"/>
      <c r="F2787" s="16"/>
    </row>
    <row r="2788" spans="5:6">
      <c r="E2788" s="11"/>
      <c r="F2788" s="16"/>
    </row>
    <row r="2789" spans="5:6">
      <c r="E2789" s="11"/>
      <c r="F2789" s="16"/>
    </row>
    <row r="2790" spans="5:6">
      <c r="E2790" s="11"/>
      <c r="F2790" s="16"/>
    </row>
    <row r="2791" spans="5:6">
      <c r="E2791" s="11"/>
      <c r="F2791" s="16"/>
    </row>
    <row r="2792" spans="5:6">
      <c r="E2792" s="11"/>
      <c r="F2792" s="16"/>
    </row>
    <row r="2793" spans="5:6">
      <c r="E2793" s="11"/>
      <c r="F2793" s="16"/>
    </row>
    <row r="2794" spans="5:6">
      <c r="E2794" s="11"/>
      <c r="F2794" s="16"/>
    </row>
    <row r="2795" spans="5:6">
      <c r="E2795" s="11"/>
      <c r="F2795" s="16"/>
    </row>
    <row r="2796" spans="5:6">
      <c r="E2796" s="11"/>
      <c r="F2796" s="16"/>
    </row>
    <row r="2797" spans="5:6">
      <c r="E2797" s="11"/>
      <c r="F2797" s="16"/>
    </row>
    <row r="2798" spans="5:6">
      <c r="E2798" s="11"/>
      <c r="F2798" s="16"/>
    </row>
    <row r="2799" spans="5:6">
      <c r="E2799" s="11"/>
      <c r="F2799" s="16"/>
    </row>
    <row r="2800" spans="5:6">
      <c r="E2800" s="11"/>
      <c r="F2800" s="16"/>
    </row>
    <row r="2801" spans="5:6">
      <c r="E2801" s="11"/>
      <c r="F2801" s="16"/>
    </row>
    <row r="2802" spans="5:6">
      <c r="E2802" s="11"/>
      <c r="F2802" s="16"/>
    </row>
    <row r="2803" spans="5:6">
      <c r="E2803" s="11"/>
      <c r="F2803" s="16"/>
    </row>
    <row r="2804" spans="5:6">
      <c r="E2804" s="11"/>
      <c r="F2804" s="16"/>
    </row>
    <row r="2805" spans="5:6">
      <c r="E2805" s="11"/>
      <c r="F2805" s="16"/>
    </row>
    <row r="2806" spans="5:6">
      <c r="E2806" s="11"/>
      <c r="F2806" s="16"/>
    </row>
    <row r="2807" spans="5:6">
      <c r="E2807" s="11"/>
      <c r="F2807" s="16"/>
    </row>
    <row r="2808" spans="5:6">
      <c r="E2808" s="11"/>
      <c r="F2808" s="16"/>
    </row>
    <row r="2809" spans="5:6">
      <c r="E2809" s="11"/>
      <c r="F2809" s="16"/>
    </row>
    <row r="2810" spans="5:6">
      <c r="E2810" s="11"/>
      <c r="F2810" s="16"/>
    </row>
    <row r="2811" spans="5:6">
      <c r="E2811" s="11"/>
      <c r="F2811" s="16"/>
    </row>
    <row r="2812" spans="5:6">
      <c r="E2812" s="11"/>
      <c r="F2812" s="16"/>
    </row>
    <row r="2813" spans="5:6">
      <c r="E2813" s="11"/>
      <c r="F2813" s="16"/>
    </row>
    <row r="2814" spans="5:6">
      <c r="E2814" s="11"/>
      <c r="F2814" s="16"/>
    </row>
    <row r="2815" spans="5:6">
      <c r="E2815" s="11"/>
      <c r="F2815" s="16"/>
    </row>
    <row r="2816" spans="5:6">
      <c r="E2816" s="11"/>
      <c r="F2816" s="16"/>
    </row>
    <row r="2817" spans="5:6">
      <c r="E2817" s="11"/>
      <c r="F2817" s="16"/>
    </row>
    <row r="2818" spans="5:6">
      <c r="E2818" s="11"/>
      <c r="F2818" s="16"/>
    </row>
    <row r="2819" spans="5:6">
      <c r="E2819" s="11"/>
      <c r="F2819" s="16"/>
    </row>
    <row r="2820" spans="5:6">
      <c r="E2820" s="11"/>
      <c r="F2820" s="16"/>
    </row>
    <row r="2821" spans="5:6">
      <c r="E2821" s="11"/>
      <c r="F2821" s="16"/>
    </row>
    <row r="2822" spans="5:6">
      <c r="E2822" s="11"/>
      <c r="F2822" s="16"/>
    </row>
    <row r="2823" spans="5:6">
      <c r="E2823" s="11"/>
      <c r="F2823" s="16"/>
    </row>
    <row r="2824" spans="5:6">
      <c r="E2824" s="11"/>
      <c r="F2824" s="16"/>
    </row>
    <row r="2825" spans="5:6">
      <c r="E2825" s="11"/>
      <c r="F2825" s="16"/>
    </row>
    <row r="2826" spans="5:6">
      <c r="E2826" s="11"/>
      <c r="F2826" s="16"/>
    </row>
    <row r="2827" spans="5:6">
      <c r="E2827" s="11"/>
      <c r="F2827" s="16"/>
    </row>
    <row r="2828" spans="5:6">
      <c r="E2828" s="11"/>
      <c r="F2828" s="16"/>
    </row>
    <row r="2829" spans="5:6">
      <c r="E2829" s="11"/>
      <c r="F2829" s="16"/>
    </row>
    <row r="2830" spans="5:6">
      <c r="E2830" s="11"/>
      <c r="F2830" s="16"/>
    </row>
    <row r="2831" spans="5:6">
      <c r="E2831" s="11"/>
      <c r="F2831" s="16"/>
    </row>
    <row r="2832" spans="5:6">
      <c r="E2832" s="11"/>
      <c r="F2832" s="16"/>
    </row>
    <row r="2833" spans="5:6">
      <c r="E2833" s="11"/>
      <c r="F2833" s="16"/>
    </row>
    <row r="2834" spans="5:6">
      <c r="E2834" s="11"/>
      <c r="F2834" s="16"/>
    </row>
    <row r="2835" spans="5:6">
      <c r="E2835" s="11"/>
      <c r="F2835" s="16"/>
    </row>
    <row r="2836" spans="5:6">
      <c r="E2836" s="11"/>
      <c r="F2836" s="16"/>
    </row>
    <row r="2837" spans="5:6">
      <c r="E2837" s="11"/>
      <c r="F2837" s="16"/>
    </row>
    <row r="2838" spans="5:6">
      <c r="E2838" s="11"/>
      <c r="F2838" s="16"/>
    </row>
    <row r="2839" spans="5:6">
      <c r="E2839" s="11"/>
      <c r="F2839" s="16"/>
    </row>
    <row r="2840" spans="5:6">
      <c r="E2840" s="11"/>
      <c r="F2840" s="16"/>
    </row>
    <row r="2841" spans="5:6">
      <c r="E2841" s="11"/>
      <c r="F2841" s="16"/>
    </row>
    <row r="2842" spans="5:6">
      <c r="E2842" s="11"/>
      <c r="F2842" s="16"/>
    </row>
    <row r="2843" spans="5:6">
      <c r="E2843" s="11"/>
      <c r="F2843" s="16"/>
    </row>
    <row r="2844" spans="5:6">
      <c r="E2844" s="11"/>
      <c r="F2844" s="16"/>
    </row>
    <row r="2845" spans="5:6">
      <c r="E2845" s="11"/>
      <c r="F2845" s="16"/>
    </row>
    <row r="2846" spans="5:6">
      <c r="E2846" s="11"/>
      <c r="F2846" s="16"/>
    </row>
    <row r="2847" spans="5:6">
      <c r="E2847" s="11"/>
      <c r="F2847" s="16"/>
    </row>
    <row r="2848" spans="5:6">
      <c r="E2848" s="11"/>
      <c r="F2848" s="16"/>
    </row>
    <row r="2849" spans="5:6">
      <c r="E2849" s="11"/>
      <c r="F2849" s="16"/>
    </row>
    <row r="2850" spans="5:6">
      <c r="E2850" s="11"/>
      <c r="F2850" s="16"/>
    </row>
    <row r="2851" spans="5:6">
      <c r="E2851" s="11"/>
      <c r="F2851" s="16"/>
    </row>
    <row r="2852" spans="5:6">
      <c r="E2852" s="11"/>
      <c r="F2852" s="16"/>
    </row>
    <row r="2853" spans="5:6">
      <c r="E2853" s="11"/>
      <c r="F2853" s="16"/>
    </row>
    <row r="2854" spans="5:6">
      <c r="E2854" s="11"/>
      <c r="F2854" s="16"/>
    </row>
    <row r="2855" spans="5:6">
      <c r="E2855" s="11"/>
      <c r="F2855" s="16"/>
    </row>
    <row r="2856" spans="5:6">
      <c r="E2856" s="11"/>
      <c r="F2856" s="16"/>
    </row>
    <row r="2857" spans="5:6">
      <c r="E2857" s="11"/>
      <c r="F2857" s="16"/>
    </row>
    <row r="2858" spans="5:6">
      <c r="E2858" s="11"/>
      <c r="F2858" s="16"/>
    </row>
    <row r="2859" spans="5:6">
      <c r="E2859" s="11"/>
      <c r="F2859" s="16"/>
    </row>
    <row r="2860" spans="5:6">
      <c r="E2860" s="11"/>
      <c r="F2860" s="16"/>
    </row>
    <row r="2861" spans="5:6">
      <c r="E2861" s="11"/>
      <c r="F2861" s="16"/>
    </row>
    <row r="2862" spans="5:6">
      <c r="E2862" s="11"/>
      <c r="F2862" s="16"/>
    </row>
    <row r="2863" spans="5:6">
      <c r="E2863" s="11"/>
      <c r="F2863" s="16"/>
    </row>
    <row r="2864" spans="5:6">
      <c r="E2864" s="11"/>
      <c r="F2864" s="16"/>
    </row>
    <row r="2865" spans="5:6">
      <c r="E2865" s="11"/>
      <c r="F2865" s="16"/>
    </row>
    <row r="2866" spans="5:6">
      <c r="E2866" s="11"/>
      <c r="F2866" s="16"/>
    </row>
    <row r="2867" spans="5:6">
      <c r="E2867" s="11"/>
      <c r="F2867" s="16"/>
    </row>
    <row r="2868" spans="5:6">
      <c r="E2868" s="11"/>
      <c r="F2868" s="16"/>
    </row>
    <row r="2869" spans="5:6">
      <c r="E2869" s="11"/>
      <c r="F2869" s="16"/>
    </row>
    <row r="2870" spans="5:6">
      <c r="E2870" s="11"/>
      <c r="F2870" s="16"/>
    </row>
    <row r="2871" spans="5:6">
      <c r="E2871" s="11"/>
      <c r="F2871" s="16"/>
    </row>
    <row r="2872" spans="5:6">
      <c r="E2872" s="11"/>
      <c r="F2872" s="16"/>
    </row>
    <row r="2873" spans="5:6">
      <c r="E2873" s="11"/>
      <c r="F2873" s="16"/>
    </row>
    <row r="2874" spans="5:6">
      <c r="E2874" s="11"/>
      <c r="F2874" s="16"/>
    </row>
    <row r="2875" spans="5:6">
      <c r="E2875" s="11"/>
      <c r="F2875" s="16"/>
    </row>
    <row r="2876" spans="5:6">
      <c r="E2876" s="11"/>
      <c r="F2876" s="16"/>
    </row>
    <row r="2877" spans="5:6">
      <c r="E2877" s="11"/>
      <c r="F2877" s="16"/>
    </row>
    <row r="2878" spans="5:6">
      <c r="E2878" s="11"/>
      <c r="F2878" s="16"/>
    </row>
    <row r="2879" spans="5:6">
      <c r="E2879" s="11"/>
      <c r="F2879" s="16"/>
    </row>
    <row r="2880" spans="5:6">
      <c r="E2880" s="11"/>
      <c r="F2880" s="16"/>
    </row>
    <row r="2881" spans="5:6">
      <c r="E2881" s="11"/>
      <c r="F2881" s="16"/>
    </row>
    <row r="2882" spans="5:6">
      <c r="E2882" s="11"/>
      <c r="F2882" s="16"/>
    </row>
    <row r="2883" spans="5:6">
      <c r="E2883" s="11"/>
      <c r="F2883" s="16"/>
    </row>
    <row r="2884" spans="5:6">
      <c r="E2884" s="11"/>
      <c r="F2884" s="16"/>
    </row>
    <row r="2885" spans="5:6">
      <c r="E2885" s="11"/>
      <c r="F2885" s="16"/>
    </row>
    <row r="2886" spans="5:6">
      <c r="E2886" s="11"/>
      <c r="F2886" s="16"/>
    </row>
    <row r="2887" spans="5:6">
      <c r="E2887" s="11"/>
      <c r="F2887" s="16"/>
    </row>
    <row r="2888" spans="5:6">
      <c r="E2888" s="11"/>
      <c r="F2888" s="16"/>
    </row>
    <row r="2889" spans="5:6">
      <c r="E2889" s="11"/>
      <c r="F2889" s="16"/>
    </row>
    <row r="2890" spans="5:6">
      <c r="E2890" s="11"/>
      <c r="F2890" s="16"/>
    </row>
    <row r="2891" spans="5:6">
      <c r="E2891" s="11"/>
      <c r="F2891" s="16"/>
    </row>
    <row r="2892" spans="5:6">
      <c r="E2892" s="11"/>
      <c r="F2892" s="16"/>
    </row>
    <row r="2893" spans="5:6">
      <c r="E2893" s="11"/>
      <c r="F2893" s="16"/>
    </row>
    <row r="2894" spans="5:6">
      <c r="E2894" s="11"/>
      <c r="F2894" s="16"/>
    </row>
    <row r="2895" spans="5:6">
      <c r="E2895" s="11"/>
      <c r="F2895" s="16"/>
    </row>
    <row r="2896" spans="5:6">
      <c r="E2896" s="11"/>
      <c r="F2896" s="16"/>
    </row>
    <row r="2897" spans="5:6">
      <c r="E2897" s="11"/>
      <c r="F2897" s="16"/>
    </row>
    <row r="2898" spans="5:6">
      <c r="E2898" s="11"/>
      <c r="F2898" s="16"/>
    </row>
    <row r="2899" spans="5:6">
      <c r="E2899" s="11"/>
      <c r="F2899" s="16"/>
    </row>
    <row r="2900" spans="5:6">
      <c r="E2900" s="11"/>
      <c r="F2900" s="16"/>
    </row>
    <row r="2901" spans="5:6">
      <c r="E2901" s="11"/>
      <c r="F2901" s="16"/>
    </row>
    <row r="2902" spans="5:6">
      <c r="E2902" s="11"/>
      <c r="F2902" s="16"/>
    </row>
    <row r="2903" spans="5:6">
      <c r="E2903" s="11"/>
      <c r="F2903" s="16"/>
    </row>
    <row r="2904" spans="5:6">
      <c r="E2904" s="11"/>
      <c r="F2904" s="16"/>
    </row>
    <row r="2905" spans="5:6">
      <c r="E2905" s="11"/>
      <c r="F2905" s="16"/>
    </row>
    <row r="2906" spans="5:6">
      <c r="E2906" s="11"/>
      <c r="F2906" s="16"/>
    </row>
    <row r="2907" spans="5:6">
      <c r="E2907" s="11"/>
      <c r="F2907" s="16"/>
    </row>
    <row r="2908" spans="5:6">
      <c r="E2908" s="11"/>
      <c r="F2908" s="16"/>
    </row>
    <row r="2909" spans="5:6">
      <c r="E2909" s="11"/>
      <c r="F2909" s="16"/>
    </row>
    <row r="2910" spans="5:6">
      <c r="E2910" s="11"/>
      <c r="F2910" s="16"/>
    </row>
    <row r="2911" spans="5:6">
      <c r="E2911" s="11"/>
      <c r="F2911" s="16"/>
    </row>
    <row r="2912" spans="5:6">
      <c r="E2912" s="11"/>
      <c r="F2912" s="16"/>
    </row>
    <row r="2913" spans="5:6">
      <c r="E2913" s="11"/>
      <c r="F2913" s="16"/>
    </row>
    <row r="2914" spans="5:6">
      <c r="E2914" s="11"/>
      <c r="F2914" s="16"/>
    </row>
    <row r="2915" spans="5:6">
      <c r="E2915" s="11"/>
      <c r="F2915" s="16"/>
    </row>
    <row r="2916" spans="5:6">
      <c r="E2916" s="11"/>
      <c r="F2916" s="16"/>
    </row>
    <row r="2917" spans="5:6">
      <c r="E2917" s="11"/>
      <c r="F2917" s="16"/>
    </row>
    <row r="2918" spans="5:6">
      <c r="E2918" s="11"/>
      <c r="F2918" s="16"/>
    </row>
    <row r="2919" spans="5:6">
      <c r="E2919" s="11"/>
      <c r="F2919" s="16"/>
    </row>
    <row r="2920" spans="5:6">
      <c r="E2920" s="11"/>
      <c r="F2920" s="16"/>
    </row>
    <row r="2921" spans="5:6">
      <c r="E2921" s="11"/>
      <c r="F2921" s="16"/>
    </row>
    <row r="2922" spans="5:6">
      <c r="E2922" s="11"/>
      <c r="F2922" s="16"/>
    </row>
    <row r="2923" spans="5:6">
      <c r="E2923" s="11"/>
      <c r="F2923" s="16"/>
    </row>
    <row r="2924" spans="5:6">
      <c r="E2924" s="11"/>
      <c r="F2924" s="16"/>
    </row>
    <row r="2925" spans="5:6">
      <c r="E2925" s="11"/>
      <c r="F2925" s="16"/>
    </row>
    <row r="2926" spans="5:6">
      <c r="E2926" s="11"/>
      <c r="F2926" s="16"/>
    </row>
    <row r="2927" spans="5:6">
      <c r="E2927" s="11"/>
      <c r="F2927" s="16"/>
    </row>
    <row r="2928" spans="5:6">
      <c r="E2928" s="11"/>
      <c r="F2928" s="16"/>
    </row>
    <row r="2929" spans="5:6">
      <c r="E2929" s="11"/>
      <c r="F2929" s="16"/>
    </row>
    <row r="2930" spans="5:6">
      <c r="E2930" s="11"/>
      <c r="F2930" s="16"/>
    </row>
    <row r="2931" spans="5:6">
      <c r="E2931" s="11"/>
      <c r="F2931" s="16"/>
    </row>
    <row r="2932" spans="5:6">
      <c r="E2932" s="11"/>
      <c r="F2932" s="16"/>
    </row>
    <row r="2933" spans="5:6">
      <c r="E2933" s="11"/>
      <c r="F2933" s="16"/>
    </row>
    <row r="2934" spans="5:6">
      <c r="E2934" s="11"/>
      <c r="F2934" s="16"/>
    </row>
    <row r="2935" spans="5:6">
      <c r="E2935" s="11"/>
      <c r="F2935" s="16"/>
    </row>
    <row r="2936" spans="5:6">
      <c r="E2936" s="11"/>
      <c r="F2936" s="16"/>
    </row>
    <row r="2937" spans="5:6">
      <c r="E2937" s="11"/>
      <c r="F2937" s="16"/>
    </row>
    <row r="2938" spans="5:6">
      <c r="E2938" s="11"/>
      <c r="F2938" s="16"/>
    </row>
    <row r="2939" spans="5:6">
      <c r="E2939" s="11"/>
      <c r="F2939" s="16"/>
    </row>
    <row r="2940" spans="5:6">
      <c r="E2940" s="11"/>
      <c r="F2940" s="16"/>
    </row>
    <row r="2941" spans="5:6">
      <c r="E2941" s="11"/>
      <c r="F2941" s="16"/>
    </row>
    <row r="2942" spans="5:6">
      <c r="E2942" s="11"/>
      <c r="F2942" s="16"/>
    </row>
    <row r="2943" spans="5:6">
      <c r="E2943" s="11"/>
      <c r="F2943" s="16"/>
    </row>
    <row r="2944" spans="5:6">
      <c r="E2944" s="11"/>
      <c r="F2944" s="16"/>
    </row>
    <row r="2945" spans="5:6">
      <c r="E2945" s="11"/>
      <c r="F2945" s="16"/>
    </row>
    <row r="2946" spans="5:6">
      <c r="E2946" s="11"/>
      <c r="F2946" s="16"/>
    </row>
    <row r="2947" spans="5:6">
      <c r="E2947" s="11"/>
      <c r="F2947" s="16"/>
    </row>
    <row r="2948" spans="5:6">
      <c r="E2948" s="11"/>
      <c r="F2948" s="16"/>
    </row>
    <row r="2949" spans="5:6">
      <c r="E2949" s="11"/>
      <c r="F2949" s="16"/>
    </row>
    <row r="2950" spans="5:6">
      <c r="E2950" s="11"/>
      <c r="F2950" s="16"/>
    </row>
    <row r="2951" spans="5:6">
      <c r="E2951" s="11"/>
      <c r="F2951" s="16"/>
    </row>
    <row r="2952" spans="5:6">
      <c r="E2952" s="11"/>
      <c r="F2952" s="16"/>
    </row>
    <row r="2953" spans="5:6">
      <c r="E2953" s="11"/>
      <c r="F2953" s="16"/>
    </row>
    <row r="2954" spans="5:6">
      <c r="E2954" s="11"/>
      <c r="F2954" s="16"/>
    </row>
    <row r="2955" spans="5:6">
      <c r="E2955" s="11"/>
      <c r="F2955" s="16"/>
    </row>
    <row r="2956" spans="5:6">
      <c r="E2956" s="11"/>
      <c r="F2956" s="16"/>
    </row>
    <row r="2957" spans="5:6">
      <c r="E2957" s="11"/>
      <c r="F2957" s="16"/>
    </row>
    <row r="2958" spans="5:6">
      <c r="E2958" s="11"/>
      <c r="F2958" s="16"/>
    </row>
    <row r="2959" spans="5:6">
      <c r="E2959" s="11"/>
      <c r="F2959" s="16"/>
    </row>
    <row r="2960" spans="5:6">
      <c r="E2960" s="11"/>
      <c r="F2960" s="16"/>
    </row>
    <row r="2961" spans="5:6">
      <c r="E2961" s="11"/>
      <c r="F2961" s="16"/>
    </row>
    <row r="2962" spans="5:6">
      <c r="E2962" s="11"/>
      <c r="F2962" s="16"/>
    </row>
    <row r="2963" spans="5:6">
      <c r="E2963" s="11"/>
      <c r="F2963" s="16"/>
    </row>
    <row r="2964" spans="5:6">
      <c r="E2964" s="11"/>
      <c r="F2964" s="16"/>
    </row>
    <row r="2965" spans="5:6">
      <c r="E2965" s="11"/>
      <c r="F2965" s="16"/>
    </row>
    <row r="2966" spans="5:6">
      <c r="E2966" s="11"/>
      <c r="F2966" s="16"/>
    </row>
    <row r="2967" spans="5:6">
      <c r="E2967" s="11"/>
      <c r="F2967" s="16"/>
    </row>
    <row r="2968" spans="5:6">
      <c r="E2968" s="11"/>
      <c r="F2968" s="16"/>
    </row>
    <row r="2969" spans="5:6">
      <c r="E2969" s="11"/>
      <c r="F2969" s="16"/>
    </row>
    <row r="2970" spans="5:6">
      <c r="E2970" s="11"/>
      <c r="F2970" s="16"/>
    </row>
    <row r="2971" spans="5:6">
      <c r="E2971" s="11"/>
      <c r="F2971" s="16"/>
    </row>
    <row r="2972" spans="5:6">
      <c r="E2972" s="11"/>
      <c r="F2972" s="16"/>
    </row>
    <row r="2973" spans="5:6">
      <c r="E2973" s="11"/>
      <c r="F2973" s="16"/>
    </row>
    <row r="2974" spans="5:6">
      <c r="E2974" s="11"/>
      <c r="F2974" s="16"/>
    </row>
    <row r="2975" spans="5:6">
      <c r="E2975" s="11"/>
      <c r="F2975" s="16"/>
    </row>
    <row r="2976" spans="5:6">
      <c r="E2976" s="11"/>
      <c r="F2976" s="16"/>
    </row>
    <row r="2977" spans="5:6">
      <c r="E2977" s="11"/>
      <c r="F2977" s="16"/>
    </row>
    <row r="2978" spans="5:6">
      <c r="E2978" s="11"/>
      <c r="F2978" s="16"/>
    </row>
    <row r="2979" spans="5:6">
      <c r="E2979" s="11"/>
      <c r="F2979" s="16"/>
    </row>
    <row r="2980" spans="5:6">
      <c r="E2980" s="11"/>
      <c r="F2980" s="16"/>
    </row>
    <row r="2981" spans="5:6">
      <c r="E2981" s="11"/>
      <c r="F2981" s="16"/>
    </row>
    <row r="2982" spans="5:6">
      <c r="E2982" s="11"/>
      <c r="F2982" s="16"/>
    </row>
    <row r="2983" spans="5:6">
      <c r="E2983" s="11"/>
      <c r="F2983" s="16"/>
    </row>
    <row r="2984" spans="5:6">
      <c r="E2984" s="11"/>
      <c r="F2984" s="16"/>
    </row>
    <row r="2985" spans="5:6">
      <c r="E2985" s="11"/>
      <c r="F2985" s="16"/>
    </row>
    <row r="2986" spans="5:6">
      <c r="E2986" s="11"/>
      <c r="F2986" s="16"/>
    </row>
    <row r="2987" spans="5:6">
      <c r="E2987" s="11"/>
      <c r="F2987" s="16"/>
    </row>
    <row r="2988" spans="5:6">
      <c r="E2988" s="11"/>
      <c r="F2988" s="16"/>
    </row>
    <row r="2989" spans="5:6">
      <c r="E2989" s="11"/>
      <c r="F2989" s="16"/>
    </row>
    <row r="2990" spans="5:6">
      <c r="E2990" s="11"/>
      <c r="F2990" s="16"/>
    </row>
    <row r="2991" spans="5:6">
      <c r="E2991" s="11"/>
      <c r="F2991" s="16"/>
    </row>
    <row r="2992" spans="5:6">
      <c r="E2992" s="11"/>
      <c r="F2992" s="16"/>
    </row>
    <row r="2993" spans="5:6">
      <c r="E2993" s="11"/>
      <c r="F2993" s="16"/>
    </row>
    <row r="2994" spans="5:6">
      <c r="E2994" s="11"/>
      <c r="F2994" s="16"/>
    </row>
    <row r="2995" spans="5:6">
      <c r="E2995" s="11"/>
      <c r="F2995" s="16"/>
    </row>
    <row r="2996" spans="5:6">
      <c r="E2996" s="11"/>
      <c r="F2996" s="16"/>
    </row>
    <row r="2997" spans="5:6">
      <c r="E2997" s="11"/>
      <c r="F2997" s="16"/>
    </row>
    <row r="2998" spans="5:6">
      <c r="E2998" s="11"/>
      <c r="F2998" s="16"/>
    </row>
    <row r="2999" spans="5:6">
      <c r="E2999" s="11"/>
      <c r="F2999" s="16"/>
    </row>
    <row r="3000" spans="5:6">
      <c r="E3000" s="11"/>
      <c r="F3000" s="16"/>
    </row>
    <row r="3001" spans="5:6">
      <c r="E3001" s="11"/>
      <c r="F3001" s="16"/>
    </row>
    <row r="3002" spans="5:6">
      <c r="E3002" s="11"/>
      <c r="F3002" s="16"/>
    </row>
    <row r="3003" spans="5:6">
      <c r="E3003" s="11"/>
      <c r="F3003" s="16"/>
    </row>
    <row r="3004" spans="5:6">
      <c r="E3004" s="11"/>
      <c r="F3004" s="16"/>
    </row>
    <row r="3005" spans="5:6">
      <c r="E3005" s="11"/>
      <c r="F3005" s="16"/>
    </row>
    <row r="3006" spans="5:6">
      <c r="E3006" s="11"/>
      <c r="F3006" s="16"/>
    </row>
    <row r="3007" spans="5:6">
      <c r="E3007" s="11"/>
      <c r="F3007" s="16"/>
    </row>
    <row r="3008" spans="5:6">
      <c r="E3008" s="11"/>
      <c r="F3008" s="16"/>
    </row>
    <row r="3009" spans="5:6">
      <c r="E3009" s="11"/>
      <c r="F3009" s="16"/>
    </row>
    <row r="3010" spans="5:6">
      <c r="E3010" s="11"/>
      <c r="F3010" s="16"/>
    </row>
    <row r="3011" spans="5:6">
      <c r="E3011" s="11"/>
      <c r="F3011" s="16"/>
    </row>
    <row r="3012" spans="5:6">
      <c r="E3012" s="11"/>
      <c r="F3012" s="16"/>
    </row>
    <row r="3013" spans="5:6">
      <c r="E3013" s="11"/>
      <c r="F3013" s="16"/>
    </row>
    <row r="3014" spans="5:6">
      <c r="E3014" s="11"/>
      <c r="F3014" s="16"/>
    </row>
    <row r="3015" spans="5:6">
      <c r="E3015" s="11"/>
      <c r="F3015" s="16"/>
    </row>
    <row r="3016" spans="5:6">
      <c r="E3016" s="11"/>
      <c r="F3016" s="16"/>
    </row>
    <row r="3017" spans="5:6">
      <c r="E3017" s="11"/>
      <c r="F3017" s="16"/>
    </row>
    <row r="3018" spans="5:6">
      <c r="E3018" s="11"/>
      <c r="F3018" s="16"/>
    </row>
    <row r="3019" spans="5:6">
      <c r="E3019" s="11"/>
      <c r="F3019" s="16"/>
    </row>
    <row r="3020" spans="5:6">
      <c r="E3020" s="11"/>
      <c r="F3020" s="16"/>
    </row>
    <row r="3021" spans="5:6">
      <c r="E3021" s="11"/>
      <c r="F3021" s="16"/>
    </row>
    <row r="3022" spans="5:6">
      <c r="E3022" s="11"/>
      <c r="F3022" s="16"/>
    </row>
    <row r="3023" spans="5:6">
      <c r="E3023" s="11"/>
      <c r="F3023" s="16"/>
    </row>
    <row r="3024" spans="5:6">
      <c r="E3024" s="11"/>
      <c r="F3024" s="16"/>
    </row>
    <row r="3025" spans="5:6">
      <c r="E3025" s="11"/>
      <c r="F3025" s="16"/>
    </row>
    <row r="3026" spans="5:6">
      <c r="E3026" s="11"/>
      <c r="F3026" s="16"/>
    </row>
    <row r="3027" spans="5:6">
      <c r="E3027" s="11"/>
      <c r="F3027" s="16"/>
    </row>
    <row r="3028" spans="5:6">
      <c r="E3028" s="11"/>
      <c r="F3028" s="16"/>
    </row>
    <row r="3029" spans="5:6">
      <c r="E3029" s="11"/>
      <c r="F3029" s="16"/>
    </row>
    <row r="3030" spans="5:6">
      <c r="E3030" s="11"/>
      <c r="F3030" s="16"/>
    </row>
    <row r="3031" spans="5:6">
      <c r="E3031" s="11"/>
      <c r="F3031" s="16"/>
    </row>
    <row r="3032" spans="5:6">
      <c r="E3032" s="11"/>
      <c r="F3032" s="16"/>
    </row>
    <row r="3033" spans="5:6">
      <c r="E3033" s="11"/>
      <c r="F3033" s="16"/>
    </row>
    <row r="3034" spans="5:6">
      <c r="E3034" s="11"/>
      <c r="F3034" s="16"/>
    </row>
    <row r="3035" spans="5:6">
      <c r="E3035" s="11"/>
      <c r="F3035" s="16"/>
    </row>
    <row r="3036" spans="5:6">
      <c r="E3036" s="11"/>
      <c r="F3036" s="16"/>
    </row>
    <row r="3037" spans="5:6">
      <c r="E3037" s="11"/>
      <c r="F3037" s="16"/>
    </row>
    <row r="3038" spans="5:6">
      <c r="E3038" s="11"/>
      <c r="F3038" s="16"/>
    </row>
    <row r="3039" spans="5:6">
      <c r="E3039" s="11"/>
      <c r="F3039" s="16"/>
    </row>
    <row r="3040" spans="5:6">
      <c r="E3040" s="11"/>
      <c r="F3040" s="16"/>
    </row>
    <row r="3041" spans="5:6">
      <c r="E3041" s="11"/>
      <c r="F3041" s="16"/>
    </row>
    <row r="3042" spans="5:6">
      <c r="E3042" s="11"/>
      <c r="F3042" s="16"/>
    </row>
    <row r="3043" spans="5:6">
      <c r="E3043" s="11"/>
      <c r="F3043" s="16"/>
    </row>
    <row r="3044" spans="5:6">
      <c r="E3044" s="11"/>
      <c r="F3044" s="16"/>
    </row>
    <row r="3045" spans="5:6">
      <c r="E3045" s="11"/>
      <c r="F3045" s="16"/>
    </row>
    <row r="3046" spans="5:6">
      <c r="E3046" s="11"/>
      <c r="F3046" s="16"/>
    </row>
    <row r="3047" spans="5:6">
      <c r="E3047" s="11"/>
      <c r="F3047" s="16"/>
    </row>
    <row r="3048" spans="5:6">
      <c r="E3048" s="11"/>
      <c r="F3048" s="16"/>
    </row>
    <row r="3049" spans="5:6">
      <c r="E3049" s="11"/>
      <c r="F3049" s="16"/>
    </row>
    <row r="3050" spans="5:6">
      <c r="E3050" s="11"/>
      <c r="F3050" s="16"/>
    </row>
    <row r="3051" spans="5:6">
      <c r="E3051" s="11"/>
      <c r="F3051" s="16"/>
    </row>
    <row r="3052" spans="5:6">
      <c r="E3052" s="11"/>
      <c r="F3052" s="16"/>
    </row>
    <row r="3053" spans="5:6">
      <c r="E3053" s="11"/>
      <c r="F3053" s="16"/>
    </row>
    <row r="3054" spans="5:6">
      <c r="E3054" s="11"/>
      <c r="F3054" s="16"/>
    </row>
    <row r="3055" spans="5:6">
      <c r="E3055" s="11"/>
      <c r="F3055" s="16"/>
    </row>
    <row r="3056" spans="5:6">
      <c r="E3056" s="11"/>
      <c r="F3056" s="16"/>
    </row>
    <row r="3057" spans="5:6">
      <c r="E3057" s="11"/>
      <c r="F3057" s="16"/>
    </row>
    <row r="3058" spans="5:6">
      <c r="E3058" s="11"/>
      <c r="F3058" s="16"/>
    </row>
    <row r="3059" spans="5:6">
      <c r="E3059" s="11"/>
      <c r="F3059" s="16"/>
    </row>
    <row r="3060" spans="5:6">
      <c r="E3060" s="11"/>
      <c r="F3060" s="16"/>
    </row>
    <row r="3061" spans="5:6">
      <c r="E3061" s="11"/>
      <c r="F3061" s="16"/>
    </row>
    <row r="3062" spans="5:6">
      <c r="E3062" s="11"/>
      <c r="F3062" s="16"/>
    </row>
    <row r="3063" spans="5:6">
      <c r="E3063" s="11"/>
      <c r="F3063" s="16"/>
    </row>
    <row r="3064" spans="5:6">
      <c r="E3064" s="11"/>
      <c r="F3064" s="16"/>
    </row>
    <row r="3065" spans="5:6">
      <c r="E3065" s="11"/>
      <c r="F3065" s="16"/>
    </row>
    <row r="3066" spans="5:6">
      <c r="E3066" s="11"/>
      <c r="F3066" s="16"/>
    </row>
    <row r="3067" spans="5:6">
      <c r="E3067" s="11"/>
      <c r="F3067" s="16"/>
    </row>
    <row r="3068" spans="5:6">
      <c r="E3068" s="11"/>
      <c r="F3068" s="16"/>
    </row>
    <row r="3069" spans="5:6">
      <c r="E3069" s="11"/>
      <c r="F3069" s="16"/>
    </row>
    <row r="3070" spans="5:6">
      <c r="E3070" s="11"/>
      <c r="F3070" s="16"/>
    </row>
    <row r="3071" spans="5:6">
      <c r="E3071" s="11"/>
      <c r="F3071" s="16"/>
    </row>
    <row r="3072" spans="5:6">
      <c r="E3072" s="11"/>
      <c r="F3072" s="16"/>
    </row>
    <row r="3073" spans="5:6">
      <c r="E3073" s="11"/>
      <c r="F3073" s="16"/>
    </row>
    <row r="3074" spans="5:6">
      <c r="E3074" s="11"/>
      <c r="F3074" s="16"/>
    </row>
    <row r="3075" spans="5:6">
      <c r="E3075" s="11"/>
      <c r="F3075" s="16"/>
    </row>
    <row r="3076" spans="5:6">
      <c r="E3076" s="11"/>
      <c r="F3076" s="16"/>
    </row>
    <row r="3077" spans="5:6">
      <c r="E3077" s="11"/>
      <c r="F3077" s="16"/>
    </row>
    <row r="3078" spans="5:6">
      <c r="E3078" s="11"/>
      <c r="F3078" s="16"/>
    </row>
    <row r="3079" spans="5:6">
      <c r="E3079" s="11"/>
      <c r="F3079" s="16"/>
    </row>
    <row r="3080" spans="5:6">
      <c r="E3080" s="11"/>
      <c r="F3080" s="16"/>
    </row>
    <row r="3081" spans="5:6">
      <c r="E3081" s="11"/>
      <c r="F3081" s="16"/>
    </row>
    <row r="3082" spans="5:6">
      <c r="E3082" s="11"/>
      <c r="F3082" s="16"/>
    </row>
    <row r="3083" spans="5:6">
      <c r="E3083" s="11"/>
      <c r="F3083" s="16"/>
    </row>
    <row r="3084" spans="5:6">
      <c r="E3084" s="11"/>
      <c r="F3084" s="16"/>
    </row>
    <row r="3085" spans="5:6">
      <c r="E3085" s="11"/>
      <c r="F3085" s="16"/>
    </row>
    <row r="3086" spans="5:6">
      <c r="E3086" s="11"/>
      <c r="F3086" s="16"/>
    </row>
    <row r="3087" spans="5:6">
      <c r="E3087" s="11"/>
      <c r="F3087" s="16"/>
    </row>
    <row r="3088" spans="5:6">
      <c r="E3088" s="11"/>
      <c r="F3088" s="16"/>
    </row>
    <row r="3089" spans="5:6">
      <c r="E3089" s="11"/>
      <c r="F3089" s="16"/>
    </row>
    <row r="3090" spans="5:6">
      <c r="E3090" s="11"/>
      <c r="F3090" s="16"/>
    </row>
    <row r="3091" spans="5:6">
      <c r="E3091" s="11"/>
      <c r="F3091" s="16"/>
    </row>
    <row r="3092" spans="5:6">
      <c r="E3092" s="11"/>
      <c r="F3092" s="16"/>
    </row>
    <row r="3093" spans="5:6">
      <c r="E3093" s="11"/>
      <c r="F3093" s="16"/>
    </row>
    <row r="3094" spans="5:6">
      <c r="E3094" s="11"/>
      <c r="F3094" s="16"/>
    </row>
    <row r="3095" spans="5:6">
      <c r="E3095" s="11"/>
      <c r="F3095" s="16"/>
    </row>
    <row r="3096" spans="5:6">
      <c r="E3096" s="11"/>
      <c r="F3096" s="16"/>
    </row>
    <row r="3097" spans="5:6">
      <c r="E3097" s="11"/>
      <c r="F3097" s="16"/>
    </row>
    <row r="3098" spans="5:6">
      <c r="E3098" s="11"/>
      <c r="F3098" s="16"/>
    </row>
    <row r="3099" spans="5:6">
      <c r="E3099" s="11"/>
      <c r="F3099" s="16"/>
    </row>
    <row r="3100" spans="5:6">
      <c r="E3100" s="11"/>
      <c r="F3100" s="16"/>
    </row>
    <row r="3101" spans="5:6">
      <c r="E3101" s="11"/>
      <c r="F3101" s="16"/>
    </row>
    <row r="3102" spans="5:6">
      <c r="E3102" s="11"/>
      <c r="F3102" s="16"/>
    </row>
    <row r="3103" spans="5:6">
      <c r="E3103" s="11"/>
      <c r="F3103" s="16"/>
    </row>
    <row r="3104" spans="5:6">
      <c r="E3104" s="11"/>
      <c r="F3104" s="16"/>
    </row>
    <row r="3105" spans="5:6">
      <c r="E3105" s="11"/>
      <c r="F3105" s="16"/>
    </row>
    <row r="3106" spans="5:6">
      <c r="E3106" s="11"/>
      <c r="F3106" s="16"/>
    </row>
    <row r="3107" spans="5:6">
      <c r="E3107" s="11"/>
      <c r="F3107" s="16"/>
    </row>
    <row r="3108" spans="5:6">
      <c r="E3108" s="11"/>
      <c r="F3108" s="16"/>
    </row>
    <row r="3109" spans="5:6">
      <c r="E3109" s="11"/>
      <c r="F3109" s="16"/>
    </row>
    <row r="3110" spans="5:6">
      <c r="E3110" s="11"/>
      <c r="F3110" s="16"/>
    </row>
    <row r="3111" spans="5:6">
      <c r="E3111" s="11"/>
      <c r="F3111" s="16"/>
    </row>
    <row r="3112" spans="5:6">
      <c r="E3112" s="11"/>
      <c r="F3112" s="16"/>
    </row>
    <row r="3113" spans="5:6">
      <c r="E3113" s="11"/>
      <c r="F3113" s="16"/>
    </row>
    <row r="3114" spans="5:6">
      <c r="E3114" s="11"/>
      <c r="F3114" s="16"/>
    </row>
    <row r="3115" spans="5:6">
      <c r="E3115" s="11"/>
      <c r="F3115" s="16"/>
    </row>
    <row r="3116" spans="5:6">
      <c r="E3116" s="11"/>
      <c r="F3116" s="16"/>
    </row>
    <row r="3117" spans="5:6">
      <c r="E3117" s="11"/>
      <c r="F3117" s="16"/>
    </row>
    <row r="3118" spans="5:6">
      <c r="E3118" s="11"/>
      <c r="F3118" s="16"/>
    </row>
    <row r="3119" spans="5:6">
      <c r="E3119" s="11"/>
      <c r="F3119" s="16"/>
    </row>
    <row r="3120" spans="5:6">
      <c r="E3120" s="11"/>
      <c r="F3120" s="16"/>
    </row>
    <row r="3121" spans="5:6">
      <c r="E3121" s="11"/>
      <c r="F3121" s="16"/>
    </row>
    <row r="3122" spans="5:6">
      <c r="E3122" s="11"/>
      <c r="F3122" s="16"/>
    </row>
    <row r="3123" spans="5:6">
      <c r="E3123" s="11"/>
      <c r="F3123" s="16"/>
    </row>
    <row r="3124" spans="5:6">
      <c r="E3124" s="11"/>
      <c r="F3124" s="16"/>
    </row>
    <row r="3125" spans="5:6">
      <c r="E3125" s="11"/>
      <c r="F3125" s="16"/>
    </row>
    <row r="3126" spans="5:6">
      <c r="E3126" s="11"/>
      <c r="F3126" s="16"/>
    </row>
    <row r="3127" spans="5:6">
      <c r="E3127" s="11"/>
      <c r="F3127" s="16"/>
    </row>
    <row r="3128" spans="5:6">
      <c r="E3128" s="11"/>
      <c r="F3128" s="16"/>
    </row>
    <row r="3129" spans="5:6">
      <c r="E3129" s="11"/>
      <c r="F3129" s="16"/>
    </row>
    <row r="3130" spans="5:6">
      <c r="E3130" s="11"/>
      <c r="F3130" s="16"/>
    </row>
    <row r="3131" spans="5:6">
      <c r="E3131" s="11"/>
      <c r="F3131" s="16"/>
    </row>
    <row r="3132" spans="5:6">
      <c r="E3132" s="11"/>
      <c r="F3132" s="16"/>
    </row>
    <row r="3133" spans="5:6">
      <c r="E3133" s="11"/>
      <c r="F3133" s="16"/>
    </row>
    <row r="3134" spans="5:6">
      <c r="E3134" s="11"/>
      <c r="F3134" s="16"/>
    </row>
    <row r="3135" spans="5:6">
      <c r="E3135" s="11"/>
      <c r="F3135" s="16"/>
    </row>
    <row r="3136" spans="5:6">
      <c r="E3136" s="11"/>
      <c r="F3136" s="16"/>
    </row>
    <row r="3137" spans="5:6">
      <c r="E3137" s="11"/>
      <c r="F3137" s="16"/>
    </row>
    <row r="3138" spans="5:6">
      <c r="E3138" s="11"/>
      <c r="F3138" s="16"/>
    </row>
    <row r="3139" spans="5:6">
      <c r="E3139" s="11"/>
      <c r="F3139" s="16"/>
    </row>
    <row r="3140" spans="5:6">
      <c r="E3140" s="11"/>
      <c r="F3140" s="16"/>
    </row>
    <row r="3141" spans="5:6">
      <c r="E3141" s="11"/>
      <c r="F3141" s="16"/>
    </row>
    <row r="3142" spans="5:6">
      <c r="E3142" s="11"/>
      <c r="F3142" s="16"/>
    </row>
    <row r="3143" spans="5:6">
      <c r="E3143" s="11"/>
      <c r="F3143" s="16"/>
    </row>
    <row r="3144" spans="5:6">
      <c r="E3144" s="11"/>
      <c r="F3144" s="16"/>
    </row>
    <row r="3145" spans="5:6">
      <c r="E3145" s="11"/>
      <c r="F3145" s="16"/>
    </row>
    <row r="3146" spans="5:6">
      <c r="E3146" s="11"/>
      <c r="F3146" s="16"/>
    </row>
    <row r="3147" spans="5:6">
      <c r="E3147" s="11"/>
      <c r="F3147" s="16"/>
    </row>
    <row r="3148" spans="5:6">
      <c r="E3148" s="11"/>
      <c r="F3148" s="16"/>
    </row>
    <row r="3149" spans="5:6">
      <c r="E3149" s="11"/>
      <c r="F3149" s="16"/>
    </row>
    <row r="3150" spans="5:6">
      <c r="E3150" s="11"/>
      <c r="F3150" s="16"/>
    </row>
    <row r="3151" spans="5:6">
      <c r="E3151" s="11"/>
      <c r="F3151" s="16"/>
    </row>
    <row r="3152" spans="5:6">
      <c r="E3152" s="11"/>
      <c r="F3152" s="16"/>
    </row>
    <row r="3153" spans="5:6">
      <c r="E3153" s="11"/>
      <c r="F3153" s="16"/>
    </row>
    <row r="3154" spans="5:6">
      <c r="E3154" s="11"/>
      <c r="F3154" s="16"/>
    </row>
    <row r="3155" spans="5:6">
      <c r="E3155" s="11"/>
      <c r="F3155" s="16"/>
    </row>
    <row r="3156" spans="5:6">
      <c r="E3156" s="11"/>
      <c r="F3156" s="16"/>
    </row>
    <row r="3157" spans="5:6">
      <c r="E3157" s="11"/>
      <c r="F3157" s="16"/>
    </row>
    <row r="3158" spans="5:6">
      <c r="E3158" s="11"/>
      <c r="F3158" s="16"/>
    </row>
    <row r="3159" spans="5:6">
      <c r="E3159" s="11"/>
      <c r="F3159" s="16"/>
    </row>
    <row r="3160" spans="5:6">
      <c r="E3160" s="11"/>
      <c r="F3160" s="16"/>
    </row>
    <row r="3161" spans="5:6">
      <c r="E3161" s="11"/>
      <c r="F3161" s="16"/>
    </row>
    <row r="3162" spans="5:6">
      <c r="E3162" s="11"/>
      <c r="F3162" s="16"/>
    </row>
    <row r="3163" spans="5:6">
      <c r="E3163" s="11"/>
      <c r="F3163" s="16"/>
    </row>
    <row r="3164" spans="5:6">
      <c r="E3164" s="11"/>
      <c r="F3164" s="16"/>
    </row>
    <row r="3165" spans="5:6">
      <c r="E3165" s="11"/>
      <c r="F3165" s="16"/>
    </row>
    <row r="3166" spans="5:6">
      <c r="E3166" s="11"/>
      <c r="F3166" s="16"/>
    </row>
    <row r="3167" spans="5:6">
      <c r="E3167" s="11"/>
      <c r="F3167" s="16"/>
    </row>
    <row r="3168" spans="5:6">
      <c r="E3168" s="11"/>
      <c r="F3168" s="16"/>
    </row>
    <row r="3169" spans="5:6">
      <c r="E3169" s="11"/>
      <c r="F3169" s="16"/>
    </row>
    <row r="3170" spans="5:6">
      <c r="E3170" s="11"/>
      <c r="F3170" s="16"/>
    </row>
    <row r="3171" spans="5:6">
      <c r="E3171" s="11"/>
      <c r="F3171" s="16"/>
    </row>
    <row r="3172" spans="5:6">
      <c r="E3172" s="11"/>
      <c r="F3172" s="16"/>
    </row>
    <row r="3173" spans="5:6">
      <c r="E3173" s="11"/>
      <c r="F3173" s="16"/>
    </row>
    <row r="3174" spans="5:6">
      <c r="E3174" s="11"/>
      <c r="F3174" s="16"/>
    </row>
    <row r="3175" spans="5:6">
      <c r="E3175" s="11"/>
      <c r="F3175" s="16"/>
    </row>
    <row r="3176" spans="5:6">
      <c r="E3176" s="11"/>
      <c r="F3176" s="16"/>
    </row>
    <row r="3177" spans="5:6">
      <c r="E3177" s="11"/>
      <c r="F3177" s="16"/>
    </row>
    <row r="3178" spans="5:6">
      <c r="E3178" s="11"/>
      <c r="F3178" s="16"/>
    </row>
    <row r="3179" spans="5:6">
      <c r="E3179" s="11"/>
      <c r="F3179" s="16"/>
    </row>
    <row r="3180" spans="5:6">
      <c r="E3180" s="11"/>
      <c r="F3180" s="16"/>
    </row>
    <row r="3181" spans="5:6">
      <c r="E3181" s="11"/>
      <c r="F3181" s="16"/>
    </row>
    <row r="3182" spans="5:6">
      <c r="E3182" s="11"/>
      <c r="F3182" s="16"/>
    </row>
    <row r="3183" spans="5:6">
      <c r="E3183" s="11"/>
      <c r="F3183" s="16"/>
    </row>
    <row r="3184" spans="5:6">
      <c r="E3184" s="11"/>
      <c r="F3184" s="16"/>
    </row>
    <row r="3185" spans="5:6">
      <c r="E3185" s="11"/>
      <c r="F3185" s="16"/>
    </row>
    <row r="3186" spans="5:6">
      <c r="E3186" s="11"/>
      <c r="F3186" s="16"/>
    </row>
    <row r="3187" spans="5:6">
      <c r="E3187" s="11"/>
      <c r="F3187" s="16"/>
    </row>
    <row r="3188" spans="5:6">
      <c r="E3188" s="11"/>
      <c r="F3188" s="16"/>
    </row>
    <row r="3189" spans="5:6">
      <c r="E3189" s="11"/>
      <c r="F3189" s="16"/>
    </row>
    <row r="3190" spans="5:6">
      <c r="E3190" s="11"/>
      <c r="F3190" s="16"/>
    </row>
    <row r="3191" spans="5:6">
      <c r="E3191" s="11"/>
      <c r="F3191" s="16"/>
    </row>
    <row r="3192" spans="5:6">
      <c r="E3192" s="11"/>
      <c r="F3192" s="16"/>
    </row>
    <row r="3193" spans="5:6">
      <c r="E3193" s="11"/>
      <c r="F3193" s="16"/>
    </row>
    <row r="3194" spans="5:6">
      <c r="E3194" s="11"/>
      <c r="F3194" s="16"/>
    </row>
    <row r="3195" spans="5:6">
      <c r="E3195" s="11"/>
      <c r="F3195" s="16"/>
    </row>
    <row r="3196" spans="5:6">
      <c r="E3196" s="11"/>
      <c r="F3196" s="16"/>
    </row>
    <row r="3197" spans="5:6">
      <c r="E3197" s="11"/>
      <c r="F3197" s="16"/>
    </row>
    <row r="3198" spans="5:6">
      <c r="E3198" s="11"/>
      <c r="F3198" s="16"/>
    </row>
    <row r="3199" spans="5:6">
      <c r="E3199" s="11"/>
      <c r="F3199" s="16"/>
    </row>
    <row r="3200" spans="5:6">
      <c r="E3200" s="11"/>
      <c r="F3200" s="16"/>
    </row>
    <row r="3201" spans="5:6">
      <c r="E3201" s="11"/>
      <c r="F3201" s="16"/>
    </row>
    <row r="3202" spans="5:6">
      <c r="E3202" s="11"/>
      <c r="F3202" s="16"/>
    </row>
    <row r="3203" spans="5:6">
      <c r="E3203" s="11"/>
      <c r="F3203" s="16"/>
    </row>
    <row r="3204" spans="5:6">
      <c r="E3204" s="11"/>
      <c r="F3204" s="16"/>
    </row>
    <row r="3205" spans="5:6">
      <c r="E3205" s="11"/>
      <c r="F3205" s="16"/>
    </row>
    <row r="3206" spans="5:6">
      <c r="E3206" s="11"/>
      <c r="F3206" s="16"/>
    </row>
    <row r="3207" spans="5:6">
      <c r="E3207" s="11"/>
      <c r="F3207" s="16"/>
    </row>
    <row r="3208" spans="5:6">
      <c r="E3208" s="11"/>
      <c r="F3208" s="16"/>
    </row>
    <row r="3209" spans="5:6">
      <c r="E3209" s="11"/>
      <c r="F3209" s="16"/>
    </row>
    <row r="3210" spans="5:6">
      <c r="E3210" s="11"/>
      <c r="F3210" s="16"/>
    </row>
    <row r="3211" spans="5:6">
      <c r="E3211" s="11"/>
      <c r="F3211" s="16"/>
    </row>
    <row r="3212" spans="5:6">
      <c r="E3212" s="11"/>
      <c r="F3212" s="16"/>
    </row>
    <row r="3213" spans="5:6">
      <c r="E3213" s="11"/>
      <c r="F3213" s="16"/>
    </row>
    <row r="3214" spans="5:6">
      <c r="E3214" s="11"/>
      <c r="F3214" s="16"/>
    </row>
    <row r="3215" spans="5:6">
      <c r="E3215" s="11"/>
      <c r="F3215" s="16"/>
    </row>
    <row r="3216" spans="5:6">
      <c r="E3216" s="11"/>
      <c r="F3216" s="16"/>
    </row>
    <row r="3217" spans="5:6">
      <c r="E3217" s="11"/>
      <c r="F3217" s="16"/>
    </row>
    <row r="3218" spans="5:6">
      <c r="E3218" s="11"/>
      <c r="F3218" s="16"/>
    </row>
    <row r="3219" spans="5:6">
      <c r="E3219" s="11"/>
      <c r="F3219" s="16"/>
    </row>
    <row r="3220" spans="5:6">
      <c r="E3220" s="11"/>
      <c r="F3220" s="16"/>
    </row>
    <row r="3221" spans="5:6">
      <c r="E3221" s="11"/>
      <c r="F3221" s="16"/>
    </row>
    <row r="3222" spans="5:6">
      <c r="E3222" s="11"/>
      <c r="F3222" s="16"/>
    </row>
    <row r="3223" spans="5:6">
      <c r="E3223" s="11"/>
      <c r="F3223" s="16"/>
    </row>
    <row r="3224" spans="5:6">
      <c r="E3224" s="11"/>
      <c r="F3224" s="16"/>
    </row>
    <row r="3225" spans="5:6">
      <c r="E3225" s="11"/>
      <c r="F3225" s="16"/>
    </row>
    <row r="3226" spans="5:6">
      <c r="E3226" s="11"/>
      <c r="F3226" s="16"/>
    </row>
    <row r="3227" spans="5:6">
      <c r="E3227" s="11"/>
      <c r="F3227" s="16"/>
    </row>
    <row r="3228" spans="5:6">
      <c r="E3228" s="11"/>
      <c r="F3228" s="16"/>
    </row>
    <row r="3229" spans="5:6">
      <c r="E3229" s="11"/>
      <c r="F3229" s="16"/>
    </row>
    <row r="3230" spans="5:6">
      <c r="E3230" s="11"/>
      <c r="F3230" s="16"/>
    </row>
    <row r="3231" spans="5:6">
      <c r="E3231" s="11"/>
      <c r="F3231" s="16"/>
    </row>
    <row r="3232" spans="5:6">
      <c r="E3232" s="11"/>
      <c r="F3232" s="16"/>
    </row>
    <row r="3233" spans="5:6">
      <c r="E3233" s="11"/>
      <c r="F3233" s="16"/>
    </row>
    <row r="3234" spans="5:6">
      <c r="E3234" s="11"/>
      <c r="F3234" s="16"/>
    </row>
    <row r="3235" spans="5:6">
      <c r="E3235" s="11"/>
      <c r="F3235" s="16"/>
    </row>
    <row r="3236" spans="5:6">
      <c r="E3236" s="11"/>
      <c r="F3236" s="16"/>
    </row>
    <row r="3237" spans="5:6">
      <c r="E3237" s="11"/>
      <c r="F3237" s="16"/>
    </row>
    <row r="3238" spans="5:6">
      <c r="E3238" s="11"/>
      <c r="F3238" s="16"/>
    </row>
    <row r="3239" spans="5:6">
      <c r="E3239" s="11"/>
      <c r="F3239" s="16"/>
    </row>
    <row r="3240" spans="5:6">
      <c r="E3240" s="11"/>
      <c r="F3240" s="16"/>
    </row>
    <row r="3241" spans="5:6">
      <c r="E3241" s="11"/>
      <c r="F3241" s="16"/>
    </row>
    <row r="3242" spans="5:6">
      <c r="E3242" s="11"/>
      <c r="F3242" s="16"/>
    </row>
    <row r="3243" spans="5:6">
      <c r="E3243" s="11"/>
      <c r="F3243" s="16"/>
    </row>
    <row r="3244" spans="5:6">
      <c r="E3244" s="11"/>
      <c r="F3244" s="16"/>
    </row>
    <row r="3245" spans="5:6">
      <c r="E3245" s="11"/>
      <c r="F3245" s="16"/>
    </row>
    <row r="3246" spans="5:6">
      <c r="E3246" s="11"/>
      <c r="F3246" s="16"/>
    </row>
    <row r="3247" spans="5:6">
      <c r="E3247" s="11"/>
      <c r="F3247" s="16"/>
    </row>
    <row r="3248" spans="5:6">
      <c r="E3248" s="11"/>
      <c r="F3248" s="16"/>
    </row>
    <row r="3249" spans="5:6">
      <c r="E3249" s="11"/>
      <c r="F3249" s="16"/>
    </row>
    <row r="3250" spans="5:6">
      <c r="E3250" s="11"/>
      <c r="F3250" s="16"/>
    </row>
    <row r="3251" spans="5:6">
      <c r="E3251" s="11"/>
      <c r="F3251" s="16"/>
    </row>
    <row r="3252" spans="5:6">
      <c r="E3252" s="11"/>
      <c r="F3252" s="16"/>
    </row>
    <row r="3253" spans="5:6">
      <c r="E3253" s="11"/>
      <c r="F3253" s="16"/>
    </row>
    <row r="3254" spans="5:6">
      <c r="E3254" s="11"/>
      <c r="F3254" s="16"/>
    </row>
    <row r="3255" spans="5:6">
      <c r="E3255" s="11"/>
      <c r="F3255" s="16"/>
    </row>
    <row r="3256" spans="5:6">
      <c r="E3256" s="11"/>
      <c r="F3256" s="16"/>
    </row>
    <row r="3257" spans="5:6">
      <c r="E3257" s="11"/>
      <c r="F3257" s="16"/>
    </row>
    <row r="3258" spans="5:6">
      <c r="E3258" s="11"/>
      <c r="F3258" s="16"/>
    </row>
    <row r="3259" spans="5:6">
      <c r="E3259" s="11"/>
      <c r="F3259" s="16"/>
    </row>
    <row r="3260" spans="5:6">
      <c r="E3260" s="11"/>
      <c r="F3260" s="16"/>
    </row>
    <row r="3261" spans="5:6">
      <c r="E3261" s="11"/>
      <c r="F3261" s="16"/>
    </row>
    <row r="3262" spans="5:6">
      <c r="E3262" s="11"/>
      <c r="F3262" s="16"/>
    </row>
    <row r="3263" spans="5:6">
      <c r="E3263" s="11"/>
      <c r="F3263" s="16"/>
    </row>
    <row r="3264" spans="5:6">
      <c r="E3264" s="11"/>
      <c r="F3264" s="16"/>
    </row>
    <row r="3265" spans="5:6">
      <c r="E3265" s="11"/>
      <c r="F3265" s="16"/>
    </row>
    <row r="3266" spans="5:6">
      <c r="E3266" s="11"/>
      <c r="F3266" s="16"/>
    </row>
    <row r="3267" spans="5:6">
      <c r="E3267" s="11"/>
      <c r="F3267" s="16"/>
    </row>
    <row r="3268" spans="5:6">
      <c r="E3268" s="11"/>
      <c r="F3268" s="16"/>
    </row>
    <row r="3269" spans="5:6">
      <c r="E3269" s="11"/>
      <c r="F3269" s="16"/>
    </row>
    <row r="3270" spans="5:6">
      <c r="E3270" s="11"/>
      <c r="F3270" s="16"/>
    </row>
    <row r="3271" spans="5:6">
      <c r="E3271" s="11"/>
      <c r="F3271" s="16"/>
    </row>
    <row r="3272" spans="5:6">
      <c r="E3272" s="11"/>
      <c r="F3272" s="16"/>
    </row>
    <row r="3273" spans="5:6">
      <c r="E3273" s="11"/>
      <c r="F3273" s="16"/>
    </row>
    <row r="3274" spans="5:6">
      <c r="E3274" s="11"/>
      <c r="F3274" s="16"/>
    </row>
    <row r="3275" spans="5:6">
      <c r="E3275" s="11"/>
      <c r="F3275" s="16"/>
    </row>
    <row r="3276" spans="5:6">
      <c r="E3276" s="11"/>
      <c r="F3276" s="16"/>
    </row>
    <row r="3277" spans="5:6">
      <c r="E3277" s="11"/>
      <c r="F3277" s="16"/>
    </row>
    <row r="3278" spans="5:6">
      <c r="E3278" s="11"/>
      <c r="F3278" s="16"/>
    </row>
    <row r="3279" spans="5:6">
      <c r="E3279" s="11"/>
      <c r="F3279" s="16"/>
    </row>
    <row r="3280" spans="5:6">
      <c r="E3280" s="11"/>
      <c r="F3280" s="16"/>
    </row>
    <row r="3281" spans="5:6">
      <c r="E3281" s="11"/>
      <c r="F3281" s="16"/>
    </row>
    <row r="3282" spans="5:6">
      <c r="E3282" s="11"/>
      <c r="F3282" s="16"/>
    </row>
    <row r="3283" spans="5:6">
      <c r="E3283" s="11"/>
      <c r="F3283" s="16"/>
    </row>
    <row r="3284" spans="5:6">
      <c r="E3284" s="11"/>
      <c r="F3284" s="16"/>
    </row>
    <row r="3285" spans="5:6">
      <c r="E3285" s="11"/>
      <c r="F3285" s="16"/>
    </row>
    <row r="3286" spans="5:6">
      <c r="E3286" s="11"/>
      <c r="F3286" s="16"/>
    </row>
    <row r="3287" spans="5:6">
      <c r="E3287" s="11"/>
      <c r="F3287" s="16"/>
    </row>
    <row r="3288" spans="5:6">
      <c r="E3288" s="11"/>
      <c r="F3288" s="16"/>
    </row>
    <row r="3289" spans="5:6">
      <c r="E3289" s="11"/>
      <c r="F3289" s="16"/>
    </row>
    <row r="3290" spans="5:6">
      <c r="E3290" s="11"/>
      <c r="F3290" s="16"/>
    </row>
    <row r="3291" spans="5:6">
      <c r="E3291" s="11"/>
      <c r="F3291" s="16"/>
    </row>
    <row r="3292" spans="5:6">
      <c r="E3292" s="11"/>
      <c r="F3292" s="16"/>
    </row>
    <row r="3293" spans="5:6">
      <c r="E3293" s="11"/>
      <c r="F3293" s="16"/>
    </row>
    <row r="3294" spans="5:6">
      <c r="E3294" s="11"/>
      <c r="F3294" s="16"/>
    </row>
    <row r="3295" spans="5:6">
      <c r="E3295" s="11"/>
      <c r="F3295" s="16"/>
    </row>
    <row r="3296" spans="5:6">
      <c r="E3296" s="11"/>
      <c r="F3296" s="16"/>
    </row>
    <row r="3297" spans="5:6">
      <c r="E3297" s="11"/>
      <c r="F3297" s="16"/>
    </row>
    <row r="3298" spans="5:6">
      <c r="E3298" s="11"/>
      <c r="F3298" s="16"/>
    </row>
    <row r="3299" spans="5:6">
      <c r="E3299" s="11"/>
      <c r="F3299" s="16"/>
    </row>
    <row r="3300" spans="5:6">
      <c r="E3300" s="11"/>
      <c r="F3300" s="16"/>
    </row>
    <row r="3301" spans="5:6">
      <c r="E3301" s="11"/>
      <c r="F3301" s="16"/>
    </row>
    <row r="3302" spans="5:6">
      <c r="E3302" s="11"/>
      <c r="F3302" s="16"/>
    </row>
    <row r="3303" spans="5:6">
      <c r="E3303" s="11"/>
      <c r="F3303" s="16"/>
    </row>
    <row r="3304" spans="5:6">
      <c r="E3304" s="11"/>
      <c r="F3304" s="16"/>
    </row>
    <row r="3305" spans="5:6">
      <c r="E3305" s="11"/>
      <c r="F3305" s="16"/>
    </row>
    <row r="3306" spans="5:6">
      <c r="E3306" s="11"/>
      <c r="F3306" s="16"/>
    </row>
    <row r="3307" spans="5:6">
      <c r="E3307" s="11"/>
      <c r="F3307" s="16"/>
    </row>
    <row r="3308" spans="5:6">
      <c r="E3308" s="11"/>
      <c r="F3308" s="16"/>
    </row>
    <row r="3309" spans="5:6">
      <c r="E3309" s="11"/>
      <c r="F3309" s="16"/>
    </row>
    <row r="3310" spans="5:6">
      <c r="E3310" s="11"/>
      <c r="F3310" s="16"/>
    </row>
    <row r="3311" spans="5:6">
      <c r="E3311" s="11"/>
      <c r="F3311" s="16"/>
    </row>
    <row r="3312" spans="5:6">
      <c r="E3312" s="11"/>
      <c r="F3312" s="16"/>
    </row>
    <row r="3313" spans="5:6">
      <c r="E3313" s="11"/>
      <c r="F3313" s="16"/>
    </row>
    <row r="3314" spans="5:6">
      <c r="E3314" s="11"/>
      <c r="F3314" s="16"/>
    </row>
    <row r="3315" spans="5:6">
      <c r="E3315" s="11"/>
      <c r="F3315" s="16"/>
    </row>
    <row r="3316" spans="5:6">
      <c r="E3316" s="11"/>
      <c r="F3316" s="16"/>
    </row>
    <row r="3317" spans="5:6">
      <c r="E3317" s="11"/>
      <c r="F3317" s="16"/>
    </row>
    <row r="3318" spans="5:6">
      <c r="E3318" s="11"/>
      <c r="F3318" s="16"/>
    </row>
    <row r="3319" spans="5:6">
      <c r="E3319" s="11"/>
      <c r="F3319" s="16"/>
    </row>
    <row r="3320" spans="5:6">
      <c r="E3320" s="11"/>
      <c r="F3320" s="16"/>
    </row>
    <row r="3321" spans="5:6">
      <c r="E3321" s="11"/>
      <c r="F3321" s="16"/>
    </row>
    <row r="3322" spans="5:6">
      <c r="E3322" s="11"/>
      <c r="F3322" s="16"/>
    </row>
    <row r="3323" spans="5:6">
      <c r="E3323" s="11"/>
      <c r="F3323" s="16"/>
    </row>
    <row r="3324" spans="5:6">
      <c r="E3324" s="11"/>
      <c r="F3324" s="16"/>
    </row>
    <row r="3325" spans="5:6">
      <c r="E3325" s="11"/>
      <c r="F3325" s="16"/>
    </row>
    <row r="3326" spans="5:6">
      <c r="E3326" s="11"/>
      <c r="F3326" s="16"/>
    </row>
    <row r="3327" spans="5:6">
      <c r="E3327" s="11"/>
      <c r="F3327" s="16"/>
    </row>
    <row r="3328" spans="5:6">
      <c r="E3328" s="11"/>
      <c r="F3328" s="16"/>
    </row>
    <row r="3329" spans="5:6">
      <c r="E3329" s="11"/>
      <c r="F3329" s="16"/>
    </row>
    <row r="3330" spans="5:6">
      <c r="E3330" s="11"/>
      <c r="F3330" s="16"/>
    </row>
    <row r="3331" spans="5:6">
      <c r="E3331" s="11"/>
      <c r="F3331" s="16"/>
    </row>
    <row r="3332" spans="5:6">
      <c r="E3332" s="11"/>
      <c r="F3332" s="16"/>
    </row>
    <row r="3333" spans="5:6">
      <c r="E3333" s="11"/>
      <c r="F3333" s="16"/>
    </row>
    <row r="3334" spans="5:6">
      <c r="E3334" s="11"/>
      <c r="F3334" s="16"/>
    </row>
    <row r="3335" spans="5:6">
      <c r="E3335" s="11"/>
      <c r="F3335" s="16"/>
    </row>
    <row r="3336" spans="5:6">
      <c r="E3336" s="11"/>
      <c r="F3336" s="16"/>
    </row>
    <row r="3337" spans="5:6">
      <c r="E3337" s="11"/>
      <c r="F3337" s="16"/>
    </row>
    <row r="3338" spans="5:6">
      <c r="E3338" s="11"/>
      <c r="F3338" s="16"/>
    </row>
    <row r="3339" spans="5:6">
      <c r="E3339" s="11"/>
      <c r="F3339" s="16"/>
    </row>
    <row r="3340" spans="5:6">
      <c r="E3340" s="11"/>
      <c r="F3340" s="16"/>
    </row>
    <row r="3341" spans="5:6">
      <c r="E3341" s="11"/>
      <c r="F3341" s="16"/>
    </row>
    <row r="3342" spans="5:6">
      <c r="E3342" s="11"/>
      <c r="F3342" s="16"/>
    </row>
    <row r="3343" spans="5:6">
      <c r="E3343" s="11"/>
      <c r="F3343" s="16"/>
    </row>
    <row r="3344" spans="5:6">
      <c r="E3344" s="11"/>
      <c r="F3344" s="16"/>
    </row>
    <row r="3345" spans="5:6">
      <c r="E3345" s="11"/>
      <c r="F3345" s="16"/>
    </row>
    <row r="3346" spans="5:6">
      <c r="E3346" s="11"/>
      <c r="F3346" s="16"/>
    </row>
    <row r="3347" spans="5:6">
      <c r="E3347" s="11"/>
      <c r="F3347" s="16"/>
    </row>
    <row r="3348" spans="5:6">
      <c r="E3348" s="11"/>
      <c r="F3348" s="16"/>
    </row>
    <row r="3349" spans="5:6">
      <c r="E3349" s="11"/>
      <c r="F3349" s="16"/>
    </row>
    <row r="3350" spans="5:6">
      <c r="E3350" s="11"/>
      <c r="F3350" s="16"/>
    </row>
    <row r="3351" spans="5:6">
      <c r="E3351" s="11"/>
      <c r="F3351" s="16"/>
    </row>
    <row r="3352" spans="5:6">
      <c r="E3352" s="11"/>
      <c r="F3352" s="16"/>
    </row>
    <row r="3353" spans="5:6">
      <c r="E3353" s="11"/>
      <c r="F3353" s="16"/>
    </row>
    <row r="3354" spans="5:6">
      <c r="E3354" s="11"/>
      <c r="F3354" s="16"/>
    </row>
    <row r="3355" spans="5:6">
      <c r="E3355" s="11"/>
      <c r="F3355" s="16"/>
    </row>
    <row r="3356" spans="5:6">
      <c r="E3356" s="11"/>
      <c r="F3356" s="16"/>
    </row>
    <row r="3357" spans="5:6">
      <c r="E3357" s="11"/>
      <c r="F3357" s="16"/>
    </row>
    <row r="3358" spans="5:6">
      <c r="E3358" s="11"/>
      <c r="F3358" s="16"/>
    </row>
    <row r="3359" spans="5:6">
      <c r="E3359" s="11"/>
      <c r="F3359" s="16"/>
    </row>
    <row r="3360" spans="5:6">
      <c r="E3360" s="11"/>
      <c r="F3360" s="16"/>
    </row>
    <row r="3361" spans="5:6">
      <c r="E3361" s="11"/>
      <c r="F3361" s="16"/>
    </row>
    <row r="3362" spans="5:6">
      <c r="E3362" s="11"/>
      <c r="F3362" s="16"/>
    </row>
    <row r="3363" spans="5:6">
      <c r="E3363" s="11"/>
      <c r="F3363" s="16"/>
    </row>
    <row r="3364" spans="5:6">
      <c r="E3364" s="11"/>
      <c r="F3364" s="16"/>
    </row>
    <row r="3365" spans="5:6">
      <c r="E3365" s="11"/>
      <c r="F3365" s="16"/>
    </row>
    <row r="3366" spans="5:6">
      <c r="E3366" s="11"/>
      <c r="F3366" s="16"/>
    </row>
    <row r="3367" spans="5:6">
      <c r="E3367" s="11"/>
      <c r="F3367" s="16"/>
    </row>
    <row r="3368" spans="5:6">
      <c r="E3368" s="11"/>
      <c r="F3368" s="16"/>
    </row>
    <row r="3369" spans="5:6">
      <c r="E3369" s="11"/>
      <c r="F3369" s="16"/>
    </row>
    <row r="3370" spans="5:6">
      <c r="E3370" s="11"/>
      <c r="F3370" s="16"/>
    </row>
    <row r="3371" spans="5:6">
      <c r="E3371" s="11"/>
      <c r="F3371" s="16"/>
    </row>
    <row r="3372" spans="5:6">
      <c r="E3372" s="11"/>
      <c r="F3372" s="16"/>
    </row>
    <row r="3373" spans="5:6">
      <c r="E3373" s="11"/>
      <c r="F3373" s="16"/>
    </row>
    <row r="3374" spans="5:6">
      <c r="E3374" s="11"/>
      <c r="F3374" s="16"/>
    </row>
    <row r="3375" spans="5:6">
      <c r="E3375" s="11"/>
      <c r="F3375" s="16"/>
    </row>
    <row r="3376" spans="5:6">
      <c r="E3376" s="11"/>
      <c r="F3376" s="16"/>
    </row>
    <row r="3377" spans="5:6">
      <c r="E3377" s="11"/>
      <c r="F3377" s="16"/>
    </row>
    <row r="3378" spans="5:6">
      <c r="E3378" s="11"/>
      <c r="F3378" s="16"/>
    </row>
    <row r="3379" spans="5:6">
      <c r="E3379" s="11"/>
      <c r="F3379" s="16"/>
    </row>
    <row r="3380" spans="5:6">
      <c r="E3380" s="11"/>
      <c r="F3380" s="16"/>
    </row>
    <row r="3381" spans="5:6">
      <c r="E3381" s="11"/>
      <c r="F3381" s="16"/>
    </row>
    <row r="3382" spans="5:6">
      <c r="E3382" s="11"/>
      <c r="F3382" s="16"/>
    </row>
    <row r="3383" spans="5:6">
      <c r="E3383" s="11"/>
      <c r="F3383" s="16"/>
    </row>
    <row r="3384" spans="5:6">
      <c r="E3384" s="11"/>
      <c r="F3384" s="16"/>
    </row>
    <row r="3385" spans="5:6">
      <c r="E3385" s="11"/>
      <c r="F3385" s="16"/>
    </row>
    <row r="3386" spans="5:6">
      <c r="E3386" s="11"/>
      <c r="F3386" s="16"/>
    </row>
    <row r="3387" spans="5:6">
      <c r="E3387" s="11"/>
      <c r="F3387" s="16"/>
    </row>
    <row r="3388" spans="5:6">
      <c r="E3388" s="11"/>
      <c r="F3388" s="16"/>
    </row>
    <row r="3389" spans="5:6">
      <c r="E3389" s="11"/>
      <c r="F3389" s="16"/>
    </row>
    <row r="3390" spans="5:6">
      <c r="E3390" s="11"/>
      <c r="F3390" s="16"/>
    </row>
    <row r="3391" spans="5:6">
      <c r="E3391" s="11"/>
      <c r="F3391" s="16"/>
    </row>
    <row r="3392" spans="5:6">
      <c r="E3392" s="11"/>
      <c r="F3392" s="16"/>
    </row>
    <row r="3393" spans="5:6">
      <c r="E3393" s="11"/>
      <c r="F3393" s="16"/>
    </row>
    <row r="3394" spans="5:6">
      <c r="E3394" s="11"/>
      <c r="F3394" s="16"/>
    </row>
    <row r="3395" spans="5:6">
      <c r="E3395" s="11"/>
      <c r="F3395" s="16"/>
    </row>
    <row r="3396" spans="5:6">
      <c r="E3396" s="11"/>
      <c r="F3396" s="16"/>
    </row>
    <row r="3397" spans="5:6">
      <c r="E3397" s="11"/>
      <c r="F3397" s="16"/>
    </row>
    <row r="3398" spans="5:6">
      <c r="E3398" s="11"/>
      <c r="F3398" s="16"/>
    </row>
    <row r="3399" spans="5:6">
      <c r="E3399" s="11"/>
      <c r="F3399" s="16"/>
    </row>
    <row r="3400" spans="5:6">
      <c r="E3400" s="11"/>
      <c r="F3400" s="16"/>
    </row>
    <row r="3401" spans="5:6">
      <c r="E3401" s="11"/>
      <c r="F3401" s="16"/>
    </row>
    <row r="3402" spans="5:6">
      <c r="E3402" s="11"/>
      <c r="F3402" s="16"/>
    </row>
    <row r="3403" spans="5:6">
      <c r="E3403" s="11"/>
      <c r="F3403" s="16"/>
    </row>
    <row r="3404" spans="5:6">
      <c r="E3404" s="11"/>
      <c r="F3404" s="16"/>
    </row>
    <row r="3405" spans="5:6">
      <c r="E3405" s="11"/>
      <c r="F3405" s="16"/>
    </row>
    <row r="3406" spans="5:6">
      <c r="E3406" s="11"/>
      <c r="F3406" s="16"/>
    </row>
    <row r="3407" spans="5:6">
      <c r="E3407" s="11"/>
      <c r="F3407" s="16"/>
    </row>
    <row r="3408" spans="5:6">
      <c r="E3408" s="11"/>
      <c r="F3408" s="16"/>
    </row>
    <row r="3409" spans="5:6">
      <c r="E3409" s="11"/>
      <c r="F3409" s="16"/>
    </row>
    <row r="3410" spans="5:6">
      <c r="E3410" s="11"/>
      <c r="F3410" s="16"/>
    </row>
    <row r="3411" spans="5:6">
      <c r="E3411" s="11"/>
      <c r="F3411" s="16"/>
    </row>
    <row r="3412" spans="5:6">
      <c r="E3412" s="11"/>
      <c r="F3412" s="16"/>
    </row>
    <row r="3413" spans="5:6">
      <c r="E3413" s="11"/>
      <c r="F3413" s="16"/>
    </row>
    <row r="3414" spans="5:6">
      <c r="E3414" s="11"/>
      <c r="F3414" s="16"/>
    </row>
    <row r="3415" spans="5:6">
      <c r="E3415" s="11"/>
      <c r="F3415" s="16"/>
    </row>
    <row r="3416" spans="5:6">
      <c r="E3416" s="11"/>
      <c r="F3416" s="16"/>
    </row>
    <row r="3417" spans="5:6">
      <c r="E3417" s="11"/>
      <c r="F3417" s="16"/>
    </row>
    <row r="3418" spans="5:6">
      <c r="E3418" s="11"/>
      <c r="F3418" s="16"/>
    </row>
    <row r="3419" spans="5:6">
      <c r="E3419" s="11"/>
      <c r="F3419" s="16"/>
    </row>
    <row r="3420" spans="5:6">
      <c r="E3420" s="11"/>
      <c r="F3420" s="16"/>
    </row>
    <row r="3421" spans="5:6">
      <c r="E3421" s="11"/>
      <c r="F3421" s="16"/>
    </row>
    <row r="3422" spans="5:6">
      <c r="E3422" s="11"/>
      <c r="F3422" s="16"/>
    </row>
    <row r="3423" spans="5:6">
      <c r="E3423" s="11"/>
      <c r="F3423" s="16"/>
    </row>
    <row r="3424" spans="5:6">
      <c r="E3424" s="11"/>
      <c r="F3424" s="16"/>
    </row>
    <row r="3425" spans="5:6">
      <c r="E3425" s="11"/>
      <c r="F3425" s="16"/>
    </row>
    <row r="3426" spans="5:6">
      <c r="E3426" s="11"/>
      <c r="F3426" s="16"/>
    </row>
    <row r="3427" spans="5:6">
      <c r="E3427" s="11"/>
      <c r="F3427" s="16"/>
    </row>
    <row r="3428" spans="5:6">
      <c r="E3428" s="11"/>
      <c r="F3428" s="16"/>
    </row>
    <row r="3429" spans="5:6">
      <c r="E3429" s="11"/>
      <c r="F3429" s="16"/>
    </row>
    <row r="3430" spans="5:6">
      <c r="E3430" s="11"/>
      <c r="F3430" s="16"/>
    </row>
    <row r="3431" spans="5:6">
      <c r="E3431" s="11"/>
      <c r="F3431" s="16"/>
    </row>
    <row r="3432" spans="5:6">
      <c r="E3432" s="11"/>
      <c r="F3432" s="16"/>
    </row>
    <row r="3433" spans="5:6">
      <c r="E3433" s="11"/>
      <c r="F3433" s="16"/>
    </row>
    <row r="3434" spans="5:6">
      <c r="E3434" s="11"/>
      <c r="F3434" s="16"/>
    </row>
    <row r="3435" spans="5:6">
      <c r="E3435" s="11"/>
      <c r="F3435" s="16"/>
    </row>
    <row r="3436" spans="5:6">
      <c r="E3436" s="11"/>
      <c r="F3436" s="16"/>
    </row>
    <row r="3437" spans="5:6">
      <c r="E3437" s="11"/>
      <c r="F3437" s="16"/>
    </row>
    <row r="3438" spans="5:6">
      <c r="E3438" s="11"/>
      <c r="F3438" s="16"/>
    </row>
    <row r="3439" spans="5:6">
      <c r="E3439" s="11"/>
      <c r="F3439" s="16"/>
    </row>
    <row r="3440" spans="5:6">
      <c r="E3440" s="11"/>
      <c r="F3440" s="16"/>
    </row>
    <row r="3441" spans="5:6">
      <c r="E3441" s="11"/>
      <c r="F3441" s="16"/>
    </row>
    <row r="3442" spans="5:6">
      <c r="E3442" s="11"/>
      <c r="F3442" s="16"/>
    </row>
    <row r="3443" spans="5:6">
      <c r="E3443" s="11"/>
      <c r="F3443" s="16"/>
    </row>
    <row r="3444" spans="5:6">
      <c r="E3444" s="11"/>
      <c r="F3444" s="16"/>
    </row>
    <row r="3445" spans="5:6">
      <c r="E3445" s="11"/>
      <c r="F3445" s="16"/>
    </row>
    <row r="3446" spans="5:6">
      <c r="E3446" s="11"/>
      <c r="F3446" s="16"/>
    </row>
    <row r="3447" spans="5:6">
      <c r="E3447" s="11"/>
      <c r="F3447" s="16"/>
    </row>
    <row r="3448" spans="5:6">
      <c r="E3448" s="11"/>
      <c r="F3448" s="16"/>
    </row>
    <row r="3449" spans="5:6">
      <c r="E3449" s="11"/>
      <c r="F3449" s="16"/>
    </row>
    <row r="3450" spans="5:6">
      <c r="E3450" s="11"/>
      <c r="F3450" s="16"/>
    </row>
    <row r="3451" spans="5:6">
      <c r="E3451" s="11"/>
      <c r="F3451" s="16"/>
    </row>
    <row r="3452" spans="5:6">
      <c r="E3452" s="11"/>
      <c r="F3452" s="16"/>
    </row>
    <row r="3453" spans="5:6">
      <c r="E3453" s="11"/>
      <c r="F3453" s="16"/>
    </row>
    <row r="3454" spans="5:6">
      <c r="E3454" s="11"/>
      <c r="F3454" s="16"/>
    </row>
    <row r="3455" spans="5:6">
      <c r="E3455" s="11"/>
      <c r="F3455" s="16"/>
    </row>
    <row r="3456" spans="5:6">
      <c r="E3456" s="11"/>
      <c r="F3456" s="16"/>
    </row>
    <row r="3457" spans="5:6">
      <c r="E3457" s="11"/>
      <c r="F3457" s="16"/>
    </row>
    <row r="3458" spans="5:6">
      <c r="E3458" s="11"/>
      <c r="F3458" s="16"/>
    </row>
    <row r="3459" spans="5:6">
      <c r="E3459" s="11"/>
      <c r="F3459" s="16"/>
    </row>
    <row r="3460" spans="5:6">
      <c r="E3460" s="11"/>
      <c r="F3460" s="16"/>
    </row>
    <row r="3461" spans="5:6">
      <c r="E3461" s="11"/>
      <c r="F3461" s="16"/>
    </row>
    <row r="3462" spans="5:6">
      <c r="E3462" s="11"/>
      <c r="F3462" s="16"/>
    </row>
    <row r="3463" spans="5:6">
      <c r="E3463" s="11"/>
      <c r="F3463" s="16"/>
    </row>
    <row r="3464" spans="5:6">
      <c r="E3464" s="11"/>
      <c r="F3464" s="16"/>
    </row>
    <row r="3465" spans="5:6">
      <c r="E3465" s="11"/>
      <c r="F3465" s="16"/>
    </row>
    <row r="3466" spans="5:6">
      <c r="E3466" s="11"/>
      <c r="F3466" s="16"/>
    </row>
    <row r="3467" spans="5:6">
      <c r="E3467" s="11"/>
      <c r="F3467" s="16"/>
    </row>
    <row r="3468" spans="5:6">
      <c r="E3468" s="11"/>
      <c r="F3468" s="16"/>
    </row>
    <row r="3469" spans="5:6">
      <c r="E3469" s="11"/>
      <c r="F3469" s="16"/>
    </row>
    <row r="3470" spans="5:6">
      <c r="E3470" s="11"/>
      <c r="F3470" s="16"/>
    </row>
    <row r="3471" spans="5:6">
      <c r="E3471" s="11"/>
      <c r="F3471" s="16"/>
    </row>
    <row r="3472" spans="5:6">
      <c r="E3472" s="11"/>
      <c r="F3472" s="16"/>
    </row>
    <row r="3473" spans="5:6">
      <c r="E3473" s="11"/>
      <c r="F3473" s="16"/>
    </row>
    <row r="3474" spans="5:6">
      <c r="E3474" s="11"/>
      <c r="F3474" s="16"/>
    </row>
    <row r="3475" spans="5:6">
      <c r="E3475" s="11"/>
      <c r="F3475" s="16"/>
    </row>
    <row r="3476" spans="5:6">
      <c r="E3476" s="11"/>
      <c r="F3476" s="16"/>
    </row>
    <row r="3477" spans="5:6">
      <c r="E3477" s="11"/>
      <c r="F3477" s="16"/>
    </row>
    <row r="3478" spans="5:6">
      <c r="E3478" s="11"/>
      <c r="F3478" s="16"/>
    </row>
    <row r="3479" spans="5:6">
      <c r="E3479" s="11"/>
      <c r="F3479" s="16"/>
    </row>
    <row r="3480" spans="5:6">
      <c r="E3480" s="11"/>
      <c r="F3480" s="16"/>
    </row>
    <row r="3481" spans="5:6">
      <c r="E3481" s="11"/>
      <c r="F3481" s="16"/>
    </row>
    <row r="3482" spans="5:6">
      <c r="E3482" s="11"/>
      <c r="F3482" s="16"/>
    </row>
    <row r="3483" spans="5:6">
      <c r="E3483" s="11"/>
      <c r="F3483" s="16"/>
    </row>
    <row r="3484" spans="5:6">
      <c r="E3484" s="11"/>
      <c r="F3484" s="16"/>
    </row>
    <row r="3485" spans="5:6">
      <c r="E3485" s="11"/>
      <c r="F3485" s="16"/>
    </row>
    <row r="3486" spans="5:6">
      <c r="E3486" s="11"/>
      <c r="F3486" s="16"/>
    </row>
    <row r="3487" spans="5:6">
      <c r="E3487" s="11"/>
      <c r="F3487" s="16"/>
    </row>
    <row r="3488" spans="5:6">
      <c r="E3488" s="11"/>
      <c r="F3488" s="16"/>
    </row>
    <row r="3489" spans="5:6">
      <c r="E3489" s="11"/>
      <c r="F3489" s="16"/>
    </row>
    <row r="3490" spans="5:6">
      <c r="E3490" s="11"/>
      <c r="F3490" s="16"/>
    </row>
    <row r="3491" spans="5:6">
      <c r="E3491" s="11"/>
      <c r="F3491" s="16"/>
    </row>
    <row r="3492" spans="5:6">
      <c r="E3492" s="11"/>
      <c r="F3492" s="16"/>
    </row>
    <row r="3493" spans="5:6">
      <c r="E3493" s="11"/>
      <c r="F3493" s="16"/>
    </row>
    <row r="3494" spans="5:6">
      <c r="E3494" s="11"/>
      <c r="F3494" s="16"/>
    </row>
    <row r="3495" spans="5:6">
      <c r="E3495" s="11"/>
      <c r="F3495" s="16"/>
    </row>
    <row r="3496" spans="5:6">
      <c r="E3496" s="11"/>
      <c r="F3496" s="16"/>
    </row>
    <row r="3497" spans="5:6">
      <c r="E3497" s="11"/>
      <c r="F3497" s="16"/>
    </row>
    <row r="3498" spans="5:6">
      <c r="E3498" s="11"/>
      <c r="F3498" s="16"/>
    </row>
    <row r="3499" spans="5:6">
      <c r="E3499" s="11"/>
      <c r="F3499" s="16"/>
    </row>
    <row r="3500" spans="5:6">
      <c r="E3500" s="11"/>
      <c r="F3500" s="16"/>
    </row>
    <row r="3501" spans="5:6">
      <c r="E3501" s="11"/>
      <c r="F3501" s="16"/>
    </row>
    <row r="3502" spans="5:6">
      <c r="E3502" s="11"/>
      <c r="F3502" s="16"/>
    </row>
    <row r="3503" spans="5:6">
      <c r="E3503" s="11"/>
      <c r="F3503" s="16"/>
    </row>
    <row r="3504" spans="5:6">
      <c r="E3504" s="11"/>
      <c r="F3504" s="16"/>
    </row>
    <row r="3505" spans="5:6">
      <c r="E3505" s="11"/>
      <c r="F3505" s="16"/>
    </row>
    <row r="3506" spans="5:6">
      <c r="E3506" s="11"/>
      <c r="F3506" s="16"/>
    </row>
    <row r="3507" spans="5:6">
      <c r="E3507" s="11"/>
      <c r="F3507" s="16"/>
    </row>
    <row r="3508" spans="5:6">
      <c r="E3508" s="11"/>
      <c r="F3508" s="16"/>
    </row>
    <row r="3509" spans="5:6">
      <c r="E3509" s="11"/>
      <c r="F3509" s="16"/>
    </row>
    <row r="3510" spans="5:6">
      <c r="E3510" s="11"/>
      <c r="F3510" s="16"/>
    </row>
    <row r="3511" spans="5:6">
      <c r="E3511" s="11"/>
      <c r="F3511" s="16"/>
    </row>
    <row r="3512" spans="5:6">
      <c r="E3512" s="11"/>
      <c r="F3512" s="16"/>
    </row>
    <row r="3513" spans="5:6">
      <c r="E3513" s="11"/>
      <c r="F3513" s="16"/>
    </row>
    <row r="3514" spans="5:6">
      <c r="E3514" s="11"/>
      <c r="F3514" s="16"/>
    </row>
    <row r="3515" spans="5:6">
      <c r="E3515" s="11"/>
      <c r="F3515" s="16"/>
    </row>
    <row r="3516" spans="5:6">
      <c r="E3516" s="11"/>
      <c r="F3516" s="16"/>
    </row>
    <row r="3517" spans="5:6">
      <c r="E3517" s="11"/>
      <c r="F3517" s="16"/>
    </row>
    <row r="3518" spans="5:6">
      <c r="E3518" s="11"/>
      <c r="F3518" s="16"/>
    </row>
    <row r="3519" spans="5:6">
      <c r="E3519" s="11"/>
      <c r="F3519" s="16"/>
    </row>
    <row r="3520" spans="5:6">
      <c r="E3520" s="11"/>
      <c r="F3520" s="16"/>
    </row>
    <row r="3521" spans="5:6">
      <c r="E3521" s="11"/>
      <c r="F3521" s="16"/>
    </row>
    <row r="3522" spans="5:6">
      <c r="E3522" s="11"/>
      <c r="F3522" s="16"/>
    </row>
    <row r="3523" spans="5:6">
      <c r="E3523" s="11"/>
      <c r="F3523" s="16"/>
    </row>
    <row r="3524" spans="5:6">
      <c r="E3524" s="11"/>
      <c r="F3524" s="16"/>
    </row>
    <row r="3525" spans="5:6">
      <c r="E3525" s="11"/>
      <c r="F3525" s="16"/>
    </row>
    <row r="3526" spans="5:6">
      <c r="E3526" s="11"/>
      <c r="F3526" s="16"/>
    </row>
    <row r="3527" spans="5:6">
      <c r="E3527" s="11"/>
      <c r="F3527" s="16"/>
    </row>
    <row r="3528" spans="5:6">
      <c r="E3528" s="11"/>
      <c r="F3528" s="16"/>
    </row>
    <row r="3529" spans="5:6">
      <c r="E3529" s="11"/>
      <c r="F3529" s="16"/>
    </row>
    <row r="3530" spans="5:6">
      <c r="E3530" s="11"/>
      <c r="F3530" s="16"/>
    </row>
    <row r="3531" spans="5:6">
      <c r="E3531" s="11"/>
      <c r="F3531" s="16"/>
    </row>
    <row r="3532" spans="5:6">
      <c r="E3532" s="11"/>
      <c r="F3532" s="16"/>
    </row>
    <row r="3533" spans="5:6">
      <c r="E3533" s="11"/>
      <c r="F3533" s="16"/>
    </row>
    <row r="3534" spans="5:6">
      <c r="E3534" s="11"/>
      <c r="F3534" s="16"/>
    </row>
    <row r="3535" spans="5:6">
      <c r="E3535" s="11"/>
      <c r="F3535" s="16"/>
    </row>
    <row r="3536" spans="5:6">
      <c r="E3536" s="11"/>
      <c r="F3536" s="16"/>
    </row>
    <row r="3537" spans="5:6">
      <c r="E3537" s="11"/>
      <c r="F3537" s="16"/>
    </row>
    <row r="3538" spans="5:6">
      <c r="E3538" s="11"/>
      <c r="F3538" s="16"/>
    </row>
    <row r="3539" spans="5:6">
      <c r="E3539" s="11"/>
      <c r="F3539" s="16"/>
    </row>
    <row r="3540" spans="5:6">
      <c r="E3540" s="11"/>
      <c r="F3540" s="16"/>
    </row>
    <row r="3541" spans="5:6">
      <c r="E3541" s="11"/>
      <c r="F3541" s="16"/>
    </row>
    <row r="3542" spans="5:6">
      <c r="E3542" s="11"/>
      <c r="F3542" s="16"/>
    </row>
    <row r="3543" spans="5:6">
      <c r="E3543" s="11"/>
      <c r="F3543" s="16"/>
    </row>
    <row r="3544" spans="5:6">
      <c r="E3544" s="11"/>
      <c r="F3544" s="16"/>
    </row>
    <row r="3545" spans="5:6">
      <c r="E3545" s="11"/>
      <c r="F3545" s="16"/>
    </row>
    <row r="3546" spans="5:6">
      <c r="E3546" s="11"/>
      <c r="F3546" s="16"/>
    </row>
    <row r="3547" spans="5:6">
      <c r="E3547" s="11"/>
      <c r="F3547" s="16"/>
    </row>
    <row r="3548" spans="5:6">
      <c r="E3548" s="11"/>
      <c r="F3548" s="16"/>
    </row>
    <row r="3549" spans="5:6">
      <c r="E3549" s="11"/>
      <c r="F3549" s="16"/>
    </row>
    <row r="3550" spans="5:6">
      <c r="E3550" s="11"/>
      <c r="F3550" s="16"/>
    </row>
    <row r="3551" spans="5:6">
      <c r="E3551" s="11"/>
      <c r="F3551" s="16"/>
    </row>
    <row r="3552" spans="5:6">
      <c r="E3552" s="11"/>
      <c r="F3552" s="16"/>
    </row>
    <row r="3553" spans="5:6">
      <c r="E3553" s="11"/>
      <c r="F3553" s="16"/>
    </row>
    <row r="3554" spans="5:6">
      <c r="E3554" s="11"/>
      <c r="F3554" s="16"/>
    </row>
    <row r="3555" spans="5:6">
      <c r="E3555" s="11"/>
      <c r="F3555" s="16"/>
    </row>
    <row r="3556" spans="5:6">
      <c r="E3556" s="11"/>
      <c r="F3556" s="16"/>
    </row>
    <row r="3557" spans="5:6">
      <c r="E3557" s="11"/>
      <c r="F3557" s="16"/>
    </row>
    <row r="3558" spans="5:6">
      <c r="E3558" s="11"/>
      <c r="F3558" s="16"/>
    </row>
    <row r="3559" spans="5:6">
      <c r="E3559" s="11"/>
      <c r="F3559" s="16"/>
    </row>
    <row r="3560" spans="5:6">
      <c r="E3560" s="11"/>
      <c r="F3560" s="16"/>
    </row>
    <row r="3561" spans="5:6">
      <c r="E3561" s="11"/>
      <c r="F3561" s="16"/>
    </row>
    <row r="3562" spans="5:6">
      <c r="E3562" s="11"/>
      <c r="F3562" s="16"/>
    </row>
    <row r="3563" spans="5:6">
      <c r="E3563" s="11"/>
      <c r="F3563" s="16"/>
    </row>
    <row r="3564" spans="5:6">
      <c r="E3564" s="11"/>
      <c r="F3564" s="16"/>
    </row>
    <row r="3565" spans="5:6">
      <c r="E3565" s="11"/>
      <c r="F3565" s="16"/>
    </row>
    <row r="3566" spans="5:6">
      <c r="E3566" s="11"/>
      <c r="F3566" s="16"/>
    </row>
    <row r="3567" spans="5:6">
      <c r="E3567" s="11"/>
      <c r="F3567" s="16"/>
    </row>
    <row r="3568" spans="5:6">
      <c r="E3568" s="11"/>
      <c r="F3568" s="16"/>
    </row>
    <row r="3569" spans="5:6">
      <c r="E3569" s="11"/>
      <c r="F3569" s="16"/>
    </row>
    <row r="3570" spans="5:6">
      <c r="E3570" s="11"/>
      <c r="F3570" s="16"/>
    </row>
    <row r="3571" spans="5:6">
      <c r="E3571" s="11"/>
      <c r="F3571" s="16"/>
    </row>
    <row r="3572" spans="5:6">
      <c r="E3572" s="11"/>
      <c r="F3572" s="16"/>
    </row>
    <row r="3573" spans="5:6">
      <c r="E3573" s="11"/>
      <c r="F3573" s="16"/>
    </row>
    <row r="3574" spans="5:6">
      <c r="E3574" s="11"/>
      <c r="F3574" s="16"/>
    </row>
    <row r="3575" spans="5:6">
      <c r="E3575" s="11"/>
      <c r="F3575" s="16"/>
    </row>
    <row r="3576" spans="5:6">
      <c r="E3576" s="11"/>
      <c r="F3576" s="16"/>
    </row>
    <row r="3577" spans="5:6">
      <c r="E3577" s="11"/>
      <c r="F3577" s="16"/>
    </row>
    <row r="3578" spans="5:6">
      <c r="E3578" s="11"/>
      <c r="F3578" s="16"/>
    </row>
    <row r="3579" spans="5:6">
      <c r="E3579" s="11"/>
      <c r="F3579" s="16"/>
    </row>
    <row r="3580" spans="5:6">
      <c r="E3580" s="11"/>
      <c r="F3580" s="16"/>
    </row>
    <row r="3581" spans="5:6">
      <c r="E3581" s="11"/>
      <c r="F3581" s="16"/>
    </row>
    <row r="3582" spans="5:6">
      <c r="E3582" s="11"/>
      <c r="F3582" s="16"/>
    </row>
    <row r="3583" spans="5:6">
      <c r="E3583" s="11"/>
      <c r="F3583" s="16"/>
    </row>
    <row r="3584" spans="5:6">
      <c r="E3584" s="11"/>
      <c r="F3584" s="16"/>
    </row>
    <row r="3585" spans="5:6">
      <c r="E3585" s="11"/>
      <c r="F3585" s="16"/>
    </row>
    <row r="3586" spans="5:6">
      <c r="E3586" s="11"/>
      <c r="F3586" s="16"/>
    </row>
    <row r="3587" spans="5:6">
      <c r="E3587" s="11"/>
      <c r="F3587" s="16"/>
    </row>
    <row r="3588" spans="5:6">
      <c r="E3588" s="11"/>
      <c r="F3588" s="16"/>
    </row>
    <row r="3589" spans="5:6">
      <c r="E3589" s="11"/>
      <c r="F3589" s="16"/>
    </row>
    <row r="3590" spans="5:6">
      <c r="E3590" s="11"/>
      <c r="F3590" s="16"/>
    </row>
    <row r="3591" spans="5:6">
      <c r="E3591" s="11"/>
      <c r="F3591" s="16"/>
    </row>
    <row r="3592" spans="5:6">
      <c r="E3592" s="11"/>
      <c r="F3592" s="16"/>
    </row>
    <row r="3593" spans="5:6">
      <c r="E3593" s="11"/>
      <c r="F3593" s="16"/>
    </row>
    <row r="3594" spans="5:6">
      <c r="E3594" s="11"/>
      <c r="F3594" s="16"/>
    </row>
    <row r="3595" spans="5:6">
      <c r="E3595" s="11"/>
      <c r="F3595" s="16"/>
    </row>
    <row r="3596" spans="5:6">
      <c r="E3596" s="11"/>
      <c r="F3596" s="16"/>
    </row>
    <row r="3597" spans="5:6">
      <c r="E3597" s="11"/>
      <c r="F3597" s="16"/>
    </row>
    <row r="3598" spans="5:6">
      <c r="E3598" s="11"/>
      <c r="F3598" s="16"/>
    </row>
    <row r="3599" spans="5:6">
      <c r="E3599" s="11"/>
      <c r="F3599" s="16"/>
    </row>
    <row r="3600" spans="5:6">
      <c r="E3600" s="11"/>
      <c r="F3600" s="16"/>
    </row>
    <row r="3601" spans="5:6">
      <c r="E3601" s="11"/>
      <c r="F3601" s="16"/>
    </row>
    <row r="3602" spans="5:6">
      <c r="E3602" s="11"/>
      <c r="F3602" s="16"/>
    </row>
    <row r="3603" spans="5:6">
      <c r="E3603" s="11"/>
      <c r="F3603" s="16"/>
    </row>
    <row r="3604" spans="5:6">
      <c r="E3604" s="11"/>
      <c r="F3604" s="16"/>
    </row>
    <row r="3605" spans="5:6">
      <c r="E3605" s="11"/>
      <c r="F3605" s="16"/>
    </row>
    <row r="3606" spans="5:6">
      <c r="E3606" s="11"/>
      <c r="F3606" s="16"/>
    </row>
    <row r="3607" spans="5:6">
      <c r="E3607" s="11"/>
      <c r="F3607" s="16"/>
    </row>
    <row r="3608" spans="5:6">
      <c r="E3608" s="11"/>
      <c r="F3608" s="16"/>
    </row>
    <row r="3609" spans="5:6">
      <c r="E3609" s="11"/>
      <c r="F3609" s="16"/>
    </row>
    <row r="3610" spans="5:6">
      <c r="E3610" s="11"/>
      <c r="F3610" s="16"/>
    </row>
    <row r="3611" spans="5:6">
      <c r="E3611" s="11"/>
      <c r="F3611" s="16"/>
    </row>
    <row r="3612" spans="5:6">
      <c r="E3612" s="11"/>
      <c r="F3612" s="16"/>
    </row>
    <row r="3613" spans="5:6">
      <c r="E3613" s="11"/>
      <c r="F3613" s="16"/>
    </row>
    <row r="3614" spans="5:6">
      <c r="E3614" s="11"/>
      <c r="F3614" s="16"/>
    </row>
    <row r="3615" spans="5:6">
      <c r="E3615" s="11"/>
      <c r="F3615" s="16"/>
    </row>
    <row r="3616" spans="5:6">
      <c r="E3616" s="11"/>
      <c r="F3616" s="16"/>
    </row>
    <row r="3617" spans="5:6">
      <c r="E3617" s="11"/>
      <c r="F3617" s="16"/>
    </row>
    <row r="3618" spans="5:6">
      <c r="E3618" s="11"/>
      <c r="F3618" s="16"/>
    </row>
    <row r="3619" spans="5:6">
      <c r="E3619" s="11"/>
      <c r="F3619" s="16"/>
    </row>
    <row r="3620" spans="5:6">
      <c r="E3620" s="11"/>
      <c r="F3620" s="16"/>
    </row>
    <row r="3621" spans="5:6">
      <c r="E3621" s="11"/>
      <c r="F3621" s="16"/>
    </row>
    <row r="3622" spans="5:6">
      <c r="E3622" s="11"/>
      <c r="F3622" s="16"/>
    </row>
    <row r="3623" spans="5:6">
      <c r="E3623" s="11"/>
      <c r="F3623" s="16"/>
    </row>
    <row r="3624" spans="5:6">
      <c r="E3624" s="11"/>
      <c r="F3624" s="16"/>
    </row>
    <row r="3625" spans="5:6">
      <c r="E3625" s="11"/>
      <c r="F3625" s="16"/>
    </row>
    <row r="3626" spans="5:6">
      <c r="E3626" s="11"/>
      <c r="F3626" s="16"/>
    </row>
    <row r="3627" spans="5:6">
      <c r="E3627" s="11"/>
      <c r="F3627" s="16"/>
    </row>
    <row r="3628" spans="5:6">
      <c r="E3628" s="11"/>
      <c r="F3628" s="16"/>
    </row>
    <row r="3629" spans="5:6">
      <c r="E3629" s="11"/>
      <c r="F3629" s="16"/>
    </row>
    <row r="3630" spans="5:6">
      <c r="E3630" s="11"/>
      <c r="F3630" s="16"/>
    </row>
    <row r="3631" spans="5:6">
      <c r="E3631" s="11"/>
      <c r="F3631" s="16"/>
    </row>
    <row r="3632" spans="5:6">
      <c r="E3632" s="11"/>
      <c r="F3632" s="16"/>
    </row>
    <row r="3633" spans="5:6">
      <c r="E3633" s="11"/>
      <c r="F3633" s="16"/>
    </row>
    <row r="3634" spans="5:6">
      <c r="E3634" s="11"/>
      <c r="F3634" s="16"/>
    </row>
    <row r="3635" spans="5:6">
      <c r="E3635" s="11"/>
      <c r="F3635" s="16"/>
    </row>
    <row r="3636" spans="5:6">
      <c r="E3636" s="11"/>
      <c r="F3636" s="16"/>
    </row>
    <row r="3637" spans="5:6">
      <c r="E3637" s="11"/>
      <c r="F3637" s="16"/>
    </row>
    <row r="3638" spans="5:6">
      <c r="E3638" s="11"/>
      <c r="F3638" s="16"/>
    </row>
    <row r="3639" spans="5:6">
      <c r="E3639" s="11"/>
      <c r="F3639" s="16"/>
    </row>
    <row r="3640" spans="5:6">
      <c r="E3640" s="11"/>
      <c r="F3640" s="16"/>
    </row>
    <row r="3641" spans="5:6">
      <c r="E3641" s="11"/>
      <c r="F3641" s="16"/>
    </row>
    <row r="3642" spans="5:6">
      <c r="E3642" s="11"/>
      <c r="F3642" s="16"/>
    </row>
    <row r="3643" spans="5:6">
      <c r="E3643" s="11"/>
      <c r="F3643" s="16"/>
    </row>
    <row r="3644" spans="5:6">
      <c r="E3644" s="11"/>
      <c r="F3644" s="16"/>
    </row>
    <row r="3645" spans="5:6">
      <c r="E3645" s="11"/>
      <c r="F3645" s="16"/>
    </row>
    <row r="3646" spans="5:6">
      <c r="E3646" s="11"/>
      <c r="F3646" s="16"/>
    </row>
    <row r="3647" spans="5:6">
      <c r="E3647" s="11"/>
      <c r="F3647" s="16"/>
    </row>
    <row r="3648" spans="5:6">
      <c r="E3648" s="11"/>
      <c r="F3648" s="16"/>
    </row>
    <row r="3649" spans="5:6">
      <c r="E3649" s="11"/>
      <c r="F3649" s="16"/>
    </row>
    <row r="3650" spans="5:6">
      <c r="E3650" s="11"/>
      <c r="F3650" s="16"/>
    </row>
    <row r="3651" spans="5:6">
      <c r="E3651" s="11"/>
      <c r="F3651" s="16"/>
    </row>
    <row r="3652" spans="5:6">
      <c r="E3652" s="11"/>
      <c r="F3652" s="16"/>
    </row>
    <row r="3653" spans="5:6">
      <c r="E3653" s="11"/>
      <c r="F3653" s="16"/>
    </row>
    <row r="3654" spans="5:6">
      <c r="E3654" s="11"/>
      <c r="F3654" s="16"/>
    </row>
    <row r="3655" spans="5:6">
      <c r="E3655" s="11"/>
      <c r="F3655" s="16"/>
    </row>
    <row r="3656" spans="5:6">
      <c r="E3656" s="11"/>
      <c r="F3656" s="16"/>
    </row>
    <row r="3657" spans="5:6">
      <c r="E3657" s="11"/>
      <c r="F3657" s="16"/>
    </row>
    <row r="3658" spans="5:6">
      <c r="E3658" s="11"/>
      <c r="F3658" s="16"/>
    </row>
    <row r="3659" spans="5:6">
      <c r="E3659" s="11"/>
      <c r="F3659" s="16"/>
    </row>
    <row r="3660" spans="5:6">
      <c r="E3660" s="11"/>
      <c r="F3660" s="16"/>
    </row>
    <row r="3661" spans="5:6">
      <c r="E3661" s="11"/>
      <c r="F3661" s="16"/>
    </row>
    <row r="3662" spans="5:6">
      <c r="E3662" s="11"/>
      <c r="F3662" s="16"/>
    </row>
    <row r="3663" spans="5:6">
      <c r="E3663" s="11"/>
      <c r="F3663" s="16"/>
    </row>
    <row r="3664" spans="5:6">
      <c r="E3664" s="11"/>
      <c r="F3664" s="16"/>
    </row>
    <row r="3665" spans="5:6">
      <c r="E3665" s="11"/>
      <c r="F3665" s="16"/>
    </row>
    <row r="3666" spans="5:6">
      <c r="E3666" s="11"/>
      <c r="F3666" s="16"/>
    </row>
    <row r="3667" spans="5:6">
      <c r="E3667" s="11"/>
      <c r="F3667" s="16"/>
    </row>
    <row r="3668" spans="5:6">
      <c r="E3668" s="11"/>
      <c r="F3668" s="16"/>
    </row>
    <row r="3669" spans="5:6">
      <c r="E3669" s="11"/>
      <c r="F3669" s="16"/>
    </row>
    <row r="3670" spans="5:6">
      <c r="E3670" s="11"/>
      <c r="F3670" s="16"/>
    </row>
    <row r="3671" spans="5:6">
      <c r="E3671" s="11"/>
      <c r="F3671" s="16"/>
    </row>
    <row r="3672" spans="5:6">
      <c r="E3672" s="11"/>
      <c r="F3672" s="16"/>
    </row>
    <row r="3673" spans="5:6">
      <c r="E3673" s="11"/>
      <c r="F3673" s="16"/>
    </row>
    <row r="3674" spans="5:6">
      <c r="E3674" s="11"/>
      <c r="F3674" s="16"/>
    </row>
    <row r="3675" spans="5:6">
      <c r="E3675" s="11"/>
      <c r="F3675" s="16"/>
    </row>
    <row r="3676" spans="5:6">
      <c r="E3676" s="11"/>
      <c r="F3676" s="16"/>
    </row>
    <row r="3677" spans="5:6">
      <c r="E3677" s="11"/>
      <c r="F3677" s="16"/>
    </row>
    <row r="3678" spans="5:6">
      <c r="E3678" s="11"/>
      <c r="F3678" s="16"/>
    </row>
    <row r="3679" spans="5:6">
      <c r="E3679" s="11"/>
      <c r="F3679" s="16"/>
    </row>
    <row r="3680" spans="5:6">
      <c r="E3680" s="11"/>
      <c r="F3680" s="16"/>
    </row>
    <row r="3681" spans="5:6">
      <c r="E3681" s="11"/>
      <c r="F3681" s="16"/>
    </row>
    <row r="3682" spans="5:6">
      <c r="E3682" s="11"/>
      <c r="F3682" s="16"/>
    </row>
    <row r="3683" spans="5:6">
      <c r="E3683" s="11"/>
      <c r="F3683" s="16"/>
    </row>
    <row r="3684" spans="5:6">
      <c r="E3684" s="11"/>
      <c r="F3684" s="16"/>
    </row>
    <row r="3685" spans="5:6">
      <c r="E3685" s="11"/>
      <c r="F3685" s="16"/>
    </row>
    <row r="3686" spans="5:6">
      <c r="E3686" s="11"/>
      <c r="F3686" s="16"/>
    </row>
    <row r="3687" spans="5:6">
      <c r="E3687" s="11"/>
      <c r="F3687" s="16"/>
    </row>
    <row r="3688" spans="5:6">
      <c r="E3688" s="11"/>
      <c r="F3688" s="16"/>
    </row>
    <row r="3689" spans="5:6">
      <c r="E3689" s="11"/>
      <c r="F3689" s="16"/>
    </row>
    <row r="3690" spans="5:6">
      <c r="E3690" s="11"/>
      <c r="F3690" s="16"/>
    </row>
    <row r="3691" spans="5:6">
      <c r="E3691" s="11"/>
      <c r="F3691" s="16"/>
    </row>
    <row r="3692" spans="5:6">
      <c r="E3692" s="11"/>
      <c r="F3692" s="16"/>
    </row>
    <row r="3693" spans="5:6">
      <c r="E3693" s="11"/>
      <c r="F3693" s="16"/>
    </row>
    <row r="3694" spans="5:6">
      <c r="E3694" s="11"/>
      <c r="F3694" s="16"/>
    </row>
    <row r="3695" spans="5:6">
      <c r="E3695" s="11"/>
      <c r="F3695" s="16"/>
    </row>
    <row r="3696" spans="5:6">
      <c r="E3696" s="11"/>
      <c r="F3696" s="16"/>
    </row>
    <row r="3697" spans="5:6">
      <c r="E3697" s="11"/>
      <c r="F3697" s="16"/>
    </row>
    <row r="3698" spans="5:6">
      <c r="E3698" s="11"/>
      <c r="F3698" s="16"/>
    </row>
    <row r="3699" spans="5:6">
      <c r="E3699" s="11"/>
      <c r="F3699" s="16"/>
    </row>
    <row r="3700" spans="5:6">
      <c r="E3700" s="11"/>
      <c r="F3700" s="16"/>
    </row>
    <row r="3701" spans="5:6">
      <c r="E3701" s="11"/>
      <c r="F3701" s="16"/>
    </row>
    <row r="3702" spans="5:6">
      <c r="E3702" s="11"/>
      <c r="F3702" s="16"/>
    </row>
    <row r="3703" spans="5:6">
      <c r="E3703" s="11"/>
      <c r="F3703" s="16"/>
    </row>
    <row r="3704" spans="5:6">
      <c r="E3704" s="11"/>
      <c r="F3704" s="16"/>
    </row>
    <row r="3705" spans="5:6">
      <c r="E3705" s="11"/>
      <c r="F3705" s="16"/>
    </row>
    <row r="3706" spans="5:6">
      <c r="E3706" s="11"/>
      <c r="F3706" s="16"/>
    </row>
    <row r="3707" spans="5:6">
      <c r="E3707" s="11"/>
      <c r="F3707" s="16"/>
    </row>
    <row r="3708" spans="5:6">
      <c r="E3708" s="11"/>
      <c r="F3708" s="16"/>
    </row>
    <row r="3709" spans="5:6">
      <c r="E3709" s="11"/>
      <c r="F3709" s="16"/>
    </row>
    <row r="3710" spans="5:6">
      <c r="E3710" s="11"/>
      <c r="F3710" s="16"/>
    </row>
    <row r="3711" spans="5:6">
      <c r="E3711" s="11"/>
      <c r="F3711" s="16"/>
    </row>
    <row r="3712" spans="5:6">
      <c r="E3712" s="11"/>
      <c r="F3712" s="16"/>
    </row>
    <row r="3713" spans="5:6">
      <c r="E3713" s="11"/>
      <c r="F3713" s="16"/>
    </row>
    <row r="3714" spans="5:6">
      <c r="E3714" s="11"/>
      <c r="F3714" s="16"/>
    </row>
    <row r="3715" spans="5:6">
      <c r="E3715" s="11"/>
      <c r="F3715" s="16"/>
    </row>
    <row r="3716" spans="5:6">
      <c r="E3716" s="11"/>
      <c r="F3716" s="16"/>
    </row>
    <row r="3717" spans="5:6">
      <c r="E3717" s="11"/>
      <c r="F3717" s="16"/>
    </row>
    <row r="3718" spans="5:6">
      <c r="E3718" s="11"/>
      <c r="F3718" s="16"/>
    </row>
    <row r="3719" spans="5:6">
      <c r="E3719" s="11"/>
      <c r="F3719" s="16"/>
    </row>
    <row r="3720" spans="5:6">
      <c r="E3720" s="11"/>
      <c r="F3720" s="16"/>
    </row>
    <row r="3721" spans="5:6">
      <c r="E3721" s="11"/>
      <c r="F3721" s="16"/>
    </row>
    <row r="3722" spans="5:6">
      <c r="E3722" s="11"/>
      <c r="F3722" s="16"/>
    </row>
    <row r="3723" spans="5:6">
      <c r="E3723" s="11"/>
      <c r="F3723" s="16"/>
    </row>
    <row r="3724" spans="5:6">
      <c r="E3724" s="11"/>
      <c r="F3724" s="16"/>
    </row>
    <row r="3725" spans="5:6">
      <c r="E3725" s="11"/>
      <c r="F3725" s="16"/>
    </row>
    <row r="3726" spans="5:6">
      <c r="E3726" s="11"/>
      <c r="F3726" s="16"/>
    </row>
    <row r="3727" spans="5:6">
      <c r="E3727" s="11"/>
      <c r="F3727" s="16"/>
    </row>
    <row r="3728" spans="5:6">
      <c r="E3728" s="11"/>
      <c r="F3728" s="16"/>
    </row>
    <row r="3729" spans="5:6">
      <c r="E3729" s="11"/>
      <c r="F3729" s="16"/>
    </row>
    <row r="3730" spans="5:6">
      <c r="E3730" s="11"/>
      <c r="F3730" s="16"/>
    </row>
    <row r="3731" spans="5:6">
      <c r="E3731" s="11"/>
      <c r="F3731" s="16"/>
    </row>
    <row r="3732" spans="5:6">
      <c r="E3732" s="11"/>
      <c r="F3732" s="16"/>
    </row>
    <row r="3733" spans="5:6">
      <c r="E3733" s="11"/>
      <c r="F3733" s="16"/>
    </row>
    <row r="3734" spans="5:6">
      <c r="E3734" s="11"/>
      <c r="F3734" s="16"/>
    </row>
    <row r="3735" spans="5:6">
      <c r="E3735" s="11"/>
      <c r="F3735" s="16"/>
    </row>
    <row r="3736" spans="5:6">
      <c r="E3736" s="11"/>
      <c r="F3736" s="16"/>
    </row>
    <row r="3737" spans="5:6">
      <c r="E3737" s="11"/>
      <c r="F3737" s="16"/>
    </row>
    <row r="3738" spans="5:6">
      <c r="E3738" s="11"/>
      <c r="F3738" s="16"/>
    </row>
    <row r="3739" spans="5:6">
      <c r="E3739" s="11"/>
      <c r="F3739" s="16"/>
    </row>
    <row r="3740" spans="5:6">
      <c r="E3740" s="11"/>
      <c r="F3740" s="16"/>
    </row>
    <row r="3741" spans="5:6">
      <c r="E3741" s="11"/>
      <c r="F3741" s="16"/>
    </row>
    <row r="3742" spans="5:6">
      <c r="E3742" s="11"/>
      <c r="F3742" s="16"/>
    </row>
    <row r="3743" spans="5:6">
      <c r="E3743" s="11"/>
      <c r="F3743" s="16"/>
    </row>
    <row r="3744" spans="5:6">
      <c r="E3744" s="11"/>
      <c r="F3744" s="16"/>
    </row>
    <row r="3745" spans="5:6">
      <c r="E3745" s="11"/>
      <c r="F3745" s="16"/>
    </row>
    <row r="3746" spans="5:6">
      <c r="E3746" s="11"/>
      <c r="F3746" s="16"/>
    </row>
    <row r="3747" spans="5:6">
      <c r="E3747" s="11"/>
      <c r="F3747" s="16"/>
    </row>
    <row r="3748" spans="5:6">
      <c r="E3748" s="11"/>
      <c r="F3748" s="16"/>
    </row>
    <row r="3749" spans="5:6">
      <c r="E3749" s="11"/>
      <c r="F3749" s="16"/>
    </row>
    <row r="3750" spans="5:6">
      <c r="E3750" s="11"/>
      <c r="F3750" s="16"/>
    </row>
    <row r="3751" spans="5:6">
      <c r="E3751" s="11"/>
      <c r="F3751" s="16"/>
    </row>
    <row r="3752" spans="5:6">
      <c r="E3752" s="11"/>
      <c r="F3752" s="16"/>
    </row>
    <row r="3753" spans="5:6">
      <c r="E3753" s="11"/>
      <c r="F3753" s="16"/>
    </row>
    <row r="3754" spans="5:6">
      <c r="E3754" s="11"/>
      <c r="F3754" s="16"/>
    </row>
    <row r="3755" spans="5:6">
      <c r="E3755" s="11"/>
      <c r="F3755" s="16"/>
    </row>
    <row r="3756" spans="5:6">
      <c r="E3756" s="11"/>
      <c r="F3756" s="16"/>
    </row>
    <row r="3757" spans="5:6">
      <c r="E3757" s="11"/>
      <c r="F3757" s="16"/>
    </row>
    <row r="3758" spans="5:6">
      <c r="E3758" s="11"/>
      <c r="F3758" s="16"/>
    </row>
    <row r="3759" spans="5:6">
      <c r="E3759" s="11"/>
      <c r="F3759" s="16"/>
    </row>
    <row r="3760" spans="5:6">
      <c r="E3760" s="11"/>
      <c r="F3760" s="16"/>
    </row>
    <row r="3761" spans="5:6">
      <c r="E3761" s="11"/>
      <c r="F3761" s="16"/>
    </row>
    <row r="3762" spans="5:6">
      <c r="E3762" s="11"/>
      <c r="F3762" s="16"/>
    </row>
    <row r="3763" spans="5:6">
      <c r="E3763" s="11"/>
      <c r="F3763" s="16"/>
    </row>
    <row r="3764" spans="5:6">
      <c r="E3764" s="11"/>
      <c r="F3764" s="16"/>
    </row>
    <row r="3765" spans="5:6">
      <c r="E3765" s="11"/>
      <c r="F3765" s="16"/>
    </row>
    <row r="3766" spans="5:6">
      <c r="E3766" s="11"/>
      <c r="F3766" s="16"/>
    </row>
    <row r="3767" spans="5:6">
      <c r="E3767" s="11"/>
      <c r="F3767" s="16"/>
    </row>
    <row r="3768" spans="5:6">
      <c r="E3768" s="11"/>
      <c r="F3768" s="16"/>
    </row>
    <row r="3769" spans="5:6">
      <c r="E3769" s="11"/>
      <c r="F3769" s="16"/>
    </row>
    <row r="3770" spans="5:6">
      <c r="E3770" s="11"/>
      <c r="F3770" s="16"/>
    </row>
    <row r="3771" spans="5:6">
      <c r="E3771" s="11"/>
      <c r="F3771" s="16"/>
    </row>
    <row r="3772" spans="5:6">
      <c r="E3772" s="11"/>
      <c r="F3772" s="16"/>
    </row>
    <row r="3773" spans="5:6">
      <c r="E3773" s="11"/>
      <c r="F3773" s="16"/>
    </row>
    <row r="3774" spans="5:6">
      <c r="E3774" s="11"/>
      <c r="F3774" s="16"/>
    </row>
    <row r="3775" spans="5:6">
      <c r="E3775" s="11"/>
      <c r="F3775" s="16"/>
    </row>
    <row r="3776" spans="5:6">
      <c r="E3776" s="11"/>
      <c r="F3776" s="16"/>
    </row>
    <row r="3777" spans="5:6">
      <c r="E3777" s="11"/>
      <c r="F3777" s="16"/>
    </row>
    <row r="3778" spans="5:6">
      <c r="E3778" s="11"/>
      <c r="F3778" s="16"/>
    </row>
    <row r="3779" spans="5:6">
      <c r="E3779" s="11"/>
      <c r="F3779" s="16"/>
    </row>
    <row r="3780" spans="5:6">
      <c r="E3780" s="11"/>
      <c r="F3780" s="16"/>
    </row>
    <row r="3781" spans="5:6">
      <c r="E3781" s="11"/>
      <c r="F3781" s="16"/>
    </row>
    <row r="3782" spans="5:6">
      <c r="E3782" s="11"/>
      <c r="F3782" s="16"/>
    </row>
    <row r="3783" spans="5:6">
      <c r="E3783" s="11"/>
      <c r="F3783" s="16"/>
    </row>
    <row r="3784" spans="5:6">
      <c r="E3784" s="11"/>
      <c r="F3784" s="16"/>
    </row>
    <row r="3785" spans="5:6">
      <c r="E3785" s="11"/>
      <c r="F3785" s="16"/>
    </row>
    <row r="3786" spans="5:6">
      <c r="E3786" s="11"/>
      <c r="F3786" s="16"/>
    </row>
    <row r="3787" spans="5:6">
      <c r="E3787" s="11"/>
      <c r="F3787" s="16"/>
    </row>
    <row r="3788" spans="5:6">
      <c r="E3788" s="11"/>
      <c r="F3788" s="16"/>
    </row>
    <row r="3789" spans="5:6">
      <c r="E3789" s="11"/>
      <c r="F3789" s="16"/>
    </row>
    <row r="3790" spans="5:6">
      <c r="E3790" s="11"/>
      <c r="F3790" s="16"/>
    </row>
    <row r="3791" spans="5:6">
      <c r="E3791" s="11"/>
      <c r="F3791" s="16"/>
    </row>
    <row r="3792" spans="5:6">
      <c r="E3792" s="11"/>
      <c r="F3792" s="16"/>
    </row>
    <row r="3793" spans="5:6">
      <c r="E3793" s="11"/>
      <c r="F3793" s="16"/>
    </row>
    <row r="3794" spans="5:6">
      <c r="E3794" s="11"/>
      <c r="F3794" s="16"/>
    </row>
    <row r="3795" spans="5:6">
      <c r="E3795" s="11"/>
      <c r="F3795" s="16"/>
    </row>
    <row r="3796" spans="5:6">
      <c r="E3796" s="11"/>
      <c r="F3796" s="16"/>
    </row>
    <row r="3797" spans="5:6">
      <c r="E3797" s="11"/>
      <c r="F3797" s="16"/>
    </row>
    <row r="3798" spans="5:6">
      <c r="E3798" s="11"/>
      <c r="F3798" s="16"/>
    </row>
    <row r="3799" spans="5:6">
      <c r="E3799" s="11"/>
      <c r="F3799" s="16"/>
    </row>
    <row r="3800" spans="5:6">
      <c r="E3800" s="11"/>
      <c r="F3800" s="16"/>
    </row>
    <row r="3801" spans="5:6">
      <c r="E3801" s="11"/>
      <c r="F3801" s="16"/>
    </row>
    <row r="3802" spans="5:6">
      <c r="E3802" s="11"/>
      <c r="F3802" s="16"/>
    </row>
    <row r="3803" spans="5:6">
      <c r="E3803" s="11"/>
      <c r="F3803" s="16"/>
    </row>
    <row r="3804" spans="5:6">
      <c r="E3804" s="11"/>
      <c r="F3804" s="16"/>
    </row>
    <row r="3805" spans="5:6">
      <c r="E3805" s="11"/>
      <c r="F3805" s="16"/>
    </row>
    <row r="3806" spans="5:6">
      <c r="E3806" s="11"/>
      <c r="F3806" s="16"/>
    </row>
    <row r="3807" spans="5:6">
      <c r="E3807" s="11"/>
      <c r="F3807" s="16"/>
    </row>
    <row r="3808" spans="5:6">
      <c r="E3808" s="11"/>
      <c r="F3808" s="16"/>
    </row>
    <row r="3809" spans="5:6">
      <c r="E3809" s="11"/>
      <c r="F3809" s="16"/>
    </row>
    <row r="3810" spans="5:6">
      <c r="E3810" s="11"/>
      <c r="F3810" s="16"/>
    </row>
    <row r="3811" spans="5:6">
      <c r="E3811" s="11"/>
      <c r="F3811" s="16"/>
    </row>
    <row r="3812" spans="5:6">
      <c r="E3812" s="11"/>
      <c r="F3812" s="16"/>
    </row>
    <row r="3813" spans="5:6">
      <c r="E3813" s="11"/>
      <c r="F3813" s="16"/>
    </row>
    <row r="3814" spans="5:6">
      <c r="E3814" s="11"/>
      <c r="F3814" s="16"/>
    </row>
    <row r="3815" spans="5:6">
      <c r="E3815" s="11"/>
      <c r="F3815" s="16"/>
    </row>
    <row r="3816" spans="5:6">
      <c r="E3816" s="11"/>
      <c r="F3816" s="16"/>
    </row>
    <row r="3817" spans="5:6">
      <c r="E3817" s="11"/>
      <c r="F3817" s="16"/>
    </row>
    <row r="3818" spans="5:6">
      <c r="E3818" s="11"/>
      <c r="F3818" s="16"/>
    </row>
    <row r="3819" spans="5:6">
      <c r="E3819" s="11"/>
      <c r="F3819" s="16"/>
    </row>
    <row r="3820" spans="5:6">
      <c r="E3820" s="11"/>
      <c r="F3820" s="16"/>
    </row>
    <row r="3821" spans="5:6">
      <c r="E3821" s="11"/>
      <c r="F3821" s="16"/>
    </row>
    <row r="3822" spans="5:6">
      <c r="E3822" s="11"/>
      <c r="F3822" s="16"/>
    </row>
    <row r="3823" spans="5:6">
      <c r="E3823" s="11"/>
      <c r="F3823" s="16"/>
    </row>
    <row r="3824" spans="5:6">
      <c r="E3824" s="11"/>
      <c r="F3824" s="16"/>
    </row>
    <row r="3825" spans="5:6">
      <c r="E3825" s="11"/>
      <c r="F3825" s="16"/>
    </row>
    <row r="3826" spans="5:6">
      <c r="E3826" s="11"/>
      <c r="F3826" s="16"/>
    </row>
    <row r="3827" spans="5:6">
      <c r="E3827" s="11"/>
      <c r="F3827" s="16"/>
    </row>
    <row r="3828" spans="5:6">
      <c r="E3828" s="11"/>
      <c r="F3828" s="16"/>
    </row>
    <row r="3829" spans="5:6">
      <c r="E3829" s="11"/>
      <c r="F3829" s="16"/>
    </row>
    <row r="3830" spans="5:6">
      <c r="E3830" s="11"/>
      <c r="F3830" s="16"/>
    </row>
    <row r="3831" spans="5:6">
      <c r="E3831" s="11"/>
      <c r="F3831" s="16"/>
    </row>
    <row r="3832" spans="5:6">
      <c r="E3832" s="11"/>
      <c r="F3832" s="16"/>
    </row>
    <row r="3833" spans="5:6">
      <c r="E3833" s="11"/>
      <c r="F3833" s="16"/>
    </row>
    <row r="3834" spans="5:6">
      <c r="E3834" s="11"/>
      <c r="F3834" s="16"/>
    </row>
    <row r="3835" spans="5:6">
      <c r="E3835" s="11"/>
      <c r="F3835" s="16"/>
    </row>
    <row r="3836" spans="5:6">
      <c r="E3836" s="11"/>
      <c r="F3836" s="16"/>
    </row>
    <row r="3837" spans="5:6">
      <c r="E3837" s="11"/>
      <c r="F3837" s="16"/>
    </row>
    <row r="3838" spans="5:6">
      <c r="E3838" s="11"/>
      <c r="F3838" s="16"/>
    </row>
    <row r="3839" spans="5:6">
      <c r="E3839" s="11"/>
      <c r="F3839" s="16"/>
    </row>
    <row r="3840" spans="5:6">
      <c r="E3840" s="11"/>
      <c r="F3840" s="16"/>
    </row>
    <row r="3841" spans="5:6">
      <c r="E3841" s="11"/>
      <c r="F3841" s="16"/>
    </row>
    <row r="3842" spans="5:6">
      <c r="E3842" s="11"/>
      <c r="F3842" s="16"/>
    </row>
    <row r="3843" spans="5:6">
      <c r="E3843" s="11"/>
      <c r="F3843" s="16"/>
    </row>
    <row r="3844" spans="5:6">
      <c r="E3844" s="11"/>
      <c r="F3844" s="16"/>
    </row>
    <row r="3845" spans="5:6">
      <c r="E3845" s="11"/>
      <c r="F3845" s="16"/>
    </row>
    <row r="3846" spans="5:6">
      <c r="E3846" s="11"/>
      <c r="F3846" s="16"/>
    </row>
    <row r="3847" spans="5:6">
      <c r="E3847" s="11"/>
      <c r="F3847" s="16"/>
    </row>
    <row r="3848" spans="5:6">
      <c r="E3848" s="11"/>
      <c r="F3848" s="16"/>
    </row>
    <row r="3849" spans="5:6">
      <c r="E3849" s="11"/>
      <c r="F3849" s="16"/>
    </row>
    <row r="3850" spans="5:6">
      <c r="E3850" s="11"/>
      <c r="F3850" s="16"/>
    </row>
    <row r="3851" spans="5:6">
      <c r="E3851" s="11"/>
      <c r="F3851" s="16"/>
    </row>
    <row r="3852" spans="5:6">
      <c r="E3852" s="11"/>
      <c r="F3852" s="16"/>
    </row>
    <row r="3853" spans="5:6">
      <c r="E3853" s="11"/>
      <c r="F3853" s="16"/>
    </row>
    <row r="3854" spans="5:6">
      <c r="E3854" s="11"/>
      <c r="F3854" s="16"/>
    </row>
    <row r="3855" spans="5:6">
      <c r="E3855" s="11"/>
      <c r="F3855" s="16"/>
    </row>
    <row r="3856" spans="5:6">
      <c r="E3856" s="11"/>
      <c r="F3856" s="16"/>
    </row>
    <row r="3857" spans="5:6">
      <c r="E3857" s="11"/>
      <c r="F3857" s="16"/>
    </row>
    <row r="3858" spans="5:6">
      <c r="E3858" s="11"/>
      <c r="F3858" s="16"/>
    </row>
    <row r="3859" spans="5:6">
      <c r="E3859" s="11"/>
      <c r="F3859" s="16"/>
    </row>
    <row r="3860" spans="5:6">
      <c r="E3860" s="11"/>
      <c r="F3860" s="16"/>
    </row>
    <row r="3861" spans="5:6">
      <c r="E3861" s="11"/>
      <c r="F3861" s="16"/>
    </row>
    <row r="3862" spans="5:6">
      <c r="E3862" s="11"/>
      <c r="F3862" s="16"/>
    </row>
    <row r="3863" spans="5:6">
      <c r="E3863" s="11"/>
      <c r="F3863" s="16"/>
    </row>
    <row r="3864" spans="5:6">
      <c r="E3864" s="11"/>
      <c r="F3864" s="16"/>
    </row>
    <row r="3865" spans="5:6">
      <c r="E3865" s="11"/>
      <c r="F3865" s="16"/>
    </row>
    <row r="3866" spans="5:6">
      <c r="E3866" s="11"/>
      <c r="F3866" s="16"/>
    </row>
    <row r="3867" spans="5:6">
      <c r="E3867" s="11"/>
      <c r="F3867" s="16"/>
    </row>
    <row r="3868" spans="5:6">
      <c r="E3868" s="11"/>
      <c r="F3868" s="16"/>
    </row>
    <row r="3869" spans="5:6">
      <c r="E3869" s="11"/>
      <c r="F3869" s="16"/>
    </row>
    <row r="3870" spans="5:6">
      <c r="E3870" s="11"/>
      <c r="F3870" s="16"/>
    </row>
    <row r="3871" spans="5:6">
      <c r="E3871" s="11"/>
      <c r="F3871" s="16"/>
    </row>
    <row r="3872" spans="5:6">
      <c r="E3872" s="11"/>
      <c r="F3872" s="16"/>
    </row>
    <row r="3873" spans="5:6">
      <c r="E3873" s="11"/>
      <c r="F3873" s="16"/>
    </row>
    <row r="3874" spans="5:6">
      <c r="E3874" s="11"/>
      <c r="F3874" s="16"/>
    </row>
    <row r="3875" spans="5:6">
      <c r="E3875" s="11"/>
      <c r="F3875" s="16"/>
    </row>
    <row r="3876" spans="5:6">
      <c r="E3876" s="11"/>
      <c r="F3876" s="16"/>
    </row>
    <row r="3877" spans="5:6">
      <c r="E3877" s="11"/>
      <c r="F3877" s="16"/>
    </row>
    <row r="3878" spans="5:6">
      <c r="E3878" s="11"/>
      <c r="F3878" s="16"/>
    </row>
    <row r="3879" spans="5:6">
      <c r="E3879" s="11"/>
      <c r="F3879" s="16"/>
    </row>
    <row r="3880" spans="5:6">
      <c r="E3880" s="11"/>
      <c r="F3880" s="16"/>
    </row>
    <row r="3881" spans="5:6">
      <c r="E3881" s="11"/>
      <c r="F3881" s="16"/>
    </row>
    <row r="3882" spans="5:6">
      <c r="E3882" s="11"/>
      <c r="F3882" s="16"/>
    </row>
    <row r="3883" spans="5:6">
      <c r="E3883" s="11"/>
      <c r="F3883" s="16"/>
    </row>
    <row r="3884" spans="5:6">
      <c r="E3884" s="11"/>
      <c r="F3884" s="16"/>
    </row>
    <row r="3885" spans="5:6">
      <c r="E3885" s="11"/>
      <c r="F3885" s="16"/>
    </row>
    <row r="3886" spans="5:6">
      <c r="E3886" s="11"/>
      <c r="F3886" s="16"/>
    </row>
    <row r="3887" spans="5:6">
      <c r="E3887" s="11"/>
      <c r="F3887" s="16"/>
    </row>
    <row r="3888" spans="5:6">
      <c r="E3888" s="11"/>
      <c r="F3888" s="16"/>
    </row>
    <row r="3889" spans="5:6">
      <c r="E3889" s="11"/>
      <c r="F3889" s="16"/>
    </row>
    <row r="3890" spans="5:6">
      <c r="E3890" s="11"/>
      <c r="F3890" s="16"/>
    </row>
    <row r="3891" spans="5:6">
      <c r="E3891" s="11"/>
      <c r="F3891" s="16"/>
    </row>
    <row r="3892" spans="5:6">
      <c r="E3892" s="11"/>
      <c r="F3892" s="16"/>
    </row>
    <row r="3893" spans="5:6">
      <c r="E3893" s="11"/>
      <c r="F3893" s="16"/>
    </row>
    <row r="3894" spans="5:6">
      <c r="E3894" s="11"/>
      <c r="F3894" s="16"/>
    </row>
    <row r="3895" spans="5:6">
      <c r="E3895" s="11"/>
      <c r="F3895" s="16"/>
    </row>
    <row r="3896" spans="5:6">
      <c r="E3896" s="11"/>
      <c r="F3896" s="16"/>
    </row>
    <row r="3897" spans="5:6">
      <c r="E3897" s="11"/>
      <c r="F3897" s="16"/>
    </row>
    <row r="3898" spans="5:6">
      <c r="E3898" s="11"/>
      <c r="F3898" s="16"/>
    </row>
    <row r="3899" spans="5:6">
      <c r="E3899" s="11"/>
      <c r="F3899" s="16"/>
    </row>
    <row r="3900" spans="5:6">
      <c r="E3900" s="11"/>
      <c r="F3900" s="16"/>
    </row>
    <row r="3901" spans="5:6">
      <c r="E3901" s="11"/>
      <c r="F3901" s="16"/>
    </row>
    <row r="3902" spans="5:6">
      <c r="E3902" s="11"/>
      <c r="F3902" s="16"/>
    </row>
    <row r="3903" spans="5:6">
      <c r="E3903" s="11"/>
      <c r="F3903" s="16"/>
    </row>
    <row r="3904" spans="5:6">
      <c r="E3904" s="11"/>
      <c r="F3904" s="16"/>
    </row>
    <row r="3905" spans="5:6">
      <c r="E3905" s="11"/>
      <c r="F3905" s="16"/>
    </row>
    <row r="3906" spans="5:6">
      <c r="E3906" s="11"/>
      <c r="F3906" s="16"/>
    </row>
    <row r="3907" spans="5:6">
      <c r="E3907" s="11"/>
      <c r="F3907" s="16"/>
    </row>
    <row r="3908" spans="5:6">
      <c r="E3908" s="11"/>
      <c r="F3908" s="16"/>
    </row>
    <row r="3909" spans="5:6">
      <c r="E3909" s="11"/>
      <c r="F3909" s="16"/>
    </row>
    <row r="3910" spans="5:6">
      <c r="E3910" s="11"/>
      <c r="F3910" s="16"/>
    </row>
    <row r="3911" spans="5:6">
      <c r="E3911" s="11"/>
      <c r="F3911" s="16"/>
    </row>
    <row r="3912" spans="5:6">
      <c r="E3912" s="11"/>
      <c r="F3912" s="16"/>
    </row>
    <row r="3913" spans="5:6">
      <c r="E3913" s="11"/>
      <c r="F3913" s="16"/>
    </row>
    <row r="3914" spans="5:6">
      <c r="E3914" s="11"/>
      <c r="F3914" s="16"/>
    </row>
    <row r="3915" spans="5:6">
      <c r="E3915" s="11"/>
      <c r="F3915" s="16"/>
    </row>
    <row r="3916" spans="5:6">
      <c r="E3916" s="11"/>
      <c r="F3916" s="16"/>
    </row>
    <row r="3917" spans="5:6">
      <c r="E3917" s="11"/>
      <c r="F3917" s="16"/>
    </row>
    <row r="3918" spans="5:6">
      <c r="E3918" s="11"/>
      <c r="F3918" s="16"/>
    </row>
    <row r="3919" spans="5:6">
      <c r="E3919" s="11"/>
      <c r="F3919" s="16"/>
    </row>
    <row r="3920" spans="5:6">
      <c r="E3920" s="11"/>
      <c r="F3920" s="16"/>
    </row>
    <row r="3921" spans="5:6">
      <c r="E3921" s="11"/>
      <c r="F3921" s="16"/>
    </row>
    <row r="3922" spans="5:6">
      <c r="E3922" s="11"/>
      <c r="F3922" s="16"/>
    </row>
    <row r="3923" spans="5:6">
      <c r="E3923" s="11"/>
      <c r="F3923" s="16"/>
    </row>
    <row r="3924" spans="5:6">
      <c r="E3924" s="11"/>
      <c r="F3924" s="16"/>
    </row>
    <row r="3925" spans="5:6">
      <c r="E3925" s="11"/>
      <c r="F3925" s="16"/>
    </row>
    <row r="3926" spans="5:6">
      <c r="E3926" s="11"/>
      <c r="F3926" s="16"/>
    </row>
    <row r="3927" spans="5:6">
      <c r="E3927" s="11"/>
      <c r="F3927" s="16"/>
    </row>
    <row r="3928" spans="5:6">
      <c r="E3928" s="11"/>
      <c r="F3928" s="16"/>
    </row>
    <row r="3929" spans="5:6">
      <c r="E3929" s="11"/>
      <c r="F3929" s="16"/>
    </row>
    <row r="3930" spans="5:6">
      <c r="E3930" s="11"/>
      <c r="F3930" s="16"/>
    </row>
    <row r="3931" spans="5:6">
      <c r="E3931" s="11"/>
      <c r="F3931" s="16"/>
    </row>
    <row r="3932" spans="5:6">
      <c r="E3932" s="11"/>
      <c r="F3932" s="16"/>
    </row>
    <row r="3933" spans="5:6">
      <c r="E3933" s="11"/>
      <c r="F3933" s="16"/>
    </row>
    <row r="3934" spans="5:6">
      <c r="E3934" s="11"/>
      <c r="F3934" s="16"/>
    </row>
    <row r="3935" spans="5:6">
      <c r="E3935" s="11"/>
      <c r="F3935" s="16"/>
    </row>
    <row r="3936" spans="5:6">
      <c r="E3936" s="11"/>
      <c r="F3936" s="16"/>
    </row>
    <row r="3937" spans="5:6">
      <c r="E3937" s="11"/>
      <c r="F3937" s="16"/>
    </row>
    <row r="3938" spans="5:6">
      <c r="E3938" s="11"/>
      <c r="F3938" s="16"/>
    </row>
    <row r="3939" spans="5:6">
      <c r="E3939" s="11"/>
      <c r="F3939" s="16"/>
    </row>
    <row r="3940" spans="5:6">
      <c r="E3940" s="11"/>
      <c r="F3940" s="16"/>
    </row>
    <row r="3941" spans="5:6">
      <c r="E3941" s="11"/>
      <c r="F3941" s="16"/>
    </row>
    <row r="3942" spans="5:6">
      <c r="E3942" s="11"/>
      <c r="F3942" s="16"/>
    </row>
    <row r="3943" spans="5:6">
      <c r="E3943" s="11"/>
      <c r="F3943" s="16"/>
    </row>
    <row r="3944" spans="5:6">
      <c r="E3944" s="11"/>
      <c r="F3944" s="16"/>
    </row>
    <row r="3945" spans="5:6">
      <c r="E3945" s="11"/>
      <c r="F3945" s="16"/>
    </row>
    <row r="3946" spans="5:6">
      <c r="E3946" s="11"/>
      <c r="F3946" s="16"/>
    </row>
    <row r="3947" spans="5:6">
      <c r="E3947" s="11"/>
      <c r="F3947" s="16"/>
    </row>
    <row r="3948" spans="5:6">
      <c r="E3948" s="11"/>
      <c r="F3948" s="16"/>
    </row>
    <row r="3949" spans="5:6">
      <c r="E3949" s="11"/>
      <c r="F3949" s="16"/>
    </row>
    <row r="3950" spans="5:6">
      <c r="E3950" s="11"/>
      <c r="F3950" s="16"/>
    </row>
    <row r="3951" spans="5:6">
      <c r="E3951" s="11"/>
      <c r="F3951" s="16"/>
    </row>
    <row r="3952" spans="5:6">
      <c r="E3952" s="11"/>
      <c r="F3952" s="16"/>
    </row>
    <row r="3953" spans="5:6">
      <c r="E3953" s="11"/>
      <c r="F3953" s="16"/>
    </row>
    <row r="3954" spans="5:6">
      <c r="E3954" s="11"/>
      <c r="F3954" s="16"/>
    </row>
    <row r="3955" spans="5:6">
      <c r="E3955" s="11"/>
      <c r="F3955" s="16"/>
    </row>
    <row r="3956" spans="5:6">
      <c r="E3956" s="11"/>
      <c r="F3956" s="16"/>
    </row>
    <row r="3957" spans="5:6">
      <c r="E3957" s="11"/>
      <c r="F3957" s="16"/>
    </row>
    <row r="3958" spans="5:6">
      <c r="E3958" s="11"/>
      <c r="F3958" s="16"/>
    </row>
    <row r="3959" spans="5:6">
      <c r="E3959" s="11"/>
      <c r="F3959" s="16"/>
    </row>
    <row r="3960" spans="5:6">
      <c r="E3960" s="11"/>
      <c r="F3960" s="16"/>
    </row>
    <row r="3961" spans="5:6">
      <c r="E3961" s="11"/>
      <c r="F3961" s="16"/>
    </row>
    <row r="3962" spans="5:6">
      <c r="E3962" s="11"/>
      <c r="F3962" s="16"/>
    </row>
    <row r="3963" spans="5:6">
      <c r="E3963" s="11"/>
      <c r="F3963" s="16"/>
    </row>
    <row r="3964" spans="5:6">
      <c r="E3964" s="11"/>
      <c r="F3964" s="16"/>
    </row>
    <row r="3965" spans="5:6">
      <c r="E3965" s="11"/>
      <c r="F3965" s="16"/>
    </row>
    <row r="3966" spans="5:6">
      <c r="E3966" s="11"/>
      <c r="F3966" s="16"/>
    </row>
    <row r="3967" spans="5:6">
      <c r="E3967" s="11"/>
      <c r="F3967" s="16"/>
    </row>
    <row r="3968" spans="5:6">
      <c r="E3968" s="11"/>
      <c r="F3968" s="16"/>
    </row>
    <row r="3969" spans="5:6">
      <c r="E3969" s="11"/>
      <c r="F3969" s="16"/>
    </row>
    <row r="3970" spans="5:6">
      <c r="E3970" s="11"/>
      <c r="F3970" s="16"/>
    </row>
    <row r="3971" spans="5:6">
      <c r="E3971" s="11"/>
      <c r="F3971" s="16"/>
    </row>
    <row r="3972" spans="5:6">
      <c r="E3972" s="11"/>
      <c r="F3972" s="16"/>
    </row>
    <row r="3973" spans="5:6">
      <c r="E3973" s="11"/>
      <c r="F3973" s="16"/>
    </row>
    <row r="3974" spans="5:6">
      <c r="E3974" s="11"/>
      <c r="F3974" s="16"/>
    </row>
    <row r="3975" spans="5:6">
      <c r="E3975" s="11"/>
      <c r="F3975" s="16"/>
    </row>
    <row r="3976" spans="5:6">
      <c r="E3976" s="11"/>
      <c r="F3976" s="16"/>
    </row>
    <row r="3977" spans="5:6">
      <c r="E3977" s="11"/>
      <c r="F3977" s="16"/>
    </row>
    <row r="3978" spans="5:6">
      <c r="E3978" s="11"/>
      <c r="F3978" s="16"/>
    </row>
    <row r="3979" spans="5:6">
      <c r="E3979" s="11"/>
      <c r="F3979" s="16"/>
    </row>
    <row r="3980" spans="5:6">
      <c r="E3980" s="11"/>
      <c r="F3980" s="16"/>
    </row>
    <row r="3981" spans="5:6">
      <c r="E3981" s="11"/>
      <c r="F3981" s="16"/>
    </row>
    <row r="3982" spans="5:6">
      <c r="E3982" s="11"/>
      <c r="F3982" s="16"/>
    </row>
    <row r="3983" spans="5:6">
      <c r="E3983" s="11"/>
      <c r="F3983" s="16"/>
    </row>
    <row r="3984" spans="5:6">
      <c r="E3984" s="11"/>
      <c r="F3984" s="16"/>
    </row>
    <row r="3985" spans="5:6">
      <c r="E3985" s="11"/>
      <c r="F3985" s="16"/>
    </row>
    <row r="3986" spans="5:6">
      <c r="E3986" s="11"/>
      <c r="F3986" s="16"/>
    </row>
    <row r="3987" spans="5:6">
      <c r="E3987" s="11"/>
      <c r="F3987" s="16"/>
    </row>
    <row r="3988" spans="5:6">
      <c r="E3988" s="11"/>
      <c r="F3988" s="16"/>
    </row>
    <row r="3989" spans="5:6">
      <c r="E3989" s="11"/>
      <c r="F3989" s="16"/>
    </row>
    <row r="3990" spans="5:6">
      <c r="E3990" s="11"/>
      <c r="F3990" s="16"/>
    </row>
    <row r="3991" spans="5:6">
      <c r="E3991" s="11"/>
      <c r="F3991" s="16"/>
    </row>
    <row r="3992" spans="5:6">
      <c r="E3992" s="11"/>
      <c r="F3992" s="16"/>
    </row>
    <row r="3993" spans="5:6">
      <c r="E3993" s="11"/>
      <c r="F3993" s="16"/>
    </row>
    <row r="3994" spans="5:6">
      <c r="E3994" s="11"/>
      <c r="F3994" s="16"/>
    </row>
    <row r="3995" spans="5:6">
      <c r="E3995" s="11"/>
      <c r="F3995" s="16"/>
    </row>
    <row r="3996" spans="5:6">
      <c r="E3996" s="11"/>
      <c r="F3996" s="16"/>
    </row>
    <row r="3997" spans="5:6">
      <c r="E3997" s="11"/>
      <c r="F3997" s="16"/>
    </row>
    <row r="3998" spans="5:6">
      <c r="E3998" s="11"/>
      <c r="F3998" s="16"/>
    </row>
    <row r="3999" spans="5:6">
      <c r="E3999" s="11"/>
      <c r="F3999" s="16"/>
    </row>
    <row r="4000" spans="5:6">
      <c r="E4000" s="11"/>
      <c r="F4000" s="16"/>
    </row>
    <row r="4001" spans="5:6">
      <c r="E4001" s="11"/>
      <c r="F4001" s="16"/>
    </row>
    <row r="4002" spans="5:6">
      <c r="E4002" s="11"/>
      <c r="F4002" s="16"/>
    </row>
    <row r="4003" spans="5:6">
      <c r="E4003" s="11"/>
      <c r="F4003" s="16"/>
    </row>
    <row r="4004" spans="5:6">
      <c r="E4004" s="11"/>
      <c r="F4004" s="16"/>
    </row>
    <row r="4005" spans="5:6">
      <c r="E4005" s="11"/>
      <c r="F4005" s="16"/>
    </row>
    <row r="4006" spans="5:6">
      <c r="E4006" s="11"/>
      <c r="F4006" s="16"/>
    </row>
    <row r="4007" spans="5:6">
      <c r="E4007" s="11"/>
      <c r="F4007" s="16"/>
    </row>
    <row r="4008" spans="5:6">
      <c r="E4008" s="11"/>
      <c r="F4008" s="16"/>
    </row>
    <row r="4009" spans="5:6">
      <c r="E4009" s="11"/>
      <c r="F4009" s="16"/>
    </row>
    <row r="4010" spans="5:6">
      <c r="E4010" s="11"/>
      <c r="F4010" s="16"/>
    </row>
    <row r="4011" spans="5:6">
      <c r="E4011" s="11"/>
      <c r="F4011" s="16"/>
    </row>
    <row r="4012" spans="5:6">
      <c r="E4012" s="11"/>
      <c r="F4012" s="16"/>
    </row>
    <row r="4013" spans="5:6">
      <c r="E4013" s="11"/>
      <c r="F4013" s="16"/>
    </row>
    <row r="4014" spans="5:6">
      <c r="E4014" s="11"/>
      <c r="F4014" s="16"/>
    </row>
    <row r="4015" spans="5:6">
      <c r="E4015" s="11"/>
      <c r="F4015" s="16"/>
    </row>
    <row r="4016" spans="5:6">
      <c r="E4016" s="11"/>
      <c r="F4016" s="16"/>
    </row>
    <row r="4017" spans="5:6">
      <c r="E4017" s="11"/>
      <c r="F4017" s="16"/>
    </row>
    <row r="4018" spans="5:6">
      <c r="E4018" s="11"/>
      <c r="F4018" s="16"/>
    </row>
    <row r="4019" spans="5:6">
      <c r="E4019" s="11"/>
      <c r="F4019" s="16"/>
    </row>
    <row r="4020" spans="5:6">
      <c r="E4020" s="11"/>
      <c r="F4020" s="16"/>
    </row>
    <row r="4021" spans="5:6">
      <c r="E4021" s="11"/>
      <c r="F4021" s="16"/>
    </row>
    <row r="4022" spans="5:6">
      <c r="E4022" s="11"/>
      <c r="F4022" s="16"/>
    </row>
    <row r="4023" spans="5:6">
      <c r="E4023" s="11"/>
      <c r="F4023" s="16"/>
    </row>
    <row r="4024" spans="5:6">
      <c r="E4024" s="11"/>
      <c r="F4024" s="16"/>
    </row>
    <row r="4025" spans="5:6">
      <c r="E4025" s="11"/>
      <c r="F4025" s="16"/>
    </row>
    <row r="4026" spans="5:6">
      <c r="E4026" s="11"/>
      <c r="F4026" s="16"/>
    </row>
    <row r="4027" spans="5:6">
      <c r="E4027" s="11"/>
      <c r="F4027" s="16"/>
    </row>
    <row r="4028" spans="5:6">
      <c r="E4028" s="11"/>
      <c r="F4028" s="16"/>
    </row>
    <row r="4029" spans="5:6">
      <c r="E4029" s="11"/>
      <c r="F4029" s="16"/>
    </row>
    <row r="4030" spans="5:6">
      <c r="E4030" s="11"/>
      <c r="F4030" s="16"/>
    </row>
    <row r="4031" spans="5:6">
      <c r="E4031" s="11"/>
      <c r="F4031" s="16"/>
    </row>
    <row r="4032" spans="5:6">
      <c r="E4032" s="11"/>
      <c r="F4032" s="16"/>
    </row>
    <row r="4033" spans="5:6">
      <c r="E4033" s="11"/>
      <c r="F4033" s="16"/>
    </row>
    <row r="4034" spans="5:6">
      <c r="E4034" s="11"/>
      <c r="F4034" s="16"/>
    </row>
    <row r="4035" spans="5:6">
      <c r="E4035" s="11"/>
      <c r="F4035" s="16"/>
    </row>
    <row r="4036" spans="5:6">
      <c r="E4036" s="11"/>
      <c r="F4036" s="16"/>
    </row>
    <row r="4037" spans="5:6">
      <c r="E4037" s="11"/>
      <c r="F4037" s="16"/>
    </row>
    <row r="4038" spans="5:6">
      <c r="E4038" s="11"/>
      <c r="F4038" s="16"/>
    </row>
    <row r="4039" spans="5:6">
      <c r="E4039" s="11"/>
      <c r="F4039" s="16"/>
    </row>
    <row r="4040" spans="5:6">
      <c r="E4040" s="11"/>
      <c r="F4040" s="16"/>
    </row>
    <row r="4041" spans="5:6">
      <c r="E4041" s="11"/>
      <c r="F4041" s="16"/>
    </row>
    <row r="4042" spans="5:6">
      <c r="E4042" s="11"/>
      <c r="F4042" s="16"/>
    </row>
    <row r="4043" spans="5:6">
      <c r="E4043" s="11"/>
      <c r="F4043" s="16"/>
    </row>
    <row r="4044" spans="5:6">
      <c r="E4044" s="11"/>
      <c r="F4044" s="16"/>
    </row>
    <row r="4045" spans="5:6">
      <c r="E4045" s="11"/>
      <c r="F4045" s="16"/>
    </row>
    <row r="4046" spans="5:6">
      <c r="E4046" s="11"/>
      <c r="F4046" s="16"/>
    </row>
    <row r="4047" spans="5:6">
      <c r="E4047" s="11"/>
      <c r="F4047" s="16"/>
    </row>
    <row r="4048" spans="5:6">
      <c r="E4048" s="11"/>
      <c r="F4048" s="16"/>
    </row>
    <row r="4049" spans="5:6">
      <c r="E4049" s="11"/>
      <c r="F4049" s="16"/>
    </row>
    <row r="4050" spans="5:6">
      <c r="E4050" s="11"/>
      <c r="F4050" s="16"/>
    </row>
    <row r="4051" spans="5:6">
      <c r="E4051" s="11"/>
      <c r="F4051" s="16"/>
    </row>
    <row r="4052" spans="5:6">
      <c r="E4052" s="11"/>
      <c r="F4052" s="16"/>
    </row>
    <row r="4053" spans="5:6">
      <c r="E4053" s="11"/>
      <c r="F4053" s="16"/>
    </row>
    <row r="4054" spans="5:6">
      <c r="E4054" s="11"/>
      <c r="F4054" s="16"/>
    </row>
    <row r="4055" spans="5:6">
      <c r="E4055" s="11"/>
      <c r="F4055" s="16"/>
    </row>
    <row r="4056" spans="5:6">
      <c r="E4056" s="11"/>
      <c r="F4056" s="16"/>
    </row>
    <row r="4057" spans="5:6">
      <c r="E4057" s="11"/>
      <c r="F4057" s="16"/>
    </row>
    <row r="4058" spans="5:6">
      <c r="E4058" s="11"/>
      <c r="F4058" s="16"/>
    </row>
    <row r="4059" spans="5:6">
      <c r="E4059" s="11"/>
      <c r="F4059" s="16"/>
    </row>
    <row r="4060" spans="5:6">
      <c r="E4060" s="11"/>
      <c r="F4060" s="16"/>
    </row>
    <row r="4061" spans="5:6">
      <c r="E4061" s="11"/>
      <c r="F4061" s="16"/>
    </row>
    <row r="4062" spans="5:6">
      <c r="E4062" s="11"/>
      <c r="F4062" s="16"/>
    </row>
    <row r="4063" spans="5:6">
      <c r="E4063" s="11"/>
      <c r="F4063" s="16"/>
    </row>
    <row r="4064" spans="5:6">
      <c r="E4064" s="11"/>
      <c r="F4064" s="16"/>
    </row>
    <row r="4065" spans="5:6">
      <c r="E4065" s="11"/>
      <c r="F4065" s="16"/>
    </row>
    <row r="4066" spans="5:6">
      <c r="E4066" s="11"/>
      <c r="F4066" s="16"/>
    </row>
    <row r="4067" spans="5:6">
      <c r="E4067" s="11"/>
      <c r="F4067" s="16"/>
    </row>
    <row r="4068" spans="5:6">
      <c r="E4068" s="11"/>
      <c r="F4068" s="16"/>
    </row>
    <row r="4069" spans="5:6">
      <c r="E4069" s="11"/>
      <c r="F4069" s="16"/>
    </row>
    <row r="4070" spans="5:6">
      <c r="E4070" s="11"/>
      <c r="F4070" s="16"/>
    </row>
    <row r="4071" spans="5:6">
      <c r="E4071" s="11"/>
      <c r="F4071" s="16"/>
    </row>
    <row r="4072" spans="5:6">
      <c r="E4072" s="11"/>
      <c r="F4072" s="16"/>
    </row>
    <row r="4073" spans="5:6">
      <c r="E4073" s="11"/>
      <c r="F4073" s="16"/>
    </row>
    <row r="4074" spans="5:6">
      <c r="E4074" s="11"/>
      <c r="F4074" s="16"/>
    </row>
    <row r="4075" spans="5:6">
      <c r="E4075" s="11"/>
      <c r="F4075" s="16"/>
    </row>
    <row r="4076" spans="5:6">
      <c r="E4076" s="11"/>
      <c r="F4076" s="16"/>
    </row>
    <row r="4077" spans="5:6">
      <c r="E4077" s="11"/>
      <c r="F4077" s="16"/>
    </row>
    <row r="4078" spans="5:6">
      <c r="E4078" s="11"/>
      <c r="F4078" s="16"/>
    </row>
    <row r="4079" spans="5:6">
      <c r="E4079" s="11"/>
      <c r="F4079" s="16"/>
    </row>
    <row r="4080" spans="5:6">
      <c r="E4080" s="11"/>
      <c r="F4080" s="16"/>
    </row>
    <row r="4081" spans="5:6">
      <c r="E4081" s="11"/>
      <c r="F4081" s="16"/>
    </row>
    <row r="4082" spans="5:6">
      <c r="E4082" s="11"/>
      <c r="F4082" s="16"/>
    </row>
    <row r="4083" spans="5:6">
      <c r="E4083" s="11"/>
      <c r="F4083" s="16"/>
    </row>
    <row r="4084" spans="5:6">
      <c r="E4084" s="11"/>
      <c r="F4084" s="16"/>
    </row>
    <row r="4085" spans="5:6">
      <c r="E4085" s="11"/>
      <c r="F4085" s="16"/>
    </row>
    <row r="4086" spans="5:6">
      <c r="E4086" s="11"/>
      <c r="F4086" s="16"/>
    </row>
    <row r="4087" spans="5:6">
      <c r="E4087" s="11"/>
      <c r="F4087" s="16"/>
    </row>
    <row r="4088" spans="5:6">
      <c r="E4088" s="11"/>
      <c r="F4088" s="16"/>
    </row>
    <row r="4089" spans="5:6">
      <c r="E4089" s="11"/>
      <c r="F4089" s="16"/>
    </row>
    <row r="4090" spans="5:6">
      <c r="E4090" s="11"/>
      <c r="F4090" s="16"/>
    </row>
    <row r="4091" spans="5:6">
      <c r="E4091" s="11"/>
      <c r="F4091" s="16"/>
    </row>
    <row r="4092" spans="5:6">
      <c r="E4092" s="11"/>
      <c r="F4092" s="16"/>
    </row>
    <row r="4093" spans="5:6">
      <c r="E4093" s="11"/>
      <c r="F4093" s="16"/>
    </row>
    <row r="4094" spans="5:6">
      <c r="E4094" s="11"/>
      <c r="F4094" s="16"/>
    </row>
    <row r="4095" spans="5:6">
      <c r="E4095" s="11"/>
      <c r="F4095" s="16"/>
    </row>
    <row r="4096" spans="5:6">
      <c r="E4096" s="11"/>
      <c r="F4096" s="16"/>
    </row>
    <row r="4097" spans="5:6">
      <c r="E4097" s="11"/>
      <c r="F4097" s="16"/>
    </row>
    <row r="4098" spans="5:6">
      <c r="E4098" s="11"/>
      <c r="F4098" s="16"/>
    </row>
    <row r="4099" spans="5:6">
      <c r="E4099" s="11"/>
      <c r="F4099" s="16"/>
    </row>
    <row r="4100" spans="5:6">
      <c r="E4100" s="11"/>
      <c r="F4100" s="16"/>
    </row>
    <row r="4101" spans="5:6">
      <c r="E4101" s="11"/>
      <c r="F4101" s="16"/>
    </row>
    <row r="4102" spans="5:6">
      <c r="E4102" s="11"/>
      <c r="F4102" s="16"/>
    </row>
    <row r="4103" spans="5:6">
      <c r="E4103" s="11"/>
      <c r="F4103" s="16"/>
    </row>
    <row r="4104" spans="5:6">
      <c r="E4104" s="11"/>
      <c r="F4104" s="16"/>
    </row>
    <row r="4105" spans="5:6">
      <c r="E4105" s="11"/>
      <c r="F4105" s="16"/>
    </row>
    <row r="4106" spans="5:6">
      <c r="E4106" s="11"/>
      <c r="F4106" s="16"/>
    </row>
    <row r="4107" spans="5:6">
      <c r="E4107" s="11"/>
      <c r="F4107" s="16"/>
    </row>
    <row r="4108" spans="5:6">
      <c r="E4108" s="11"/>
      <c r="F4108" s="16"/>
    </row>
    <row r="4109" spans="5:6">
      <c r="E4109" s="11"/>
      <c r="F4109" s="16"/>
    </row>
    <row r="4110" spans="5:6">
      <c r="E4110" s="11"/>
      <c r="F4110" s="16"/>
    </row>
    <row r="4111" spans="5:6">
      <c r="E4111" s="11"/>
      <c r="F4111" s="16"/>
    </row>
    <row r="4112" spans="5:6">
      <c r="E4112" s="11"/>
      <c r="F4112" s="16"/>
    </row>
    <row r="4113" spans="5:6">
      <c r="E4113" s="11"/>
      <c r="F4113" s="16"/>
    </row>
    <row r="4114" spans="5:6">
      <c r="E4114" s="11"/>
      <c r="F4114" s="16"/>
    </row>
    <row r="4115" spans="5:6">
      <c r="E4115" s="11"/>
      <c r="F4115" s="16"/>
    </row>
    <row r="4116" spans="5:6">
      <c r="E4116" s="11"/>
      <c r="F4116" s="16"/>
    </row>
    <row r="4117" spans="5:6">
      <c r="E4117" s="11"/>
      <c r="F4117" s="16"/>
    </row>
    <row r="4118" spans="5:6">
      <c r="E4118" s="11"/>
      <c r="F4118" s="16"/>
    </row>
    <row r="4119" spans="5:6">
      <c r="E4119" s="11"/>
      <c r="F4119" s="16"/>
    </row>
    <row r="4120" spans="5:6">
      <c r="E4120" s="11"/>
      <c r="F4120" s="16"/>
    </row>
    <row r="4121" spans="5:6">
      <c r="E4121" s="11"/>
      <c r="F4121" s="16"/>
    </row>
    <row r="4122" spans="5:6">
      <c r="E4122" s="11"/>
      <c r="F4122" s="16"/>
    </row>
    <row r="4123" spans="5:6">
      <c r="E4123" s="11"/>
      <c r="F4123" s="16"/>
    </row>
    <row r="4124" spans="5:6">
      <c r="E4124" s="11"/>
      <c r="F4124" s="16"/>
    </row>
    <row r="4125" spans="5:6">
      <c r="E4125" s="11"/>
      <c r="F4125" s="16"/>
    </row>
    <row r="4126" spans="5:6">
      <c r="E4126" s="11"/>
      <c r="F4126" s="16"/>
    </row>
    <row r="4127" spans="5:6">
      <c r="E4127" s="11"/>
      <c r="F4127" s="16"/>
    </row>
    <row r="4128" spans="5:6">
      <c r="E4128" s="11"/>
      <c r="F4128" s="16"/>
    </row>
    <row r="4129" spans="5:6">
      <c r="E4129" s="11"/>
      <c r="F4129" s="16"/>
    </row>
    <row r="4130" spans="5:6">
      <c r="E4130" s="11"/>
      <c r="F4130" s="16"/>
    </row>
    <row r="4131" spans="5:6">
      <c r="E4131" s="11"/>
      <c r="F4131" s="16"/>
    </row>
    <row r="4132" spans="5:6">
      <c r="E4132" s="11"/>
      <c r="F4132" s="16"/>
    </row>
    <row r="4133" spans="5:6">
      <c r="E4133" s="11"/>
      <c r="F4133" s="16"/>
    </row>
    <row r="4134" spans="5:6">
      <c r="E4134" s="11"/>
      <c r="F4134" s="16"/>
    </row>
    <row r="4135" spans="5:6">
      <c r="E4135" s="11"/>
      <c r="F4135" s="16"/>
    </row>
    <row r="4136" spans="5:6">
      <c r="E4136" s="11"/>
      <c r="F4136" s="16"/>
    </row>
    <row r="4137" spans="5:6">
      <c r="E4137" s="11"/>
      <c r="F4137" s="16"/>
    </row>
    <row r="4138" spans="5:6">
      <c r="E4138" s="11"/>
      <c r="F4138" s="16"/>
    </row>
    <row r="4139" spans="5:6">
      <c r="E4139" s="11"/>
      <c r="F4139" s="16"/>
    </row>
    <row r="4140" spans="5:6">
      <c r="E4140" s="11"/>
      <c r="F4140" s="16"/>
    </row>
    <row r="4141" spans="5:6">
      <c r="E4141" s="11"/>
      <c r="F4141" s="16"/>
    </row>
    <row r="4142" spans="5:6">
      <c r="E4142" s="11"/>
      <c r="F4142" s="16"/>
    </row>
    <row r="4143" spans="5:6">
      <c r="E4143" s="11"/>
      <c r="F4143" s="16"/>
    </row>
    <row r="4144" spans="5:6">
      <c r="E4144" s="11"/>
      <c r="F4144" s="16"/>
    </row>
    <row r="4145" spans="5:6">
      <c r="E4145" s="11"/>
      <c r="F4145" s="16"/>
    </row>
    <row r="4146" spans="5:6">
      <c r="E4146" s="11"/>
      <c r="F4146" s="16"/>
    </row>
    <row r="4147" spans="5:6">
      <c r="E4147" s="11"/>
      <c r="F4147" s="16"/>
    </row>
    <row r="4148" spans="5:6">
      <c r="E4148" s="11"/>
      <c r="F4148" s="16"/>
    </row>
    <row r="4149" spans="5:6">
      <c r="E4149" s="11"/>
      <c r="F4149" s="16"/>
    </row>
    <row r="4150" spans="5:6">
      <c r="E4150" s="11"/>
      <c r="F4150" s="16"/>
    </row>
    <row r="4151" spans="5:6">
      <c r="E4151" s="11"/>
      <c r="F4151" s="16"/>
    </row>
    <row r="4152" spans="5:6">
      <c r="E4152" s="11"/>
      <c r="F4152" s="16"/>
    </row>
    <row r="4153" spans="5:6">
      <c r="E4153" s="11"/>
      <c r="F4153" s="16"/>
    </row>
    <row r="4154" spans="5:6">
      <c r="E4154" s="11"/>
      <c r="F4154" s="16"/>
    </row>
    <row r="4155" spans="5:6">
      <c r="E4155" s="11"/>
      <c r="F4155" s="16"/>
    </row>
    <row r="4156" spans="5:6">
      <c r="E4156" s="11"/>
      <c r="F4156" s="16"/>
    </row>
    <row r="4157" spans="5:6">
      <c r="E4157" s="11"/>
      <c r="F4157" s="16"/>
    </row>
    <row r="4158" spans="5:6">
      <c r="E4158" s="11"/>
      <c r="F4158" s="16"/>
    </row>
    <row r="4159" spans="5:6">
      <c r="E4159" s="11"/>
      <c r="F4159" s="16"/>
    </row>
    <row r="4160" spans="5:6">
      <c r="E4160" s="11"/>
      <c r="F4160" s="16"/>
    </row>
    <row r="4161" spans="5:6">
      <c r="E4161" s="11"/>
      <c r="F4161" s="16"/>
    </row>
    <row r="4162" spans="5:6">
      <c r="E4162" s="11"/>
      <c r="F4162" s="16"/>
    </row>
    <row r="4163" spans="5:6">
      <c r="E4163" s="11"/>
      <c r="F4163" s="16"/>
    </row>
    <row r="4164" spans="5:6">
      <c r="E4164" s="11"/>
      <c r="F4164" s="16"/>
    </row>
    <row r="4165" spans="5:6">
      <c r="E4165" s="11"/>
      <c r="F4165" s="16"/>
    </row>
    <row r="4166" spans="5:6">
      <c r="E4166" s="11"/>
      <c r="F4166" s="16"/>
    </row>
    <row r="4167" spans="5:6">
      <c r="E4167" s="11"/>
      <c r="F4167" s="16"/>
    </row>
    <row r="4168" spans="5:6">
      <c r="E4168" s="11"/>
      <c r="F4168" s="16"/>
    </row>
    <row r="4169" spans="5:6">
      <c r="E4169" s="11"/>
      <c r="F4169" s="16"/>
    </row>
    <row r="4170" spans="5:6">
      <c r="E4170" s="11"/>
      <c r="F4170" s="16"/>
    </row>
    <row r="4171" spans="5:6">
      <c r="E4171" s="11"/>
      <c r="F4171" s="16"/>
    </row>
    <row r="4172" spans="5:6">
      <c r="E4172" s="11"/>
      <c r="F4172" s="16"/>
    </row>
    <row r="4173" spans="5:6">
      <c r="E4173" s="11"/>
      <c r="F4173" s="16"/>
    </row>
    <row r="4174" spans="5:6">
      <c r="E4174" s="11"/>
      <c r="F4174" s="16"/>
    </row>
    <row r="4175" spans="5:6">
      <c r="E4175" s="11"/>
      <c r="F4175" s="16"/>
    </row>
    <row r="4176" spans="5:6">
      <c r="E4176" s="11"/>
      <c r="F4176" s="16"/>
    </row>
    <row r="4177" spans="5:6">
      <c r="E4177" s="11"/>
      <c r="F4177" s="16"/>
    </row>
    <row r="4178" spans="5:6">
      <c r="E4178" s="11"/>
      <c r="F4178" s="16"/>
    </row>
    <row r="4179" spans="5:6">
      <c r="E4179" s="11"/>
      <c r="F4179" s="16"/>
    </row>
    <row r="4180" spans="5:6">
      <c r="E4180" s="11"/>
      <c r="F4180" s="16"/>
    </row>
    <row r="4181" spans="5:6">
      <c r="E4181" s="11"/>
      <c r="F4181" s="16"/>
    </row>
    <row r="4182" spans="5:6">
      <c r="E4182" s="11"/>
      <c r="F4182" s="16"/>
    </row>
    <row r="4183" spans="5:6">
      <c r="E4183" s="11"/>
      <c r="F4183" s="16"/>
    </row>
    <row r="4184" spans="5:6">
      <c r="E4184" s="11"/>
      <c r="F4184" s="16"/>
    </row>
    <row r="4185" spans="5:6">
      <c r="E4185" s="11"/>
      <c r="F4185" s="16"/>
    </row>
    <row r="4186" spans="5:6">
      <c r="E4186" s="11"/>
      <c r="F4186" s="16"/>
    </row>
    <row r="4187" spans="5:6">
      <c r="E4187" s="11"/>
      <c r="F4187" s="16"/>
    </row>
    <row r="4188" spans="5:6">
      <c r="E4188" s="11"/>
      <c r="F4188" s="16"/>
    </row>
    <row r="4189" spans="5:6">
      <c r="E4189" s="11"/>
      <c r="F4189" s="16"/>
    </row>
    <row r="4190" spans="5:6">
      <c r="E4190" s="11"/>
      <c r="F4190" s="16"/>
    </row>
    <row r="4191" spans="5:6">
      <c r="E4191" s="11"/>
      <c r="F4191" s="16"/>
    </row>
    <row r="4192" spans="5:6">
      <c r="E4192" s="11"/>
      <c r="F4192" s="16"/>
    </row>
    <row r="4193" spans="5:6">
      <c r="E4193" s="11"/>
      <c r="F4193" s="16"/>
    </row>
    <row r="4194" spans="5:6">
      <c r="E4194" s="11"/>
      <c r="F4194" s="16"/>
    </row>
    <row r="4195" spans="5:6">
      <c r="E4195" s="11"/>
      <c r="F4195" s="16"/>
    </row>
    <row r="4196" spans="5:6">
      <c r="E4196" s="11"/>
      <c r="F4196" s="16"/>
    </row>
    <row r="4197" spans="5:6">
      <c r="E4197" s="11"/>
      <c r="F4197" s="16"/>
    </row>
    <row r="4198" spans="5:6">
      <c r="E4198" s="11"/>
      <c r="F4198" s="16"/>
    </row>
    <row r="4199" spans="5:6">
      <c r="E4199" s="11"/>
      <c r="F4199" s="16"/>
    </row>
    <row r="4200" spans="5:6">
      <c r="E4200" s="11"/>
      <c r="F4200" s="16"/>
    </row>
    <row r="4201" spans="5:6">
      <c r="E4201" s="11"/>
      <c r="F4201" s="16"/>
    </row>
    <row r="4202" spans="5:6">
      <c r="E4202" s="11"/>
      <c r="F4202" s="16"/>
    </row>
    <row r="4203" spans="5:6">
      <c r="E4203" s="11"/>
      <c r="F4203" s="16"/>
    </row>
    <row r="4204" spans="5:6">
      <c r="E4204" s="11"/>
      <c r="F4204" s="16"/>
    </row>
    <row r="4205" spans="5:6">
      <c r="E4205" s="11"/>
      <c r="F4205" s="16"/>
    </row>
    <row r="4206" spans="5:6">
      <c r="E4206" s="11"/>
      <c r="F4206" s="16"/>
    </row>
    <row r="4207" spans="5:6">
      <c r="E4207" s="11"/>
      <c r="F4207" s="16"/>
    </row>
    <row r="4208" spans="5:6">
      <c r="E4208" s="11"/>
      <c r="F4208" s="16"/>
    </row>
    <row r="4209" spans="5:6">
      <c r="E4209" s="11"/>
      <c r="F4209" s="16"/>
    </row>
    <row r="4210" spans="5:6">
      <c r="E4210" s="11"/>
      <c r="F4210" s="16"/>
    </row>
    <row r="4211" spans="5:6">
      <c r="E4211" s="11"/>
      <c r="F4211" s="16"/>
    </row>
    <row r="4212" spans="5:6">
      <c r="E4212" s="11"/>
      <c r="F4212" s="16"/>
    </row>
    <row r="4213" spans="5:6">
      <c r="E4213" s="11"/>
      <c r="F4213" s="16"/>
    </row>
    <row r="4214" spans="5:6">
      <c r="E4214" s="11"/>
      <c r="F4214" s="16"/>
    </row>
    <row r="4215" spans="5:6">
      <c r="E4215" s="11"/>
      <c r="F4215" s="16"/>
    </row>
    <row r="4216" spans="5:6">
      <c r="E4216" s="11"/>
      <c r="F4216" s="16"/>
    </row>
    <row r="4217" spans="5:6">
      <c r="E4217" s="11"/>
      <c r="F4217" s="16"/>
    </row>
    <row r="4218" spans="5:6">
      <c r="E4218" s="11"/>
      <c r="F4218" s="16"/>
    </row>
    <row r="4219" spans="5:6">
      <c r="E4219" s="11"/>
      <c r="F4219" s="16"/>
    </row>
    <row r="4220" spans="5:6">
      <c r="E4220" s="11"/>
      <c r="F4220" s="16"/>
    </row>
    <row r="4221" spans="5:6">
      <c r="E4221" s="11"/>
      <c r="F4221" s="16"/>
    </row>
    <row r="4222" spans="5:6">
      <c r="E4222" s="11"/>
      <c r="F4222" s="16"/>
    </row>
    <row r="4223" spans="5:6">
      <c r="E4223" s="11"/>
      <c r="F4223" s="16"/>
    </row>
    <row r="4224" spans="5:6">
      <c r="E4224" s="11"/>
      <c r="F4224" s="16"/>
    </row>
    <row r="4225" spans="5:6">
      <c r="E4225" s="11"/>
      <c r="F4225" s="16"/>
    </row>
    <row r="4226" spans="5:6">
      <c r="E4226" s="11"/>
      <c r="F4226" s="16"/>
    </row>
    <row r="4227" spans="5:6">
      <c r="E4227" s="11"/>
      <c r="F4227" s="16"/>
    </row>
    <row r="4228" spans="5:6">
      <c r="E4228" s="11"/>
      <c r="F4228" s="16"/>
    </row>
    <row r="4229" spans="5:6">
      <c r="E4229" s="11"/>
      <c r="F4229" s="16"/>
    </row>
    <row r="4230" spans="5:6">
      <c r="E4230" s="11"/>
      <c r="F4230" s="16"/>
    </row>
    <row r="4231" spans="5:6">
      <c r="E4231" s="11"/>
      <c r="F4231" s="16"/>
    </row>
    <row r="4232" spans="5:6">
      <c r="E4232" s="11"/>
      <c r="F4232" s="16"/>
    </row>
    <row r="4233" spans="5:6">
      <c r="E4233" s="11"/>
      <c r="F4233" s="16"/>
    </row>
    <row r="4234" spans="5:6">
      <c r="E4234" s="11"/>
      <c r="F4234" s="16"/>
    </row>
    <row r="4235" spans="5:6">
      <c r="E4235" s="11"/>
      <c r="F4235" s="16"/>
    </row>
    <row r="4236" spans="5:6">
      <c r="E4236" s="11"/>
      <c r="F4236" s="16"/>
    </row>
    <row r="4237" spans="5:6">
      <c r="E4237" s="11"/>
      <c r="F4237" s="16"/>
    </row>
    <row r="4238" spans="5:6">
      <c r="E4238" s="11"/>
      <c r="F4238" s="16"/>
    </row>
    <row r="4239" spans="5:6">
      <c r="E4239" s="11"/>
      <c r="F4239" s="16"/>
    </row>
    <row r="4240" spans="5:6">
      <c r="E4240" s="11"/>
      <c r="F4240" s="16"/>
    </row>
    <row r="4241" spans="5:6">
      <c r="E4241" s="11"/>
      <c r="F4241" s="16"/>
    </row>
    <row r="4242" spans="5:6">
      <c r="E4242" s="11"/>
      <c r="F4242" s="16"/>
    </row>
    <row r="4243" spans="5:6">
      <c r="E4243" s="11"/>
      <c r="F4243" s="16"/>
    </row>
    <row r="4244" spans="5:6">
      <c r="E4244" s="11"/>
      <c r="F4244" s="16"/>
    </row>
    <row r="4245" spans="5:6">
      <c r="E4245" s="11"/>
      <c r="F4245" s="16"/>
    </row>
    <row r="4246" spans="5:6">
      <c r="E4246" s="11"/>
      <c r="F4246" s="16"/>
    </row>
    <row r="4247" spans="5:6">
      <c r="E4247" s="11"/>
      <c r="F4247" s="16"/>
    </row>
    <row r="4248" spans="5:6">
      <c r="E4248" s="11"/>
      <c r="F4248" s="16"/>
    </row>
    <row r="4249" spans="5:6">
      <c r="E4249" s="11"/>
      <c r="F4249" s="16"/>
    </row>
    <row r="4250" spans="5:6">
      <c r="E4250" s="11"/>
      <c r="F4250" s="16"/>
    </row>
    <row r="4251" spans="5:6">
      <c r="E4251" s="11"/>
      <c r="F4251" s="16"/>
    </row>
    <row r="4252" spans="5:6">
      <c r="E4252" s="11"/>
      <c r="F4252" s="16"/>
    </row>
    <row r="4253" spans="5:6">
      <c r="E4253" s="11"/>
      <c r="F4253" s="16"/>
    </row>
    <row r="4254" spans="5:6">
      <c r="E4254" s="11"/>
      <c r="F4254" s="16"/>
    </row>
    <row r="4255" spans="5:6">
      <c r="E4255" s="11"/>
      <c r="F4255" s="16"/>
    </row>
    <row r="4256" spans="5:6">
      <c r="E4256" s="11"/>
      <c r="F4256" s="16"/>
    </row>
    <row r="4257" spans="5:6">
      <c r="E4257" s="11"/>
      <c r="F4257" s="16"/>
    </row>
    <row r="4258" spans="5:6">
      <c r="E4258" s="11"/>
      <c r="F4258" s="16"/>
    </row>
    <row r="4259" spans="5:6">
      <c r="E4259" s="11"/>
      <c r="F4259" s="16"/>
    </row>
    <row r="4260" spans="5:6">
      <c r="E4260" s="11"/>
      <c r="F4260" s="16"/>
    </row>
    <row r="4261" spans="5:6">
      <c r="E4261" s="11"/>
      <c r="F4261" s="16"/>
    </row>
    <row r="4262" spans="5:6">
      <c r="E4262" s="11"/>
      <c r="F4262" s="16"/>
    </row>
    <row r="4263" spans="5:6">
      <c r="E4263" s="11"/>
      <c r="F4263" s="16"/>
    </row>
    <row r="4264" spans="5:6">
      <c r="E4264" s="11"/>
      <c r="F4264" s="16"/>
    </row>
    <row r="4265" spans="5:6">
      <c r="E4265" s="11"/>
      <c r="F4265" s="16"/>
    </row>
    <row r="4266" spans="5:6">
      <c r="E4266" s="11"/>
      <c r="F4266" s="16"/>
    </row>
    <row r="4267" spans="5:6">
      <c r="E4267" s="11"/>
      <c r="F4267" s="16"/>
    </row>
    <row r="4268" spans="5:6">
      <c r="E4268" s="11"/>
      <c r="F4268" s="16"/>
    </row>
    <row r="4269" spans="5:6">
      <c r="E4269" s="11"/>
      <c r="F4269" s="16"/>
    </row>
    <row r="4270" spans="5:6">
      <c r="E4270" s="11"/>
      <c r="F4270" s="16"/>
    </row>
    <row r="4271" spans="5:6">
      <c r="E4271" s="11"/>
      <c r="F4271" s="16"/>
    </row>
    <row r="4272" spans="5:6">
      <c r="E4272" s="11"/>
      <c r="F4272" s="16"/>
    </row>
    <row r="4273" spans="5:6">
      <c r="E4273" s="11"/>
      <c r="F4273" s="16"/>
    </row>
    <row r="4274" spans="5:6">
      <c r="E4274" s="11"/>
      <c r="F4274" s="16"/>
    </row>
    <row r="4275" spans="5:6">
      <c r="E4275" s="11"/>
      <c r="F4275" s="16"/>
    </row>
    <row r="4276" spans="5:6">
      <c r="E4276" s="11"/>
      <c r="F4276" s="16"/>
    </row>
    <row r="4277" spans="5:6">
      <c r="E4277" s="11"/>
      <c r="F4277" s="16"/>
    </row>
    <row r="4278" spans="5:6">
      <c r="E4278" s="11"/>
      <c r="F4278" s="16"/>
    </row>
    <row r="4279" spans="5:6">
      <c r="E4279" s="11"/>
      <c r="F4279" s="16"/>
    </row>
    <row r="4280" spans="5:6">
      <c r="E4280" s="11"/>
      <c r="F4280" s="16"/>
    </row>
    <row r="4281" spans="5:6">
      <c r="E4281" s="11"/>
      <c r="F4281" s="16"/>
    </row>
    <row r="4282" spans="5:6">
      <c r="E4282" s="11"/>
      <c r="F4282" s="16"/>
    </row>
    <row r="4283" spans="5:6">
      <c r="E4283" s="11"/>
      <c r="F4283" s="16"/>
    </row>
    <row r="4284" spans="5:6">
      <c r="E4284" s="11"/>
      <c r="F4284" s="16"/>
    </row>
    <row r="4285" spans="5:6">
      <c r="E4285" s="11"/>
      <c r="F4285" s="16"/>
    </row>
    <row r="4286" spans="5:6">
      <c r="E4286" s="11"/>
      <c r="F4286" s="16"/>
    </row>
    <row r="4287" spans="5:6">
      <c r="E4287" s="11"/>
      <c r="F4287" s="16"/>
    </row>
    <row r="4288" spans="5:6">
      <c r="E4288" s="11"/>
      <c r="F4288" s="16"/>
    </row>
    <row r="4289" spans="5:6">
      <c r="E4289" s="11"/>
      <c r="F4289" s="16"/>
    </row>
    <row r="4290" spans="5:6">
      <c r="E4290" s="11"/>
      <c r="F4290" s="16"/>
    </row>
    <row r="4291" spans="5:6">
      <c r="E4291" s="11"/>
      <c r="F4291" s="16"/>
    </row>
    <row r="4292" spans="5:6">
      <c r="E4292" s="11"/>
      <c r="F4292" s="16"/>
    </row>
    <row r="4293" spans="5:6">
      <c r="E4293" s="11"/>
      <c r="F4293" s="16"/>
    </row>
    <row r="4294" spans="5:6">
      <c r="E4294" s="11"/>
      <c r="F4294" s="16"/>
    </row>
    <row r="4295" spans="5:6">
      <c r="E4295" s="11"/>
      <c r="F4295" s="16"/>
    </row>
    <row r="4296" spans="5:6">
      <c r="E4296" s="11"/>
      <c r="F4296" s="16"/>
    </row>
    <row r="4297" spans="5:6">
      <c r="E4297" s="11"/>
      <c r="F4297" s="16"/>
    </row>
    <row r="4298" spans="5:6">
      <c r="E4298" s="11"/>
      <c r="F4298" s="16"/>
    </row>
    <row r="4299" spans="5:6">
      <c r="E4299" s="11"/>
      <c r="F4299" s="16"/>
    </row>
    <row r="4300" spans="5:6">
      <c r="E4300" s="11"/>
      <c r="F4300" s="16"/>
    </row>
    <row r="4301" spans="5:6">
      <c r="E4301" s="11"/>
      <c r="F4301" s="16"/>
    </row>
    <row r="4302" spans="5:6">
      <c r="E4302" s="11"/>
      <c r="F4302" s="16"/>
    </row>
    <row r="4303" spans="5:6">
      <c r="E4303" s="11"/>
      <c r="F4303" s="16"/>
    </row>
    <row r="4304" spans="5:6">
      <c r="E4304" s="11"/>
      <c r="F4304" s="16"/>
    </row>
    <row r="4305" spans="5:6">
      <c r="E4305" s="11"/>
      <c r="F4305" s="16"/>
    </row>
    <row r="4306" spans="5:6">
      <c r="E4306" s="11"/>
      <c r="F4306" s="16"/>
    </row>
    <row r="4307" spans="5:6">
      <c r="E4307" s="11"/>
      <c r="F4307" s="16"/>
    </row>
    <row r="4308" spans="5:6">
      <c r="E4308" s="11"/>
      <c r="F4308" s="16"/>
    </row>
    <row r="4309" spans="5:6">
      <c r="E4309" s="11"/>
      <c r="F4309" s="16"/>
    </row>
    <row r="4310" spans="5:6">
      <c r="E4310" s="11"/>
      <c r="F4310" s="16"/>
    </row>
    <row r="4311" spans="5:6">
      <c r="E4311" s="11"/>
      <c r="F4311" s="16"/>
    </row>
    <row r="4312" spans="5:6">
      <c r="E4312" s="11"/>
      <c r="F4312" s="16"/>
    </row>
    <row r="4313" spans="5:6">
      <c r="E4313" s="11"/>
      <c r="F4313" s="16"/>
    </row>
    <row r="4314" spans="5:6">
      <c r="E4314" s="11"/>
      <c r="F4314" s="16"/>
    </row>
    <row r="4315" spans="5:6">
      <c r="E4315" s="11"/>
      <c r="F4315" s="16"/>
    </row>
    <row r="4316" spans="5:6">
      <c r="E4316" s="11"/>
      <c r="F4316" s="16"/>
    </row>
    <row r="4317" spans="5:6">
      <c r="E4317" s="11"/>
      <c r="F4317" s="16"/>
    </row>
    <row r="4318" spans="5:6">
      <c r="E4318" s="11"/>
      <c r="F4318" s="16"/>
    </row>
    <row r="4319" spans="5:6">
      <c r="E4319" s="11"/>
      <c r="F4319" s="16"/>
    </row>
    <row r="4320" spans="5:6">
      <c r="E4320" s="11"/>
      <c r="F4320" s="16"/>
    </row>
    <row r="4321" spans="5:6">
      <c r="E4321" s="11"/>
      <c r="F4321" s="16"/>
    </row>
    <row r="4322" spans="5:6">
      <c r="E4322" s="11"/>
      <c r="F4322" s="16"/>
    </row>
    <row r="4323" spans="5:6">
      <c r="E4323" s="11"/>
      <c r="F4323" s="16"/>
    </row>
    <row r="4324" spans="5:6">
      <c r="E4324" s="11"/>
      <c r="F4324" s="16"/>
    </row>
    <row r="4325" spans="5:6">
      <c r="E4325" s="11"/>
      <c r="F4325" s="16"/>
    </row>
    <row r="4326" spans="5:6">
      <c r="E4326" s="11"/>
      <c r="F4326" s="16"/>
    </row>
    <row r="4327" spans="5:6">
      <c r="E4327" s="11"/>
      <c r="F4327" s="16"/>
    </row>
    <row r="4328" spans="5:6">
      <c r="E4328" s="11"/>
      <c r="F4328" s="16"/>
    </row>
    <row r="4329" spans="5:6">
      <c r="E4329" s="11"/>
      <c r="F4329" s="16"/>
    </row>
    <row r="4330" spans="5:6">
      <c r="E4330" s="11"/>
      <c r="F4330" s="16"/>
    </row>
    <row r="4331" spans="5:6">
      <c r="E4331" s="11"/>
      <c r="F4331" s="16"/>
    </row>
    <row r="4332" spans="5:6">
      <c r="E4332" s="11"/>
      <c r="F4332" s="16"/>
    </row>
    <row r="4333" spans="5:6">
      <c r="E4333" s="11"/>
      <c r="F4333" s="16"/>
    </row>
    <row r="4334" spans="5:6">
      <c r="E4334" s="11"/>
      <c r="F4334" s="16"/>
    </row>
    <row r="4335" spans="5:6">
      <c r="E4335" s="11"/>
      <c r="F4335" s="16"/>
    </row>
    <row r="4336" spans="5:6">
      <c r="E4336" s="11"/>
      <c r="F4336" s="16"/>
    </row>
    <row r="4337" spans="5:6">
      <c r="E4337" s="11"/>
      <c r="F4337" s="16"/>
    </row>
    <row r="4338" spans="5:6">
      <c r="E4338" s="11"/>
      <c r="F4338" s="16"/>
    </row>
    <row r="4339" spans="5:6">
      <c r="E4339" s="11"/>
      <c r="F4339" s="16"/>
    </row>
    <row r="4340" spans="5:6">
      <c r="E4340" s="11"/>
      <c r="F4340" s="16"/>
    </row>
    <row r="4341" spans="5:6">
      <c r="E4341" s="11"/>
      <c r="F4341" s="16"/>
    </row>
    <row r="4342" spans="5:6">
      <c r="E4342" s="11"/>
      <c r="F4342" s="16"/>
    </row>
    <row r="4343" spans="5:6">
      <c r="E4343" s="11"/>
      <c r="F4343" s="16"/>
    </row>
    <row r="4344" spans="5:6">
      <c r="E4344" s="11"/>
      <c r="F4344" s="16"/>
    </row>
    <row r="4345" spans="5:6">
      <c r="E4345" s="11"/>
      <c r="F4345" s="16"/>
    </row>
    <row r="4346" spans="5:6">
      <c r="E4346" s="11"/>
      <c r="F4346" s="16"/>
    </row>
    <row r="4347" spans="5:6">
      <c r="E4347" s="11"/>
      <c r="F4347" s="16"/>
    </row>
    <row r="4348" spans="5:6">
      <c r="E4348" s="11"/>
      <c r="F4348" s="16"/>
    </row>
    <row r="4349" spans="5:6">
      <c r="E4349" s="11"/>
      <c r="F4349" s="16"/>
    </row>
    <row r="4350" spans="5:6">
      <c r="E4350" s="11"/>
      <c r="F4350" s="16"/>
    </row>
    <row r="4351" spans="5:6">
      <c r="E4351" s="11"/>
      <c r="F4351" s="16"/>
    </row>
    <row r="4352" spans="5:6">
      <c r="E4352" s="11"/>
      <c r="F4352" s="16"/>
    </row>
    <row r="4353" spans="5:6">
      <c r="E4353" s="11"/>
      <c r="F4353" s="16"/>
    </row>
    <row r="4354" spans="5:6">
      <c r="E4354" s="11"/>
      <c r="F4354" s="16"/>
    </row>
    <row r="4355" spans="5:6">
      <c r="E4355" s="11"/>
      <c r="F4355" s="16"/>
    </row>
    <row r="4356" spans="5:6">
      <c r="E4356" s="11"/>
      <c r="F4356" s="16"/>
    </row>
    <row r="4357" spans="5:6">
      <c r="E4357" s="11"/>
      <c r="F4357" s="16"/>
    </row>
    <row r="4358" spans="5:6">
      <c r="E4358" s="11"/>
      <c r="F4358" s="16"/>
    </row>
    <row r="4359" spans="5:6">
      <c r="E4359" s="11"/>
      <c r="F4359" s="16"/>
    </row>
    <row r="4360" spans="5:6">
      <c r="E4360" s="11"/>
      <c r="F4360" s="16"/>
    </row>
    <row r="4361" spans="5:6">
      <c r="E4361" s="11"/>
      <c r="F4361" s="16"/>
    </row>
    <row r="4362" spans="5:6">
      <c r="E4362" s="11"/>
      <c r="F4362" s="16"/>
    </row>
    <row r="4363" spans="5:6">
      <c r="E4363" s="11"/>
      <c r="F4363" s="16"/>
    </row>
    <row r="4364" spans="5:6">
      <c r="E4364" s="11"/>
      <c r="F4364" s="16"/>
    </row>
    <row r="4365" spans="5:6">
      <c r="E4365" s="11"/>
      <c r="F4365" s="16"/>
    </row>
    <row r="4366" spans="5:6">
      <c r="E4366" s="11"/>
      <c r="F4366" s="16"/>
    </row>
    <row r="4367" spans="5:6">
      <c r="E4367" s="11"/>
      <c r="F4367" s="16"/>
    </row>
    <row r="4368" spans="5:6">
      <c r="E4368" s="11"/>
      <c r="F4368" s="16"/>
    </row>
    <row r="4369" spans="5:6">
      <c r="E4369" s="11"/>
      <c r="F4369" s="16"/>
    </row>
    <row r="4370" spans="5:6">
      <c r="E4370" s="11"/>
      <c r="F4370" s="16"/>
    </row>
    <row r="4371" spans="5:6">
      <c r="E4371" s="11"/>
      <c r="F4371" s="16"/>
    </row>
    <row r="4372" spans="5:6">
      <c r="E4372" s="11"/>
      <c r="F4372" s="16"/>
    </row>
    <row r="4373" spans="5:6">
      <c r="E4373" s="11"/>
      <c r="F4373" s="16"/>
    </row>
    <row r="4374" spans="5:6">
      <c r="E4374" s="11"/>
      <c r="F4374" s="16"/>
    </row>
    <row r="4375" spans="5:6">
      <c r="E4375" s="11"/>
      <c r="F4375" s="16"/>
    </row>
    <row r="4376" spans="5:6">
      <c r="E4376" s="11"/>
      <c r="F4376" s="16"/>
    </row>
    <row r="4377" spans="5:6">
      <c r="E4377" s="11"/>
      <c r="F4377" s="16"/>
    </row>
    <row r="4378" spans="5:6">
      <c r="E4378" s="11"/>
      <c r="F4378" s="16"/>
    </row>
    <row r="4379" spans="5:6">
      <c r="E4379" s="11"/>
      <c r="F4379" s="16"/>
    </row>
    <row r="4380" spans="5:6">
      <c r="E4380" s="11"/>
      <c r="F4380" s="16"/>
    </row>
    <row r="4381" spans="5:6">
      <c r="E4381" s="11"/>
      <c r="F4381" s="16"/>
    </row>
    <row r="4382" spans="5:6">
      <c r="E4382" s="11"/>
      <c r="F4382" s="16"/>
    </row>
    <row r="4383" spans="5:6">
      <c r="E4383" s="11"/>
      <c r="F4383" s="16"/>
    </row>
    <row r="4384" spans="5:6">
      <c r="E4384" s="11"/>
      <c r="F4384" s="16"/>
    </row>
    <row r="4385" spans="5:6">
      <c r="E4385" s="11"/>
      <c r="F4385" s="16"/>
    </row>
    <row r="4386" spans="5:6">
      <c r="E4386" s="11"/>
      <c r="F4386" s="16"/>
    </row>
    <row r="4387" spans="5:6">
      <c r="E4387" s="11"/>
      <c r="F4387" s="16"/>
    </row>
    <row r="4388" spans="5:6">
      <c r="E4388" s="11"/>
      <c r="F4388" s="16"/>
    </row>
    <row r="4389" spans="5:6">
      <c r="E4389" s="11"/>
      <c r="F4389" s="16"/>
    </row>
    <row r="4390" spans="5:6">
      <c r="E4390" s="11"/>
      <c r="F4390" s="16"/>
    </row>
    <row r="4391" spans="5:6">
      <c r="E4391" s="11"/>
      <c r="F4391" s="16"/>
    </row>
    <row r="4392" spans="5:6">
      <c r="E4392" s="11"/>
      <c r="F4392" s="16"/>
    </row>
    <row r="4393" spans="5:6">
      <c r="E4393" s="11"/>
      <c r="F4393" s="16"/>
    </row>
    <row r="4394" spans="5:6">
      <c r="E4394" s="11"/>
      <c r="F4394" s="16"/>
    </row>
    <row r="4395" spans="5:6">
      <c r="E4395" s="11"/>
      <c r="F4395" s="16"/>
    </row>
    <row r="4396" spans="5:6">
      <c r="E4396" s="11"/>
      <c r="F4396" s="16"/>
    </row>
    <row r="4397" spans="5:6">
      <c r="E4397" s="11"/>
      <c r="F4397" s="16"/>
    </row>
    <row r="4398" spans="5:6">
      <c r="E4398" s="11"/>
      <c r="F4398" s="16"/>
    </row>
    <row r="4399" spans="5:6">
      <c r="E4399" s="11"/>
      <c r="F4399" s="16"/>
    </row>
    <row r="4400" spans="5:6">
      <c r="E4400" s="11"/>
      <c r="F4400" s="16"/>
    </row>
    <row r="4401" spans="5:6">
      <c r="E4401" s="11"/>
      <c r="F4401" s="16"/>
    </row>
    <row r="4402" spans="5:6">
      <c r="E4402" s="11"/>
      <c r="F4402" s="16"/>
    </row>
    <row r="4403" spans="5:6">
      <c r="E4403" s="11"/>
      <c r="F4403" s="16"/>
    </row>
    <row r="4404" spans="5:6">
      <c r="E4404" s="11"/>
      <c r="F4404" s="16"/>
    </row>
    <row r="4405" spans="5:6">
      <c r="E4405" s="11"/>
      <c r="F4405" s="16"/>
    </row>
    <row r="4406" spans="5:6">
      <c r="E4406" s="11"/>
      <c r="F4406" s="16"/>
    </row>
    <row r="4407" spans="5:6">
      <c r="E4407" s="11"/>
      <c r="F4407" s="16"/>
    </row>
    <row r="4408" spans="5:6">
      <c r="E4408" s="11"/>
      <c r="F4408" s="16"/>
    </row>
    <row r="4409" spans="5:6">
      <c r="E4409" s="11"/>
      <c r="F4409" s="16"/>
    </row>
    <row r="4410" spans="5:6">
      <c r="E4410" s="11"/>
      <c r="F4410" s="16"/>
    </row>
    <row r="4411" spans="5:6">
      <c r="E4411" s="11"/>
      <c r="F4411" s="16"/>
    </row>
    <row r="4412" spans="5:6">
      <c r="E4412" s="11"/>
      <c r="F4412" s="16"/>
    </row>
    <row r="4413" spans="5:6">
      <c r="E4413" s="11"/>
      <c r="F4413" s="16"/>
    </row>
    <row r="4414" spans="5:6">
      <c r="E4414" s="11"/>
      <c r="F4414" s="16"/>
    </row>
    <row r="4415" spans="5:6">
      <c r="E4415" s="11"/>
      <c r="F4415" s="16"/>
    </row>
    <row r="4416" spans="5:6">
      <c r="E4416" s="11"/>
      <c r="F4416" s="16"/>
    </row>
    <row r="4417" spans="5:6">
      <c r="E4417" s="11"/>
      <c r="F4417" s="16"/>
    </row>
    <row r="4418" spans="5:6">
      <c r="E4418" s="11"/>
      <c r="F4418" s="16"/>
    </row>
    <row r="4419" spans="5:6">
      <c r="E4419" s="11"/>
      <c r="F4419" s="16"/>
    </row>
    <row r="4420" spans="5:6">
      <c r="E4420" s="11"/>
      <c r="F4420" s="16"/>
    </row>
    <row r="4421" spans="5:6">
      <c r="E4421" s="11"/>
      <c r="F4421" s="16"/>
    </row>
    <row r="4422" spans="5:6">
      <c r="E4422" s="11"/>
      <c r="F4422" s="16"/>
    </row>
    <row r="4423" spans="5:6">
      <c r="E4423" s="11"/>
      <c r="F4423" s="16"/>
    </row>
    <row r="4424" spans="5:6">
      <c r="E4424" s="11"/>
      <c r="F4424" s="16"/>
    </row>
    <row r="4425" spans="5:6">
      <c r="E4425" s="11"/>
      <c r="F4425" s="16"/>
    </row>
    <row r="4426" spans="5:6">
      <c r="E4426" s="11"/>
      <c r="F4426" s="16"/>
    </row>
    <row r="4427" spans="5:6">
      <c r="E4427" s="11"/>
      <c r="F4427" s="16"/>
    </row>
    <row r="4428" spans="5:6">
      <c r="E4428" s="11"/>
      <c r="F4428" s="16"/>
    </row>
    <row r="4429" spans="5:6">
      <c r="E4429" s="11"/>
      <c r="F4429" s="16"/>
    </row>
    <row r="4430" spans="5:6">
      <c r="E4430" s="11"/>
      <c r="F4430" s="16"/>
    </row>
    <row r="4431" spans="5:6">
      <c r="E4431" s="11"/>
      <c r="F4431" s="16"/>
    </row>
    <row r="4432" spans="5:6">
      <c r="E4432" s="11"/>
      <c r="F4432" s="16"/>
    </row>
    <row r="4433" spans="5:6">
      <c r="E4433" s="11"/>
      <c r="F4433" s="16"/>
    </row>
    <row r="4434" spans="5:6">
      <c r="E4434" s="11"/>
      <c r="F4434" s="16"/>
    </row>
    <row r="4435" spans="5:6">
      <c r="E4435" s="11"/>
      <c r="F4435" s="16"/>
    </row>
    <row r="4436" spans="5:6">
      <c r="E4436" s="11"/>
      <c r="F4436" s="16"/>
    </row>
    <row r="4437" spans="5:6">
      <c r="E4437" s="11"/>
      <c r="F4437" s="16"/>
    </row>
    <row r="4438" spans="5:6">
      <c r="E4438" s="11"/>
      <c r="F4438" s="16"/>
    </row>
    <row r="4439" spans="5:6">
      <c r="E4439" s="11"/>
      <c r="F4439" s="16"/>
    </row>
    <row r="4440" spans="5:6">
      <c r="E4440" s="11"/>
      <c r="F4440" s="16"/>
    </row>
    <row r="4441" spans="5:6">
      <c r="E4441" s="11"/>
      <c r="F4441" s="16"/>
    </row>
    <row r="4442" spans="5:6">
      <c r="E4442" s="11"/>
      <c r="F4442" s="16"/>
    </row>
    <row r="4443" spans="5:6">
      <c r="E4443" s="11"/>
      <c r="F4443" s="16"/>
    </row>
    <row r="4444" spans="5:6">
      <c r="E4444" s="11"/>
      <c r="F4444" s="16"/>
    </row>
    <row r="4445" spans="5:6">
      <c r="E4445" s="11"/>
      <c r="F4445" s="16"/>
    </row>
    <row r="4446" spans="5:6">
      <c r="E4446" s="11"/>
      <c r="F4446" s="16"/>
    </row>
    <row r="4447" spans="5:6">
      <c r="E4447" s="11"/>
      <c r="F4447" s="16"/>
    </row>
    <row r="4448" spans="5:6">
      <c r="E4448" s="11"/>
      <c r="F4448" s="16"/>
    </row>
    <row r="4449" spans="5:6">
      <c r="E4449" s="11"/>
      <c r="F4449" s="16"/>
    </row>
    <row r="4450" spans="5:6">
      <c r="E4450" s="11"/>
      <c r="F4450" s="16"/>
    </row>
    <row r="4451" spans="5:6">
      <c r="E4451" s="11"/>
      <c r="F4451" s="16"/>
    </row>
    <row r="4452" spans="5:6">
      <c r="E4452" s="11"/>
      <c r="F4452" s="16"/>
    </row>
    <row r="4453" spans="5:6">
      <c r="E4453" s="11"/>
      <c r="F4453" s="16"/>
    </row>
    <row r="4454" spans="5:6">
      <c r="E4454" s="11"/>
      <c r="F4454" s="16"/>
    </row>
    <row r="4455" spans="5:6">
      <c r="E4455" s="11"/>
      <c r="F4455" s="16"/>
    </row>
    <row r="4456" spans="5:6">
      <c r="E4456" s="11"/>
      <c r="F4456" s="16"/>
    </row>
    <row r="4457" spans="5:6">
      <c r="E4457" s="11"/>
      <c r="F4457" s="16"/>
    </row>
    <row r="4458" spans="5:6">
      <c r="E4458" s="11"/>
      <c r="F4458" s="16"/>
    </row>
    <row r="4459" spans="5:6">
      <c r="E4459" s="11"/>
      <c r="F4459" s="16"/>
    </row>
    <row r="4460" spans="5:6">
      <c r="E4460" s="11"/>
      <c r="F4460" s="16"/>
    </row>
    <row r="4461" spans="5:6">
      <c r="E4461" s="11"/>
      <c r="F4461" s="16"/>
    </row>
    <row r="4462" spans="5:6">
      <c r="E4462" s="11"/>
      <c r="F4462" s="16"/>
    </row>
    <row r="4463" spans="5:6">
      <c r="E4463" s="11"/>
      <c r="F4463" s="16"/>
    </row>
    <row r="4464" spans="5:6">
      <c r="E4464" s="11"/>
      <c r="F4464" s="16"/>
    </row>
    <row r="4465" spans="5:6">
      <c r="E4465" s="11"/>
      <c r="F4465" s="16"/>
    </row>
    <row r="4466" spans="5:6">
      <c r="E4466" s="11"/>
      <c r="F4466" s="16"/>
    </row>
    <row r="4467" spans="5:6">
      <c r="E4467" s="11"/>
      <c r="F4467" s="16"/>
    </row>
    <row r="4468" spans="5:6">
      <c r="E4468" s="11"/>
      <c r="F4468" s="16"/>
    </row>
    <row r="4469" spans="5:6">
      <c r="E4469" s="11"/>
      <c r="F4469" s="16"/>
    </row>
    <row r="4470" spans="5:6">
      <c r="E4470" s="11"/>
      <c r="F4470" s="16"/>
    </row>
    <row r="4471" spans="5:6">
      <c r="E4471" s="11"/>
      <c r="F4471" s="16"/>
    </row>
    <row r="4472" spans="5:6">
      <c r="E4472" s="11"/>
      <c r="F4472" s="16"/>
    </row>
    <row r="4473" spans="5:6">
      <c r="E4473" s="11"/>
      <c r="F4473" s="16"/>
    </row>
    <row r="4474" spans="5:6">
      <c r="E4474" s="11"/>
      <c r="F4474" s="16"/>
    </row>
    <row r="4475" spans="5:6">
      <c r="E4475" s="11"/>
      <c r="F4475" s="16"/>
    </row>
    <row r="4476" spans="5:6">
      <c r="E4476" s="11"/>
      <c r="F4476" s="16"/>
    </row>
    <row r="4477" spans="5:6">
      <c r="E4477" s="11"/>
      <c r="F4477" s="16"/>
    </row>
    <row r="4478" spans="5:6">
      <c r="E4478" s="11"/>
      <c r="F4478" s="16"/>
    </row>
    <row r="4479" spans="5:6">
      <c r="E4479" s="11"/>
      <c r="F4479" s="16"/>
    </row>
    <row r="4480" spans="5:6">
      <c r="E4480" s="11"/>
      <c r="F4480" s="16"/>
    </row>
    <row r="4481" spans="5:6">
      <c r="E4481" s="11"/>
      <c r="F4481" s="16"/>
    </row>
    <row r="4482" spans="5:6">
      <c r="E4482" s="11"/>
      <c r="F4482" s="16"/>
    </row>
    <row r="4483" spans="5:6">
      <c r="E4483" s="11"/>
      <c r="F4483" s="16"/>
    </row>
    <row r="4484" spans="5:6">
      <c r="E4484" s="11"/>
      <c r="F4484" s="16"/>
    </row>
    <row r="4485" spans="5:6">
      <c r="E4485" s="11"/>
      <c r="F4485" s="16"/>
    </row>
    <row r="4486" spans="5:6">
      <c r="E4486" s="11"/>
      <c r="F4486" s="16"/>
    </row>
    <row r="4487" spans="5:6">
      <c r="E4487" s="11"/>
      <c r="F4487" s="16"/>
    </row>
    <row r="4488" spans="5:6">
      <c r="E4488" s="11"/>
      <c r="F4488" s="16"/>
    </row>
    <row r="4489" spans="5:6">
      <c r="E4489" s="11"/>
      <c r="F4489" s="16"/>
    </row>
    <row r="4490" spans="5:6">
      <c r="E4490" s="11"/>
      <c r="F4490" s="16"/>
    </row>
    <row r="4491" spans="5:6">
      <c r="E4491" s="11"/>
      <c r="F4491" s="16"/>
    </row>
    <row r="4492" spans="5:6">
      <c r="E4492" s="11"/>
      <c r="F4492" s="16"/>
    </row>
    <row r="4493" spans="5:6">
      <c r="E4493" s="11"/>
      <c r="F4493" s="16"/>
    </row>
    <row r="4494" spans="5:6">
      <c r="E4494" s="11"/>
      <c r="F4494" s="16"/>
    </row>
    <row r="4495" spans="5:6">
      <c r="E4495" s="11"/>
      <c r="F4495" s="16"/>
    </row>
    <row r="4496" spans="5:6">
      <c r="E4496" s="11"/>
      <c r="F4496" s="16"/>
    </row>
    <row r="4497" spans="5:6">
      <c r="E4497" s="11"/>
      <c r="F4497" s="16"/>
    </row>
    <row r="4498" spans="5:6">
      <c r="E4498" s="11"/>
      <c r="F4498" s="16"/>
    </row>
    <row r="4499" spans="5:6">
      <c r="E4499" s="11"/>
      <c r="F4499" s="16"/>
    </row>
    <row r="4500" spans="5:6">
      <c r="E4500" s="11"/>
      <c r="F4500" s="16"/>
    </row>
    <row r="4501" spans="5:6">
      <c r="E4501" s="11"/>
      <c r="F4501" s="16"/>
    </row>
    <row r="4502" spans="5:6">
      <c r="E4502" s="11"/>
      <c r="F4502" s="16"/>
    </row>
    <row r="4503" spans="5:6">
      <c r="E4503" s="11"/>
      <c r="F4503" s="16"/>
    </row>
    <row r="4504" spans="5:6">
      <c r="E4504" s="11"/>
      <c r="F4504" s="16"/>
    </row>
    <row r="4505" spans="5:6">
      <c r="E4505" s="11"/>
      <c r="F4505" s="16"/>
    </row>
    <row r="4506" spans="5:6">
      <c r="E4506" s="11"/>
      <c r="F4506" s="16"/>
    </row>
    <row r="4507" spans="5:6">
      <c r="E4507" s="11"/>
      <c r="F4507" s="16"/>
    </row>
    <row r="4508" spans="5:6">
      <c r="E4508" s="11"/>
      <c r="F4508" s="16"/>
    </row>
    <row r="4509" spans="5:6">
      <c r="E4509" s="11"/>
      <c r="F4509" s="16"/>
    </row>
    <row r="4510" spans="5:6">
      <c r="E4510" s="11"/>
      <c r="F4510" s="16"/>
    </row>
    <row r="4511" spans="5:6">
      <c r="E4511" s="11"/>
      <c r="F4511" s="16"/>
    </row>
    <row r="4512" spans="5:6">
      <c r="E4512" s="11"/>
      <c r="F4512" s="16"/>
    </row>
    <row r="4513" spans="5:6">
      <c r="E4513" s="11"/>
      <c r="F4513" s="16"/>
    </row>
    <row r="4514" spans="5:6">
      <c r="E4514" s="11"/>
      <c r="F4514" s="16"/>
    </row>
    <row r="4515" spans="5:6">
      <c r="E4515" s="11"/>
      <c r="F4515" s="16"/>
    </row>
    <row r="4516" spans="5:6">
      <c r="E4516" s="11"/>
      <c r="F4516" s="16"/>
    </row>
    <row r="4517" spans="5:6">
      <c r="E4517" s="11"/>
      <c r="F4517" s="16"/>
    </row>
    <row r="4518" spans="5:6">
      <c r="E4518" s="11"/>
      <c r="F4518" s="16"/>
    </row>
    <row r="4519" spans="5:6">
      <c r="E4519" s="11"/>
      <c r="F4519" s="16"/>
    </row>
    <row r="4520" spans="5:6">
      <c r="E4520" s="11"/>
      <c r="F4520" s="16"/>
    </row>
    <row r="4521" spans="5:6">
      <c r="E4521" s="11"/>
      <c r="F4521" s="16"/>
    </row>
    <row r="4522" spans="5:6">
      <c r="E4522" s="11"/>
      <c r="F4522" s="16"/>
    </row>
    <row r="4523" spans="5:6">
      <c r="E4523" s="11"/>
      <c r="F4523" s="16"/>
    </row>
    <row r="4524" spans="5:6">
      <c r="E4524" s="11"/>
      <c r="F4524" s="16"/>
    </row>
    <row r="4525" spans="5:6">
      <c r="E4525" s="11"/>
      <c r="F4525" s="16"/>
    </row>
    <row r="4526" spans="5:6">
      <c r="E4526" s="11"/>
      <c r="F4526" s="16"/>
    </row>
    <row r="4527" spans="5:6">
      <c r="E4527" s="11"/>
      <c r="F4527" s="16"/>
    </row>
    <row r="4528" spans="5:6">
      <c r="E4528" s="11"/>
      <c r="F4528" s="16"/>
    </row>
    <row r="4529" spans="5:6">
      <c r="E4529" s="11"/>
      <c r="F4529" s="16"/>
    </row>
    <row r="4530" spans="5:6">
      <c r="E4530" s="11"/>
      <c r="F4530" s="16"/>
    </row>
    <row r="4531" spans="5:6">
      <c r="E4531" s="11"/>
      <c r="F4531" s="16"/>
    </row>
    <row r="4532" spans="5:6">
      <c r="E4532" s="11"/>
      <c r="F4532" s="16"/>
    </row>
    <row r="4533" spans="5:6">
      <c r="E4533" s="11"/>
      <c r="F4533" s="16"/>
    </row>
    <row r="4534" spans="5:6">
      <c r="E4534" s="11"/>
      <c r="F4534" s="16"/>
    </row>
    <row r="4535" spans="5:6">
      <c r="E4535" s="11"/>
      <c r="F4535" s="16"/>
    </row>
    <row r="4536" spans="5:6">
      <c r="E4536" s="11"/>
      <c r="F4536" s="16"/>
    </row>
    <row r="4537" spans="5:6">
      <c r="E4537" s="11"/>
      <c r="F4537" s="16"/>
    </row>
    <row r="4538" spans="5:6">
      <c r="E4538" s="11"/>
      <c r="F4538" s="16"/>
    </row>
    <row r="4539" spans="5:6">
      <c r="E4539" s="11"/>
      <c r="F4539" s="16"/>
    </row>
    <row r="4540" spans="5:6">
      <c r="E4540" s="11"/>
      <c r="F4540" s="16"/>
    </row>
    <row r="4541" spans="5:6">
      <c r="E4541" s="11"/>
      <c r="F4541" s="16"/>
    </row>
    <row r="4542" spans="5:6">
      <c r="E4542" s="11"/>
      <c r="F4542" s="16"/>
    </row>
    <row r="4543" spans="5:6">
      <c r="E4543" s="11"/>
      <c r="F4543" s="16"/>
    </row>
    <row r="4544" spans="5:6">
      <c r="E4544" s="11"/>
      <c r="F4544" s="16"/>
    </row>
    <row r="4545" spans="5:6">
      <c r="E4545" s="11"/>
      <c r="F4545" s="16"/>
    </row>
    <row r="4546" spans="5:6">
      <c r="E4546" s="11"/>
      <c r="F4546" s="16"/>
    </row>
    <row r="4547" spans="5:6">
      <c r="E4547" s="11"/>
      <c r="F4547" s="16"/>
    </row>
    <row r="4548" spans="5:6">
      <c r="E4548" s="11"/>
      <c r="F4548" s="16"/>
    </row>
    <row r="4549" spans="5:6">
      <c r="E4549" s="11"/>
      <c r="F4549" s="16"/>
    </row>
    <row r="4550" spans="5:6">
      <c r="E4550" s="11"/>
      <c r="F4550" s="16"/>
    </row>
    <row r="4551" spans="5:6">
      <c r="E4551" s="11"/>
      <c r="F4551" s="16"/>
    </row>
    <row r="4552" spans="5:6">
      <c r="E4552" s="11"/>
      <c r="F4552" s="16"/>
    </row>
    <row r="4553" spans="5:6">
      <c r="E4553" s="11"/>
      <c r="F4553" s="16"/>
    </row>
    <row r="4554" spans="5:6">
      <c r="E4554" s="11"/>
      <c r="F4554" s="16"/>
    </row>
    <row r="4555" spans="5:6">
      <c r="E4555" s="11"/>
      <c r="F4555" s="16"/>
    </row>
    <row r="4556" spans="5:6">
      <c r="E4556" s="11"/>
      <c r="F4556" s="16"/>
    </row>
    <row r="4557" spans="5:6">
      <c r="E4557" s="11"/>
      <c r="F4557" s="16"/>
    </row>
    <row r="4558" spans="5:6">
      <c r="E4558" s="11"/>
      <c r="F4558" s="16"/>
    </row>
    <row r="4559" spans="5:6">
      <c r="E4559" s="11"/>
      <c r="F4559" s="16"/>
    </row>
    <row r="4560" spans="5:6">
      <c r="E4560" s="11"/>
      <c r="F4560" s="16"/>
    </row>
    <row r="4561" spans="5:6">
      <c r="E4561" s="11"/>
      <c r="F4561" s="16"/>
    </row>
    <row r="4562" spans="5:6">
      <c r="E4562" s="11"/>
      <c r="F4562" s="16"/>
    </row>
    <row r="4563" spans="5:6">
      <c r="E4563" s="11"/>
      <c r="F4563" s="16"/>
    </row>
    <row r="4564" spans="5:6">
      <c r="E4564" s="11"/>
      <c r="F4564" s="16"/>
    </row>
    <row r="4565" spans="5:6">
      <c r="E4565" s="11"/>
      <c r="F4565" s="16"/>
    </row>
    <row r="4566" spans="5:6">
      <c r="E4566" s="11"/>
      <c r="F4566" s="16"/>
    </row>
    <row r="4567" spans="5:6">
      <c r="E4567" s="11"/>
      <c r="F4567" s="16"/>
    </row>
    <row r="4568" spans="5:6">
      <c r="E4568" s="11"/>
      <c r="F4568" s="16"/>
    </row>
    <row r="4569" spans="5:6">
      <c r="E4569" s="11"/>
      <c r="F4569" s="16"/>
    </row>
    <row r="4570" spans="5:6">
      <c r="E4570" s="11"/>
      <c r="F4570" s="16"/>
    </row>
    <row r="4571" spans="5:6">
      <c r="E4571" s="11"/>
      <c r="F4571" s="16"/>
    </row>
    <row r="4572" spans="5:6">
      <c r="E4572" s="11"/>
      <c r="F4572" s="16"/>
    </row>
    <row r="4573" spans="5:6">
      <c r="E4573" s="11"/>
      <c r="F4573" s="16"/>
    </row>
    <row r="4574" spans="5:6">
      <c r="E4574" s="11"/>
      <c r="F4574" s="16"/>
    </row>
    <row r="4575" spans="5:6">
      <c r="E4575" s="11"/>
      <c r="F4575" s="16"/>
    </row>
    <row r="4576" spans="5:6">
      <c r="E4576" s="11"/>
      <c r="F4576" s="16"/>
    </row>
    <row r="4577" spans="5:6">
      <c r="E4577" s="11"/>
      <c r="F4577" s="16"/>
    </row>
    <row r="4578" spans="5:6">
      <c r="E4578" s="11"/>
      <c r="F4578" s="16"/>
    </row>
    <row r="4579" spans="5:6">
      <c r="E4579" s="11"/>
      <c r="F4579" s="16"/>
    </row>
    <row r="4580" spans="5:6">
      <c r="E4580" s="11"/>
      <c r="F4580" s="16"/>
    </row>
    <row r="4581" spans="5:6">
      <c r="E4581" s="11"/>
      <c r="F4581" s="16"/>
    </row>
    <row r="4582" spans="5:6">
      <c r="E4582" s="11"/>
      <c r="F4582" s="16"/>
    </row>
    <row r="4583" spans="5:6">
      <c r="E4583" s="11"/>
      <c r="F4583" s="16"/>
    </row>
    <row r="4584" spans="5:6">
      <c r="E4584" s="11"/>
      <c r="F4584" s="16"/>
    </row>
    <row r="4585" spans="5:6">
      <c r="E4585" s="11"/>
      <c r="F4585" s="16"/>
    </row>
    <row r="4586" spans="5:6">
      <c r="E4586" s="11"/>
      <c r="F4586" s="16"/>
    </row>
    <row r="4587" spans="5:6">
      <c r="E4587" s="11"/>
      <c r="F4587" s="16"/>
    </row>
    <row r="4588" spans="5:6">
      <c r="E4588" s="11"/>
      <c r="F4588" s="16"/>
    </row>
    <row r="4589" spans="5:6">
      <c r="E4589" s="11"/>
      <c r="F4589" s="16"/>
    </row>
    <row r="4590" spans="5:6">
      <c r="E4590" s="11"/>
      <c r="F4590" s="16"/>
    </row>
    <row r="4591" spans="5:6">
      <c r="E4591" s="11"/>
      <c r="F4591" s="16"/>
    </row>
    <row r="4592" spans="5:6">
      <c r="E4592" s="11"/>
      <c r="F4592" s="16"/>
    </row>
    <row r="4593" spans="5:6">
      <c r="E4593" s="11"/>
      <c r="F4593" s="16"/>
    </row>
    <row r="4594" spans="5:6">
      <c r="E4594" s="11"/>
      <c r="F4594" s="16"/>
    </row>
    <row r="4595" spans="5:6">
      <c r="E4595" s="11"/>
      <c r="F4595" s="16"/>
    </row>
    <row r="4596" spans="5:6">
      <c r="E4596" s="11"/>
      <c r="F4596" s="16"/>
    </row>
    <row r="4597" spans="5:6">
      <c r="E4597" s="11"/>
      <c r="F4597" s="16"/>
    </row>
    <row r="4598" spans="5:6">
      <c r="E4598" s="11"/>
      <c r="F4598" s="16"/>
    </row>
    <row r="4599" spans="5:6">
      <c r="E4599" s="11"/>
      <c r="F4599" s="16"/>
    </row>
    <row r="4600" spans="5:6">
      <c r="E4600" s="11"/>
      <c r="F4600" s="16"/>
    </row>
    <row r="4601" spans="5:6">
      <c r="E4601" s="11"/>
      <c r="F4601" s="16"/>
    </row>
    <row r="4602" spans="5:6">
      <c r="E4602" s="11"/>
      <c r="F4602" s="16"/>
    </row>
    <row r="4603" spans="5:6">
      <c r="E4603" s="11"/>
      <c r="F4603" s="16"/>
    </row>
    <row r="4604" spans="5:6">
      <c r="E4604" s="11"/>
      <c r="F4604" s="16"/>
    </row>
    <row r="4605" spans="5:6">
      <c r="E4605" s="11"/>
      <c r="F4605" s="16"/>
    </row>
    <row r="4606" spans="5:6">
      <c r="E4606" s="11"/>
      <c r="F4606" s="16"/>
    </row>
    <row r="4607" spans="5:6">
      <c r="E4607" s="11"/>
      <c r="F4607" s="16"/>
    </row>
    <row r="4608" spans="5:6">
      <c r="E4608" s="11"/>
      <c r="F4608" s="16"/>
    </row>
    <row r="4609" spans="5:6">
      <c r="E4609" s="11"/>
      <c r="F4609" s="16"/>
    </row>
    <row r="4610" spans="5:6">
      <c r="E4610" s="11"/>
      <c r="F4610" s="16"/>
    </row>
    <row r="4611" spans="5:6">
      <c r="E4611" s="11"/>
      <c r="F4611" s="16"/>
    </row>
    <row r="4612" spans="5:6">
      <c r="E4612" s="11"/>
      <c r="F4612" s="16"/>
    </row>
    <row r="4613" spans="5:6">
      <c r="E4613" s="11"/>
      <c r="F4613" s="16"/>
    </row>
    <row r="4614" spans="5:6">
      <c r="E4614" s="11"/>
      <c r="F4614" s="16"/>
    </row>
    <row r="4615" spans="5:6">
      <c r="E4615" s="11"/>
      <c r="F4615" s="16"/>
    </row>
    <row r="4616" spans="5:6">
      <c r="E4616" s="11"/>
      <c r="F4616" s="16"/>
    </row>
    <row r="4617" spans="5:6">
      <c r="E4617" s="11"/>
      <c r="F4617" s="16"/>
    </row>
    <row r="4618" spans="5:6">
      <c r="E4618" s="11"/>
      <c r="F4618" s="16"/>
    </row>
    <row r="4619" spans="5:6">
      <c r="E4619" s="11"/>
      <c r="F4619" s="16"/>
    </row>
    <row r="4620" spans="5:6">
      <c r="E4620" s="11"/>
      <c r="F4620" s="16"/>
    </row>
    <row r="4621" spans="5:6">
      <c r="E4621" s="11"/>
      <c r="F4621" s="16"/>
    </row>
    <row r="4622" spans="5:6">
      <c r="E4622" s="11"/>
      <c r="F4622" s="16"/>
    </row>
    <row r="4623" spans="5:6">
      <c r="E4623" s="11"/>
      <c r="F4623" s="16"/>
    </row>
    <row r="4624" spans="5:6">
      <c r="E4624" s="11"/>
      <c r="F4624" s="16"/>
    </row>
    <row r="4625" spans="5:6">
      <c r="E4625" s="11"/>
      <c r="F4625" s="16"/>
    </row>
    <row r="4626" spans="5:6">
      <c r="E4626" s="11"/>
      <c r="F4626" s="16"/>
    </row>
    <row r="4627" spans="5:6">
      <c r="E4627" s="11"/>
      <c r="F4627" s="16"/>
    </row>
    <row r="4628" spans="5:6">
      <c r="E4628" s="11"/>
      <c r="F4628" s="16"/>
    </row>
    <row r="4629" spans="5:6">
      <c r="E4629" s="11"/>
      <c r="F4629" s="16"/>
    </row>
    <row r="4630" spans="5:6">
      <c r="E4630" s="11"/>
      <c r="F4630" s="16"/>
    </row>
    <row r="4631" spans="5:6">
      <c r="E4631" s="11"/>
      <c r="F4631" s="16"/>
    </row>
    <row r="4632" spans="5:6">
      <c r="E4632" s="11"/>
      <c r="F4632" s="16"/>
    </row>
    <row r="4633" spans="5:6">
      <c r="E4633" s="11"/>
      <c r="F4633" s="16"/>
    </row>
    <row r="4634" spans="5:6">
      <c r="E4634" s="11"/>
      <c r="F4634" s="16"/>
    </row>
    <row r="4635" spans="5:6">
      <c r="E4635" s="11"/>
      <c r="F4635" s="16"/>
    </row>
    <row r="4636" spans="5:6">
      <c r="E4636" s="11"/>
      <c r="F4636" s="16"/>
    </row>
    <row r="4637" spans="5:6">
      <c r="E4637" s="11"/>
      <c r="F4637" s="16"/>
    </row>
    <row r="4638" spans="5:6">
      <c r="E4638" s="11"/>
      <c r="F4638" s="16"/>
    </row>
    <row r="4639" spans="5:6">
      <c r="E4639" s="11"/>
      <c r="F4639" s="16"/>
    </row>
    <row r="4640" spans="5:6">
      <c r="E4640" s="11"/>
      <c r="F4640" s="16"/>
    </row>
    <row r="4641" spans="5:6">
      <c r="E4641" s="11"/>
      <c r="F4641" s="16"/>
    </row>
    <row r="4642" spans="5:6">
      <c r="E4642" s="11"/>
      <c r="F4642" s="16"/>
    </row>
    <row r="4643" spans="5:6">
      <c r="E4643" s="11"/>
      <c r="F4643" s="16"/>
    </row>
    <row r="4644" spans="5:6">
      <c r="E4644" s="11"/>
      <c r="F4644" s="16"/>
    </row>
    <row r="4645" spans="5:6">
      <c r="E4645" s="11"/>
      <c r="F4645" s="16"/>
    </row>
    <row r="4646" spans="5:6">
      <c r="E4646" s="11"/>
      <c r="F4646" s="16"/>
    </row>
    <row r="4647" spans="5:6">
      <c r="E4647" s="11"/>
      <c r="F4647" s="16"/>
    </row>
    <row r="4648" spans="5:6">
      <c r="E4648" s="11"/>
      <c r="F4648" s="16"/>
    </row>
    <row r="4649" spans="5:6">
      <c r="E4649" s="11"/>
      <c r="F4649" s="16"/>
    </row>
    <row r="4650" spans="5:6">
      <c r="E4650" s="11"/>
      <c r="F4650" s="16"/>
    </row>
    <row r="4651" spans="5:6">
      <c r="E4651" s="11"/>
      <c r="F4651" s="16"/>
    </row>
    <row r="4652" spans="5:6">
      <c r="E4652" s="11"/>
      <c r="F4652" s="16"/>
    </row>
    <row r="4653" spans="5:6">
      <c r="E4653" s="11"/>
      <c r="F4653" s="16"/>
    </row>
    <row r="4654" spans="5:6">
      <c r="E4654" s="11"/>
      <c r="F4654" s="16"/>
    </row>
    <row r="4655" spans="5:6">
      <c r="E4655" s="11"/>
      <c r="F4655" s="16"/>
    </row>
    <row r="4656" spans="5:6">
      <c r="E4656" s="11"/>
      <c r="F4656" s="16"/>
    </row>
    <row r="4657" spans="5:6">
      <c r="E4657" s="11"/>
      <c r="F4657" s="16"/>
    </row>
    <row r="4658" spans="5:6">
      <c r="E4658" s="11"/>
      <c r="F4658" s="16"/>
    </row>
    <row r="4659" spans="5:6">
      <c r="E4659" s="11"/>
      <c r="F4659" s="16"/>
    </row>
    <row r="4660" spans="5:6">
      <c r="E4660" s="11"/>
      <c r="F4660" s="16"/>
    </row>
    <row r="4661" spans="5:6">
      <c r="E4661" s="11"/>
      <c r="F4661" s="16"/>
    </row>
    <row r="4662" spans="5:6">
      <c r="E4662" s="11"/>
      <c r="F4662" s="16"/>
    </row>
    <row r="4663" spans="5:6">
      <c r="E4663" s="11"/>
      <c r="F4663" s="16"/>
    </row>
    <row r="4664" spans="5:6">
      <c r="E4664" s="11"/>
      <c r="F4664" s="16"/>
    </row>
    <row r="4665" spans="5:6">
      <c r="E4665" s="11"/>
      <c r="F4665" s="16"/>
    </row>
    <row r="4666" spans="5:6">
      <c r="E4666" s="11"/>
      <c r="F4666" s="16"/>
    </row>
    <row r="4667" spans="5:6">
      <c r="E4667" s="11"/>
      <c r="F4667" s="16"/>
    </row>
    <row r="4668" spans="5:6">
      <c r="E4668" s="11"/>
      <c r="F4668" s="16"/>
    </row>
    <row r="4669" spans="5:6">
      <c r="E4669" s="11"/>
      <c r="F4669" s="16"/>
    </row>
    <row r="4670" spans="5:6">
      <c r="E4670" s="11"/>
      <c r="F4670" s="16"/>
    </row>
    <row r="4671" spans="5:6">
      <c r="E4671" s="11"/>
      <c r="F4671" s="16"/>
    </row>
    <row r="4672" spans="5:6">
      <c r="E4672" s="11"/>
      <c r="F4672" s="16"/>
    </row>
    <row r="4673" spans="5:6">
      <c r="E4673" s="11"/>
      <c r="F4673" s="16"/>
    </row>
    <row r="4674" spans="5:6">
      <c r="E4674" s="11"/>
      <c r="F4674" s="16"/>
    </row>
    <row r="4675" spans="5:6">
      <c r="E4675" s="11"/>
      <c r="F4675" s="16"/>
    </row>
    <row r="4676" spans="5:6">
      <c r="E4676" s="11"/>
      <c r="F4676" s="16"/>
    </row>
    <row r="4677" spans="5:6">
      <c r="E4677" s="11"/>
      <c r="F4677" s="16"/>
    </row>
    <row r="4678" spans="5:6">
      <c r="E4678" s="11"/>
      <c r="F4678" s="16"/>
    </row>
    <row r="4679" spans="5:6">
      <c r="E4679" s="11"/>
      <c r="F4679" s="16"/>
    </row>
    <row r="4680" spans="5:6">
      <c r="E4680" s="11"/>
      <c r="F4680" s="16"/>
    </row>
    <row r="4681" spans="5:6">
      <c r="E4681" s="11"/>
      <c r="F4681" s="16"/>
    </row>
    <row r="4682" spans="5:6">
      <c r="E4682" s="11"/>
      <c r="F4682" s="16"/>
    </row>
    <row r="4683" spans="5:6">
      <c r="E4683" s="11"/>
      <c r="F4683" s="16"/>
    </row>
    <row r="4684" spans="5:6">
      <c r="E4684" s="11"/>
      <c r="F4684" s="16"/>
    </row>
    <row r="4685" spans="5:6">
      <c r="E4685" s="11"/>
      <c r="F4685" s="16"/>
    </row>
    <row r="4686" spans="5:6">
      <c r="E4686" s="11"/>
      <c r="F4686" s="16"/>
    </row>
    <row r="4687" spans="5:6">
      <c r="E4687" s="11"/>
      <c r="F4687" s="16"/>
    </row>
    <row r="4688" spans="5:6">
      <c r="E4688" s="11"/>
      <c r="F4688" s="16"/>
    </row>
    <row r="4689" spans="5:6">
      <c r="E4689" s="11"/>
      <c r="F4689" s="16"/>
    </row>
    <row r="4690" spans="5:6">
      <c r="E4690" s="11"/>
      <c r="F4690" s="16"/>
    </row>
    <row r="4691" spans="5:6">
      <c r="E4691" s="11"/>
      <c r="F4691" s="16"/>
    </row>
    <row r="4692" spans="5:6">
      <c r="E4692" s="11"/>
      <c r="F4692" s="16"/>
    </row>
    <row r="4693" spans="5:6">
      <c r="E4693" s="11"/>
      <c r="F4693" s="16"/>
    </row>
    <row r="4694" spans="5:6">
      <c r="E4694" s="11"/>
      <c r="F4694" s="16"/>
    </row>
    <row r="4695" spans="5:6">
      <c r="E4695" s="11"/>
      <c r="F4695" s="16"/>
    </row>
    <row r="4696" spans="5:6">
      <c r="E4696" s="11"/>
      <c r="F4696" s="16"/>
    </row>
    <row r="4697" spans="5:6">
      <c r="E4697" s="11"/>
      <c r="F4697" s="16"/>
    </row>
    <row r="4698" spans="5:6">
      <c r="E4698" s="11"/>
      <c r="F4698" s="16"/>
    </row>
    <row r="4699" spans="5:6">
      <c r="E4699" s="11"/>
      <c r="F4699" s="16"/>
    </row>
    <row r="4700" spans="5:6">
      <c r="E4700" s="11"/>
      <c r="F4700" s="16"/>
    </row>
    <row r="4701" spans="5:6">
      <c r="E4701" s="11"/>
      <c r="F4701" s="16"/>
    </row>
    <row r="4702" spans="5:6">
      <c r="E4702" s="11"/>
      <c r="F4702" s="16"/>
    </row>
    <row r="4703" spans="5:6">
      <c r="E4703" s="11"/>
      <c r="F4703" s="16"/>
    </row>
    <row r="4704" spans="5:6">
      <c r="E4704" s="11"/>
      <c r="F4704" s="16"/>
    </row>
    <row r="4705" spans="5:6">
      <c r="E4705" s="11"/>
      <c r="F4705" s="16"/>
    </row>
    <row r="4706" spans="5:6">
      <c r="E4706" s="11"/>
      <c r="F4706" s="16"/>
    </row>
    <row r="4707" spans="5:6">
      <c r="E4707" s="11"/>
      <c r="F4707" s="16"/>
    </row>
    <row r="4708" spans="5:6">
      <c r="E4708" s="11"/>
      <c r="F4708" s="16"/>
    </row>
    <row r="4709" spans="5:6">
      <c r="E4709" s="11"/>
      <c r="F4709" s="16"/>
    </row>
    <row r="4710" spans="5:6">
      <c r="E4710" s="11"/>
      <c r="F4710" s="16"/>
    </row>
    <row r="4711" spans="5:6">
      <c r="E4711" s="11"/>
      <c r="F4711" s="16"/>
    </row>
    <row r="4712" spans="5:6">
      <c r="E4712" s="11"/>
      <c r="F4712" s="16"/>
    </row>
    <row r="4713" spans="5:6">
      <c r="E4713" s="11"/>
      <c r="F4713" s="16"/>
    </row>
    <row r="4714" spans="5:6">
      <c r="E4714" s="11"/>
      <c r="F4714" s="16"/>
    </row>
    <row r="4715" spans="5:6">
      <c r="E4715" s="11"/>
      <c r="F4715" s="16"/>
    </row>
    <row r="4716" spans="5:6">
      <c r="E4716" s="11"/>
      <c r="F4716" s="16"/>
    </row>
    <row r="4717" spans="5:6">
      <c r="E4717" s="11"/>
      <c r="F4717" s="16"/>
    </row>
    <row r="4718" spans="5:6">
      <c r="E4718" s="11"/>
      <c r="F4718" s="16"/>
    </row>
    <row r="4719" spans="5:6">
      <c r="E4719" s="11"/>
      <c r="F4719" s="16"/>
    </row>
    <row r="4720" spans="5:6">
      <c r="E4720" s="11"/>
      <c r="F4720" s="16"/>
    </row>
    <row r="4721" spans="5:6">
      <c r="E4721" s="11"/>
      <c r="F4721" s="16"/>
    </row>
    <row r="4722" spans="5:6">
      <c r="E4722" s="11"/>
      <c r="F4722" s="16"/>
    </row>
    <row r="4723" spans="5:6">
      <c r="E4723" s="11"/>
      <c r="F4723" s="16"/>
    </row>
    <row r="4724" spans="5:6">
      <c r="E4724" s="11"/>
      <c r="F4724" s="16"/>
    </row>
    <row r="4725" spans="5:6">
      <c r="E4725" s="11"/>
      <c r="F4725" s="16"/>
    </row>
    <row r="4726" spans="5:6">
      <c r="E4726" s="11"/>
      <c r="F4726" s="16"/>
    </row>
    <row r="4727" spans="5:6">
      <c r="E4727" s="11"/>
      <c r="F4727" s="16"/>
    </row>
    <row r="4728" spans="5:6">
      <c r="E4728" s="11"/>
      <c r="F4728" s="16"/>
    </row>
    <row r="4729" spans="5:6">
      <c r="E4729" s="11"/>
      <c r="F4729" s="16"/>
    </row>
    <row r="4730" spans="5:6">
      <c r="E4730" s="11"/>
      <c r="F4730" s="16"/>
    </row>
    <row r="4731" spans="5:6">
      <c r="E4731" s="11"/>
      <c r="F4731" s="16"/>
    </row>
    <row r="4732" spans="5:6">
      <c r="E4732" s="11"/>
      <c r="F4732" s="16"/>
    </row>
    <row r="4733" spans="5:6">
      <c r="E4733" s="11"/>
      <c r="F4733" s="16"/>
    </row>
    <row r="4734" spans="5:6">
      <c r="E4734" s="11"/>
      <c r="F4734" s="16"/>
    </row>
    <row r="4735" spans="5:6">
      <c r="E4735" s="11"/>
      <c r="F4735" s="16"/>
    </row>
    <row r="4736" spans="5:6">
      <c r="E4736" s="11"/>
      <c r="F4736" s="16"/>
    </row>
    <row r="4737" spans="5:6">
      <c r="E4737" s="11"/>
      <c r="F4737" s="16"/>
    </row>
    <row r="4738" spans="5:6">
      <c r="E4738" s="11"/>
      <c r="F4738" s="16"/>
    </row>
    <row r="4739" spans="5:6">
      <c r="E4739" s="11"/>
      <c r="F4739" s="16"/>
    </row>
    <row r="4740" spans="5:6">
      <c r="E4740" s="11"/>
      <c r="F4740" s="16"/>
    </row>
    <row r="4741" spans="5:6">
      <c r="E4741" s="11"/>
      <c r="F4741" s="16"/>
    </row>
    <row r="4742" spans="5:6">
      <c r="E4742" s="11"/>
      <c r="F4742" s="16"/>
    </row>
    <row r="4743" spans="5:6">
      <c r="E4743" s="11"/>
      <c r="F4743" s="16"/>
    </row>
    <row r="4744" spans="5:6">
      <c r="E4744" s="11"/>
      <c r="F4744" s="16"/>
    </row>
    <row r="4745" spans="5:6">
      <c r="E4745" s="11"/>
      <c r="F4745" s="16"/>
    </row>
    <row r="4746" spans="5:6">
      <c r="E4746" s="11"/>
      <c r="F4746" s="16"/>
    </row>
    <row r="4747" spans="5:6">
      <c r="E4747" s="11"/>
      <c r="F4747" s="16"/>
    </row>
    <row r="4748" spans="5:6">
      <c r="E4748" s="11"/>
      <c r="F4748" s="16"/>
    </row>
    <row r="4749" spans="5:6">
      <c r="E4749" s="11"/>
      <c r="F4749" s="16"/>
    </row>
    <row r="4750" spans="5:6">
      <c r="E4750" s="11"/>
      <c r="F4750" s="16"/>
    </row>
    <row r="4751" spans="5:6">
      <c r="E4751" s="11"/>
      <c r="F4751" s="16"/>
    </row>
    <row r="4752" spans="5:6">
      <c r="E4752" s="11"/>
      <c r="F4752" s="16"/>
    </row>
    <row r="4753" spans="5:6">
      <c r="E4753" s="11"/>
      <c r="F4753" s="16"/>
    </row>
    <row r="4754" spans="5:6">
      <c r="E4754" s="11"/>
      <c r="F4754" s="16"/>
    </row>
    <row r="4755" spans="5:6">
      <c r="E4755" s="11"/>
      <c r="F4755" s="16"/>
    </row>
    <row r="4756" spans="5:6">
      <c r="E4756" s="11"/>
      <c r="F4756" s="16"/>
    </row>
    <row r="4757" spans="5:6">
      <c r="E4757" s="11"/>
      <c r="F4757" s="16"/>
    </row>
    <row r="4758" spans="5:6">
      <c r="E4758" s="11"/>
      <c r="F4758" s="16"/>
    </row>
    <row r="4759" spans="5:6">
      <c r="E4759" s="11"/>
      <c r="F4759" s="16"/>
    </row>
    <row r="4760" spans="5:6">
      <c r="E4760" s="11"/>
      <c r="F4760" s="16"/>
    </row>
    <row r="4761" spans="5:6">
      <c r="E4761" s="11"/>
      <c r="F4761" s="16"/>
    </row>
    <row r="4762" spans="5:6">
      <c r="E4762" s="11"/>
      <c r="F4762" s="16"/>
    </row>
    <row r="4763" spans="5:6">
      <c r="E4763" s="11"/>
      <c r="F4763" s="16"/>
    </row>
    <row r="4764" spans="5:6">
      <c r="E4764" s="11"/>
      <c r="F4764" s="16"/>
    </row>
    <row r="4765" spans="5:6">
      <c r="E4765" s="11"/>
      <c r="F4765" s="16"/>
    </row>
    <row r="4766" spans="5:6">
      <c r="E4766" s="11"/>
      <c r="F4766" s="16"/>
    </row>
    <row r="4767" spans="5:6">
      <c r="E4767" s="11"/>
      <c r="F4767" s="16"/>
    </row>
    <row r="4768" spans="5:6">
      <c r="E4768" s="11"/>
      <c r="F4768" s="16"/>
    </row>
    <row r="4769" spans="5:6">
      <c r="E4769" s="11"/>
      <c r="F4769" s="16"/>
    </row>
    <row r="4770" spans="5:6">
      <c r="E4770" s="11"/>
      <c r="F4770" s="16"/>
    </row>
    <row r="4771" spans="5:6">
      <c r="E4771" s="11"/>
      <c r="F4771" s="16"/>
    </row>
    <row r="4772" spans="5:6">
      <c r="E4772" s="11"/>
      <c r="F4772" s="16"/>
    </row>
    <row r="4773" spans="5:6">
      <c r="E4773" s="11"/>
      <c r="F4773" s="16"/>
    </row>
    <row r="4774" spans="5:6">
      <c r="E4774" s="11"/>
      <c r="F4774" s="16"/>
    </row>
    <row r="4775" spans="5:6">
      <c r="E4775" s="11"/>
      <c r="F4775" s="16"/>
    </row>
    <row r="4776" spans="5:6">
      <c r="E4776" s="11"/>
      <c r="F4776" s="16"/>
    </row>
    <row r="4777" spans="5:6">
      <c r="E4777" s="11"/>
      <c r="F4777" s="16"/>
    </row>
    <row r="4778" spans="5:6">
      <c r="E4778" s="11"/>
      <c r="F4778" s="16"/>
    </row>
    <row r="4779" spans="5:6">
      <c r="E4779" s="11"/>
      <c r="F4779" s="16"/>
    </row>
    <row r="4780" spans="5:6">
      <c r="E4780" s="11"/>
      <c r="F4780" s="16"/>
    </row>
    <row r="4781" spans="5:6">
      <c r="E4781" s="11"/>
      <c r="F4781" s="16"/>
    </row>
    <row r="4782" spans="5:6">
      <c r="E4782" s="11"/>
      <c r="F4782" s="16"/>
    </row>
    <row r="4783" spans="5:6">
      <c r="E4783" s="11"/>
      <c r="F4783" s="16"/>
    </row>
    <row r="4784" spans="5:6">
      <c r="E4784" s="11"/>
      <c r="F4784" s="16"/>
    </row>
    <row r="4785" spans="5:6">
      <c r="E4785" s="11"/>
      <c r="F4785" s="16"/>
    </row>
    <row r="4786" spans="5:6">
      <c r="E4786" s="11"/>
      <c r="F4786" s="16"/>
    </row>
    <row r="4787" spans="5:6">
      <c r="E4787" s="11"/>
      <c r="F4787" s="16"/>
    </row>
    <row r="4788" spans="5:6">
      <c r="E4788" s="11"/>
      <c r="F4788" s="16"/>
    </row>
    <row r="4789" spans="5:6">
      <c r="E4789" s="11"/>
      <c r="F4789" s="16"/>
    </row>
    <row r="4790" spans="5:6">
      <c r="E4790" s="11"/>
      <c r="F4790" s="16"/>
    </row>
    <row r="4791" spans="5:6">
      <c r="E4791" s="11"/>
      <c r="F4791" s="16"/>
    </row>
    <row r="4792" spans="5:6">
      <c r="E4792" s="11"/>
      <c r="F4792" s="16"/>
    </row>
    <row r="4793" spans="5:6">
      <c r="E4793" s="11"/>
      <c r="F4793" s="16"/>
    </row>
    <row r="4794" spans="5:6">
      <c r="E4794" s="11"/>
      <c r="F4794" s="16"/>
    </row>
    <row r="4795" spans="5:6">
      <c r="E4795" s="11"/>
      <c r="F4795" s="16"/>
    </row>
    <row r="4796" spans="5:6">
      <c r="E4796" s="11"/>
      <c r="F4796" s="16"/>
    </row>
    <row r="4797" spans="5:6">
      <c r="E4797" s="11"/>
      <c r="F4797" s="16"/>
    </row>
    <row r="4798" spans="5:6">
      <c r="E4798" s="11"/>
      <c r="F4798" s="16"/>
    </row>
    <row r="4799" spans="5:6">
      <c r="E4799" s="11"/>
      <c r="F4799" s="16"/>
    </row>
    <row r="4800" spans="5:6">
      <c r="E4800" s="11"/>
      <c r="F4800" s="16"/>
    </row>
    <row r="4801" spans="5:6">
      <c r="E4801" s="11"/>
      <c r="F4801" s="16"/>
    </row>
    <row r="4802" spans="5:6">
      <c r="E4802" s="11"/>
      <c r="F4802" s="16"/>
    </row>
    <row r="4803" spans="5:6">
      <c r="E4803" s="11"/>
      <c r="F4803" s="16"/>
    </row>
    <row r="4804" spans="5:6">
      <c r="E4804" s="11"/>
      <c r="F4804" s="16"/>
    </row>
    <row r="4805" spans="5:6">
      <c r="E4805" s="11"/>
      <c r="F4805" s="16"/>
    </row>
    <row r="4806" spans="5:6">
      <c r="E4806" s="11"/>
      <c r="F4806" s="16"/>
    </row>
    <row r="4807" spans="5:6">
      <c r="E4807" s="11"/>
      <c r="F4807" s="16"/>
    </row>
    <row r="4808" spans="5:6">
      <c r="E4808" s="11"/>
      <c r="F4808" s="16"/>
    </row>
    <row r="4809" spans="5:6">
      <c r="E4809" s="11"/>
      <c r="F4809" s="16"/>
    </row>
    <row r="4810" spans="5:6">
      <c r="E4810" s="11"/>
      <c r="F4810" s="16"/>
    </row>
    <row r="4811" spans="5:6">
      <c r="E4811" s="11"/>
      <c r="F4811" s="16"/>
    </row>
    <row r="4812" spans="5:6">
      <c r="E4812" s="11"/>
      <c r="F4812" s="16"/>
    </row>
    <row r="4813" spans="5:6">
      <c r="E4813" s="11"/>
      <c r="F4813" s="16"/>
    </row>
    <row r="4814" spans="5:6">
      <c r="E4814" s="11"/>
      <c r="F4814" s="16"/>
    </row>
    <row r="4815" spans="5:6">
      <c r="E4815" s="11"/>
      <c r="F4815" s="16"/>
    </row>
    <row r="4816" spans="5:6">
      <c r="E4816" s="11"/>
      <c r="F4816" s="16"/>
    </row>
    <row r="4817" spans="5:6">
      <c r="E4817" s="11"/>
      <c r="F4817" s="16"/>
    </row>
    <row r="4818" spans="5:6">
      <c r="E4818" s="11"/>
      <c r="F4818" s="16"/>
    </row>
    <row r="4819" spans="5:6">
      <c r="E4819" s="11"/>
      <c r="F4819" s="16"/>
    </row>
    <row r="4820" spans="5:6">
      <c r="E4820" s="11"/>
      <c r="F4820" s="16"/>
    </row>
    <row r="4821" spans="5:6">
      <c r="E4821" s="11"/>
      <c r="F4821" s="16"/>
    </row>
    <row r="4822" spans="5:6">
      <c r="E4822" s="11"/>
      <c r="F4822" s="16"/>
    </row>
    <row r="4823" spans="5:6">
      <c r="E4823" s="11"/>
      <c r="F4823" s="16"/>
    </row>
    <row r="4824" spans="5:6">
      <c r="E4824" s="11"/>
      <c r="F4824" s="16"/>
    </row>
    <row r="4825" spans="5:6">
      <c r="E4825" s="11"/>
      <c r="F4825" s="16"/>
    </row>
    <row r="4826" spans="5:6">
      <c r="E4826" s="11"/>
      <c r="F4826" s="16"/>
    </row>
    <row r="4827" spans="5:6">
      <c r="E4827" s="11"/>
      <c r="F4827" s="16"/>
    </row>
    <row r="4828" spans="5:6">
      <c r="E4828" s="11"/>
      <c r="F4828" s="16"/>
    </row>
    <row r="4829" spans="5:6">
      <c r="E4829" s="11"/>
      <c r="F4829" s="16"/>
    </row>
    <row r="4830" spans="5:6">
      <c r="E4830" s="11"/>
      <c r="F4830" s="16"/>
    </row>
    <row r="4831" spans="5:6">
      <c r="E4831" s="11"/>
      <c r="F4831" s="16"/>
    </row>
    <row r="4832" spans="5:6">
      <c r="E4832" s="11"/>
      <c r="F4832" s="16"/>
    </row>
    <row r="4833" spans="5:6">
      <c r="E4833" s="11"/>
      <c r="F4833" s="16"/>
    </row>
    <row r="4834" spans="5:6">
      <c r="E4834" s="11"/>
      <c r="F4834" s="16"/>
    </row>
    <row r="4835" spans="5:6">
      <c r="E4835" s="11"/>
      <c r="F4835" s="16"/>
    </row>
    <row r="4836" spans="5:6">
      <c r="E4836" s="11"/>
      <c r="F4836" s="16"/>
    </row>
    <row r="4837" spans="5:6">
      <c r="E4837" s="11"/>
      <c r="F4837" s="16"/>
    </row>
    <row r="4838" spans="5:6">
      <c r="E4838" s="11"/>
      <c r="F4838" s="16"/>
    </row>
    <row r="4839" spans="5:6">
      <c r="E4839" s="11"/>
      <c r="F4839" s="16"/>
    </row>
    <row r="4840" spans="5:6">
      <c r="E4840" s="11"/>
      <c r="F4840" s="16"/>
    </row>
    <row r="4841" spans="5:6">
      <c r="E4841" s="11"/>
      <c r="F4841" s="16"/>
    </row>
    <row r="4842" spans="5:6">
      <c r="E4842" s="11"/>
      <c r="F4842" s="16"/>
    </row>
    <row r="4843" spans="5:6">
      <c r="E4843" s="11"/>
      <c r="F4843" s="16"/>
    </row>
    <row r="4844" spans="5:6">
      <c r="E4844" s="11"/>
      <c r="F4844" s="16"/>
    </row>
    <row r="4845" spans="5:6">
      <c r="E4845" s="11"/>
      <c r="F4845" s="16"/>
    </row>
    <row r="4846" spans="5:6">
      <c r="E4846" s="11"/>
      <c r="F4846" s="16"/>
    </row>
    <row r="4847" spans="5:6">
      <c r="E4847" s="11"/>
      <c r="F4847" s="16"/>
    </row>
    <row r="4848" spans="5:6">
      <c r="E4848" s="11"/>
      <c r="F4848" s="16"/>
    </row>
    <row r="4849" spans="5:6">
      <c r="E4849" s="11"/>
      <c r="F4849" s="16"/>
    </row>
    <row r="4850" spans="5:6">
      <c r="E4850" s="11"/>
      <c r="F4850" s="16"/>
    </row>
    <row r="4851" spans="5:6">
      <c r="E4851" s="11"/>
      <c r="F4851" s="16"/>
    </row>
    <row r="4852" spans="5:6">
      <c r="E4852" s="11"/>
      <c r="F4852" s="16"/>
    </row>
    <row r="4853" spans="5:6">
      <c r="E4853" s="11"/>
      <c r="F4853" s="16"/>
    </row>
    <row r="4854" spans="5:6">
      <c r="E4854" s="11"/>
      <c r="F4854" s="16"/>
    </row>
    <row r="4855" spans="5:6">
      <c r="E4855" s="11"/>
      <c r="F4855" s="16"/>
    </row>
    <row r="4856" spans="5:6">
      <c r="E4856" s="11"/>
      <c r="F4856" s="16"/>
    </row>
    <row r="4857" spans="5:6">
      <c r="E4857" s="11"/>
      <c r="F4857" s="16"/>
    </row>
    <row r="4858" spans="5:6">
      <c r="E4858" s="11"/>
      <c r="F4858" s="16"/>
    </row>
    <row r="4859" spans="5:6">
      <c r="E4859" s="11"/>
      <c r="F4859" s="16"/>
    </row>
    <row r="4860" spans="5:6">
      <c r="E4860" s="11"/>
      <c r="F4860" s="16"/>
    </row>
    <row r="4861" spans="5:6">
      <c r="E4861" s="11"/>
      <c r="F4861" s="16"/>
    </row>
    <row r="4862" spans="5:6">
      <c r="E4862" s="11"/>
      <c r="F4862" s="16"/>
    </row>
    <row r="4863" spans="5:6">
      <c r="E4863" s="11"/>
      <c r="F4863" s="16"/>
    </row>
    <row r="4864" spans="5:6">
      <c r="E4864" s="11"/>
      <c r="F4864" s="16"/>
    </row>
    <row r="4865" spans="5:6">
      <c r="E4865" s="11"/>
      <c r="F4865" s="16"/>
    </row>
    <row r="4866" spans="5:6">
      <c r="E4866" s="11"/>
      <c r="F4866" s="16"/>
    </row>
    <row r="4867" spans="5:6">
      <c r="E4867" s="11"/>
      <c r="F4867" s="16"/>
    </row>
    <row r="4868" spans="5:6">
      <c r="E4868" s="11"/>
      <c r="F4868" s="16"/>
    </row>
    <row r="4869" spans="5:6">
      <c r="E4869" s="11"/>
      <c r="F4869" s="16"/>
    </row>
    <row r="4870" spans="5:6">
      <c r="E4870" s="11"/>
      <c r="F4870" s="16"/>
    </row>
    <row r="4871" spans="5:6">
      <c r="E4871" s="11"/>
      <c r="F4871" s="16"/>
    </row>
    <row r="4872" spans="5:6">
      <c r="E4872" s="11"/>
      <c r="F4872" s="16"/>
    </row>
    <row r="4873" spans="5:6">
      <c r="E4873" s="11"/>
      <c r="F4873" s="16"/>
    </row>
    <row r="4874" spans="5:6">
      <c r="E4874" s="11"/>
      <c r="F4874" s="16"/>
    </row>
    <row r="4875" spans="5:6">
      <c r="E4875" s="11"/>
      <c r="F4875" s="16"/>
    </row>
    <row r="4876" spans="5:6">
      <c r="E4876" s="11"/>
      <c r="F4876" s="16"/>
    </row>
    <row r="4877" spans="5:6">
      <c r="E4877" s="11"/>
      <c r="F4877" s="16"/>
    </row>
    <row r="4878" spans="5:6">
      <c r="E4878" s="11"/>
      <c r="F4878" s="16"/>
    </row>
    <row r="4879" spans="5:6">
      <c r="E4879" s="11"/>
      <c r="F4879" s="16"/>
    </row>
    <row r="4880" spans="5:6">
      <c r="E4880" s="11"/>
      <c r="F4880" s="16"/>
    </row>
    <row r="4881" spans="5:6">
      <c r="E4881" s="11"/>
      <c r="F4881" s="16"/>
    </row>
    <row r="4882" spans="5:6">
      <c r="E4882" s="11"/>
      <c r="F4882" s="16"/>
    </row>
    <row r="4883" spans="5:6">
      <c r="E4883" s="11"/>
      <c r="F4883" s="16"/>
    </row>
    <row r="4884" spans="5:6">
      <c r="E4884" s="11"/>
      <c r="F4884" s="16"/>
    </row>
    <row r="4885" spans="5:6">
      <c r="E4885" s="11"/>
      <c r="F4885" s="16"/>
    </row>
    <row r="4886" spans="5:6">
      <c r="E4886" s="11"/>
      <c r="F4886" s="16"/>
    </row>
    <row r="4887" spans="5:6">
      <c r="E4887" s="11"/>
      <c r="F4887" s="16"/>
    </row>
    <row r="4888" spans="5:6">
      <c r="E4888" s="11"/>
      <c r="F4888" s="16"/>
    </row>
    <row r="4889" spans="5:6">
      <c r="E4889" s="11"/>
      <c r="F4889" s="16"/>
    </row>
    <row r="4890" spans="5:6">
      <c r="E4890" s="11"/>
      <c r="F4890" s="16"/>
    </row>
    <row r="4891" spans="5:6">
      <c r="E4891" s="11"/>
      <c r="F4891" s="16"/>
    </row>
    <row r="4892" spans="5:6">
      <c r="E4892" s="11"/>
      <c r="F4892" s="16"/>
    </row>
    <row r="4893" spans="5:6">
      <c r="E4893" s="11"/>
      <c r="F4893" s="16"/>
    </row>
    <row r="4894" spans="5:6">
      <c r="E4894" s="11"/>
      <c r="F4894" s="16"/>
    </row>
    <row r="4895" spans="5:6">
      <c r="E4895" s="11"/>
      <c r="F4895" s="16"/>
    </row>
    <row r="4896" spans="5:6">
      <c r="E4896" s="11"/>
      <c r="F4896" s="16"/>
    </row>
    <row r="4897" spans="5:6">
      <c r="E4897" s="11"/>
      <c r="F4897" s="16"/>
    </row>
    <row r="4898" spans="5:6">
      <c r="E4898" s="11"/>
      <c r="F4898" s="16"/>
    </row>
    <row r="4899" spans="5:6">
      <c r="E4899" s="11"/>
      <c r="F4899" s="16"/>
    </row>
    <row r="4900" spans="5:6">
      <c r="E4900" s="11"/>
      <c r="F4900" s="16"/>
    </row>
    <row r="4901" spans="5:6">
      <c r="E4901" s="11"/>
      <c r="F4901" s="16"/>
    </row>
    <row r="4902" spans="5:6">
      <c r="E4902" s="11"/>
      <c r="F4902" s="16"/>
    </row>
    <row r="4903" spans="5:6">
      <c r="E4903" s="11"/>
      <c r="F4903" s="16"/>
    </row>
    <row r="4904" spans="5:6">
      <c r="E4904" s="11"/>
      <c r="F4904" s="16"/>
    </row>
    <row r="4905" spans="5:6">
      <c r="E4905" s="11"/>
      <c r="F4905" s="16"/>
    </row>
    <row r="4906" spans="5:6">
      <c r="E4906" s="11"/>
      <c r="F4906" s="16"/>
    </row>
    <row r="4907" spans="5:6">
      <c r="E4907" s="11"/>
      <c r="F4907" s="16"/>
    </row>
    <row r="4908" spans="5:6">
      <c r="E4908" s="11"/>
      <c r="F4908" s="16"/>
    </row>
    <row r="4909" spans="5:6">
      <c r="E4909" s="11"/>
      <c r="F4909" s="16"/>
    </row>
    <row r="4910" spans="5:6">
      <c r="E4910" s="11"/>
      <c r="F4910" s="16"/>
    </row>
    <row r="4911" spans="5:6">
      <c r="E4911" s="11"/>
      <c r="F4911" s="16"/>
    </row>
    <row r="4912" spans="5:6">
      <c r="E4912" s="11"/>
      <c r="F4912" s="16"/>
    </row>
    <row r="4913" spans="5:6">
      <c r="E4913" s="11"/>
      <c r="F4913" s="16"/>
    </row>
    <row r="4914" spans="5:6">
      <c r="E4914" s="11"/>
      <c r="F4914" s="16"/>
    </row>
    <row r="4915" spans="5:6">
      <c r="E4915" s="11"/>
      <c r="F4915" s="16"/>
    </row>
    <row r="4916" spans="5:6">
      <c r="E4916" s="11"/>
      <c r="F4916" s="16"/>
    </row>
    <row r="4917" spans="5:6">
      <c r="E4917" s="11"/>
      <c r="F4917" s="16"/>
    </row>
    <row r="4918" spans="5:6">
      <c r="E4918" s="11"/>
      <c r="F4918" s="16"/>
    </row>
    <row r="4919" spans="5:6">
      <c r="E4919" s="11"/>
      <c r="F4919" s="16"/>
    </row>
    <row r="4920" spans="5:6">
      <c r="E4920" s="11"/>
      <c r="F4920" s="16"/>
    </row>
    <row r="4921" spans="5:6">
      <c r="E4921" s="11"/>
      <c r="F4921" s="16"/>
    </row>
    <row r="4922" spans="5:6">
      <c r="E4922" s="11"/>
      <c r="F4922" s="16"/>
    </row>
    <row r="4923" spans="5:6">
      <c r="E4923" s="11"/>
      <c r="F4923" s="16"/>
    </row>
    <row r="4924" spans="5:6">
      <c r="E4924" s="11"/>
      <c r="F4924" s="16"/>
    </row>
    <row r="4925" spans="5:6">
      <c r="E4925" s="11"/>
      <c r="F4925" s="16"/>
    </row>
    <row r="4926" spans="5:6">
      <c r="E4926" s="11"/>
      <c r="F4926" s="16"/>
    </row>
    <row r="4927" spans="5:6">
      <c r="E4927" s="11"/>
      <c r="F4927" s="16"/>
    </row>
    <row r="4928" spans="5:6">
      <c r="E4928" s="11"/>
      <c r="F4928" s="16"/>
    </row>
    <row r="4929" spans="5:6">
      <c r="E4929" s="11"/>
      <c r="F4929" s="16"/>
    </row>
    <row r="4930" spans="5:6">
      <c r="E4930" s="11"/>
      <c r="F4930" s="16"/>
    </row>
    <row r="4931" spans="5:6">
      <c r="E4931" s="11"/>
      <c r="F4931" s="16"/>
    </row>
    <row r="4932" spans="5:6">
      <c r="E4932" s="11"/>
      <c r="F4932" s="16"/>
    </row>
    <row r="4933" spans="5:6">
      <c r="E4933" s="11"/>
      <c r="F4933" s="16"/>
    </row>
    <row r="4934" spans="5:6">
      <c r="E4934" s="11"/>
      <c r="F4934" s="16"/>
    </row>
    <row r="4935" spans="5:6">
      <c r="E4935" s="11"/>
      <c r="F4935" s="16"/>
    </row>
    <row r="4936" spans="5:6">
      <c r="E4936" s="11"/>
      <c r="F4936" s="16"/>
    </row>
    <row r="4937" spans="5:6">
      <c r="E4937" s="11"/>
      <c r="F4937" s="16"/>
    </row>
    <row r="4938" spans="5:6">
      <c r="E4938" s="11"/>
      <c r="F4938" s="16"/>
    </row>
    <row r="4939" spans="5:6">
      <c r="E4939" s="11"/>
      <c r="F4939" s="16"/>
    </row>
    <row r="4940" spans="5:6">
      <c r="E4940" s="11"/>
      <c r="F4940" s="16"/>
    </row>
    <row r="4941" spans="5:6">
      <c r="E4941" s="11"/>
      <c r="F4941" s="16"/>
    </row>
    <row r="4942" spans="5:6">
      <c r="E4942" s="11"/>
      <c r="F4942" s="16"/>
    </row>
    <row r="4943" spans="5:6">
      <c r="E4943" s="11"/>
      <c r="F4943" s="16"/>
    </row>
    <row r="4944" spans="5:6">
      <c r="E4944" s="11"/>
      <c r="F4944" s="16"/>
    </row>
    <row r="4945" spans="5:6">
      <c r="E4945" s="11"/>
      <c r="F4945" s="16"/>
    </row>
    <row r="4946" spans="5:6">
      <c r="E4946" s="11"/>
      <c r="F4946" s="16"/>
    </row>
    <row r="4947" spans="5:6">
      <c r="E4947" s="11"/>
      <c r="F4947" s="16"/>
    </row>
    <row r="4948" spans="5:6">
      <c r="E4948" s="11"/>
      <c r="F4948" s="16"/>
    </row>
    <row r="4949" spans="5:6">
      <c r="E4949" s="11"/>
      <c r="F4949" s="16"/>
    </row>
    <row r="4950" spans="5:6">
      <c r="E4950" s="11"/>
      <c r="F4950" s="16"/>
    </row>
    <row r="4951" spans="5:6">
      <c r="E4951" s="11"/>
      <c r="F4951" s="16"/>
    </row>
    <row r="4952" spans="5:6">
      <c r="E4952" s="11"/>
      <c r="F4952" s="16"/>
    </row>
    <row r="4953" spans="5:6">
      <c r="E4953" s="11"/>
      <c r="F4953" s="16"/>
    </row>
    <row r="4954" spans="5:6">
      <c r="E4954" s="11"/>
      <c r="F4954" s="16"/>
    </row>
    <row r="4955" spans="5:6">
      <c r="E4955" s="11"/>
      <c r="F4955" s="16"/>
    </row>
    <row r="4956" spans="5:6">
      <c r="E4956" s="11"/>
      <c r="F4956" s="16"/>
    </row>
    <row r="4957" spans="5:6">
      <c r="E4957" s="11"/>
      <c r="F4957" s="16"/>
    </row>
    <row r="4958" spans="5:6">
      <c r="E4958" s="11"/>
      <c r="F4958" s="16"/>
    </row>
    <row r="4959" spans="5:6">
      <c r="E4959" s="11"/>
      <c r="F4959" s="16"/>
    </row>
    <row r="4960" spans="5:6">
      <c r="E4960" s="11"/>
      <c r="F4960" s="16"/>
    </row>
    <row r="4961" spans="5:6">
      <c r="E4961" s="11"/>
      <c r="F4961" s="16"/>
    </row>
    <row r="4962" spans="5:6">
      <c r="E4962" s="11"/>
      <c r="F4962" s="16"/>
    </row>
    <row r="4963" spans="5:6">
      <c r="E4963" s="11"/>
      <c r="F4963" s="16"/>
    </row>
    <row r="4964" spans="5:6">
      <c r="E4964" s="11"/>
      <c r="F4964" s="16"/>
    </row>
    <row r="4965" spans="5:6">
      <c r="E4965" s="11"/>
      <c r="F4965" s="16"/>
    </row>
    <row r="4966" spans="5:6">
      <c r="E4966" s="11"/>
      <c r="F4966" s="16"/>
    </row>
    <row r="4967" spans="5:6">
      <c r="E4967" s="11"/>
      <c r="F4967" s="16"/>
    </row>
    <row r="4968" spans="5:6">
      <c r="E4968" s="11"/>
      <c r="F4968" s="16"/>
    </row>
    <row r="4969" spans="5:6">
      <c r="E4969" s="11"/>
      <c r="F4969" s="16"/>
    </row>
    <row r="4970" spans="5:6">
      <c r="E4970" s="11"/>
      <c r="F4970" s="16"/>
    </row>
    <row r="4971" spans="5:6">
      <c r="E4971" s="11"/>
      <c r="F4971" s="16"/>
    </row>
    <row r="4972" spans="5:6">
      <c r="E4972" s="11"/>
      <c r="F4972" s="16"/>
    </row>
    <row r="4973" spans="5:6">
      <c r="E4973" s="11"/>
      <c r="F4973" s="16"/>
    </row>
    <row r="4974" spans="5:6">
      <c r="E4974" s="11"/>
      <c r="F4974" s="16"/>
    </row>
    <row r="4975" spans="5:6">
      <c r="E4975" s="11"/>
      <c r="F4975" s="16"/>
    </row>
    <row r="4976" spans="5:6">
      <c r="E4976" s="11"/>
      <c r="F4976" s="16"/>
    </row>
    <row r="4977" spans="5:6">
      <c r="E4977" s="11"/>
      <c r="F4977" s="16"/>
    </row>
    <row r="4978" spans="5:6">
      <c r="E4978" s="11"/>
      <c r="F4978" s="16"/>
    </row>
    <row r="4979" spans="5:6">
      <c r="E4979" s="11"/>
      <c r="F4979" s="16"/>
    </row>
    <row r="4980" spans="5:6">
      <c r="E4980" s="11"/>
      <c r="F4980" s="16"/>
    </row>
    <row r="4981" spans="5:6">
      <c r="E4981" s="11"/>
      <c r="F4981" s="16"/>
    </row>
    <row r="4982" spans="5:6">
      <c r="E4982" s="11"/>
      <c r="F4982" s="16"/>
    </row>
    <row r="4983" spans="5:6">
      <c r="E4983" s="11"/>
      <c r="F4983" s="16"/>
    </row>
    <row r="4984" spans="5:6">
      <c r="E4984" s="11"/>
      <c r="F4984" s="16"/>
    </row>
    <row r="4985" spans="5:6">
      <c r="E4985" s="11"/>
      <c r="F4985" s="16"/>
    </row>
    <row r="4986" spans="5:6">
      <c r="E4986" s="11"/>
      <c r="F4986" s="16"/>
    </row>
    <row r="4987" spans="5:6">
      <c r="E4987" s="11"/>
      <c r="F4987" s="16"/>
    </row>
    <row r="4988" spans="5:6">
      <c r="E4988" s="11"/>
      <c r="F4988" s="16"/>
    </row>
    <row r="4989" spans="5:6">
      <c r="E4989" s="11"/>
      <c r="F4989" s="16"/>
    </row>
    <row r="4990" spans="5:6">
      <c r="E4990" s="11"/>
      <c r="F4990" s="16"/>
    </row>
    <row r="4991" spans="5:6">
      <c r="E4991" s="11"/>
      <c r="F4991" s="16"/>
    </row>
    <row r="4992" spans="5:6">
      <c r="E4992" s="11"/>
      <c r="F4992" s="16"/>
    </row>
    <row r="4993" spans="5:6">
      <c r="E4993" s="11"/>
      <c r="F4993" s="16"/>
    </row>
    <row r="4994" spans="5:6">
      <c r="E4994" s="11"/>
      <c r="F4994" s="16"/>
    </row>
    <row r="4995" spans="5:6">
      <c r="E4995" s="11"/>
      <c r="F4995" s="16"/>
    </row>
    <row r="4996" spans="5:6">
      <c r="E4996" s="11"/>
      <c r="F4996" s="16"/>
    </row>
    <row r="4997" spans="5:6">
      <c r="E4997" s="11"/>
      <c r="F4997" s="16"/>
    </row>
    <row r="4998" spans="5:6">
      <c r="E4998" s="11"/>
      <c r="F4998" s="16"/>
    </row>
    <row r="4999" spans="5:6">
      <c r="E4999" s="11"/>
      <c r="F4999" s="16"/>
    </row>
    <row r="5000" spans="5:6">
      <c r="E5000" s="11"/>
      <c r="F5000" s="16"/>
    </row>
  </sheetData>
  <phoneticPr fontId="3"/>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00"/>
  <sheetViews>
    <sheetView tabSelected="1" workbookViewId="0">
      <selection activeCell="F2" sqref="F2:F300"/>
    </sheetView>
  </sheetViews>
  <sheetFormatPr defaultRowHeight="14.4"/>
  <cols>
    <col min="1" max="1" width="9.109375" style="36" bestFit="1" customWidth="1"/>
    <col min="2" max="2" width="10.21875" style="36" bestFit="1" customWidth="1"/>
    <col min="3" max="3" width="14.88671875" style="36" bestFit="1" customWidth="1"/>
    <col min="4" max="4" width="16.88671875" style="36" bestFit="1" customWidth="1"/>
    <col min="5" max="5" width="10.6640625" style="36" bestFit="1" customWidth="1"/>
    <col min="6" max="6" width="8.33203125" style="36" bestFit="1" customWidth="1"/>
  </cols>
  <sheetData>
    <row r="1" spans="1:6" ht="15.6">
      <c r="A1" s="33" t="s">
        <v>524</v>
      </c>
      <c r="B1" s="34" t="s">
        <v>525</v>
      </c>
      <c r="C1" s="34" t="s">
        <v>526</v>
      </c>
      <c r="D1" s="35" t="s">
        <v>527</v>
      </c>
      <c r="E1" s="35" t="s">
        <v>528</v>
      </c>
      <c r="F1" s="35" t="s">
        <v>529</v>
      </c>
    </row>
    <row r="2" spans="1:6" ht="15.6">
      <c r="A2" s="34" t="str">
        <f t="array" ref="A2">IFERROR(
INDEX(貸出記録!$A$2:$A$5000,
SMALL(
IF(貸出記録!$E$2:$E$5000="",
ROW(貸出記録!$A$2:$A$5000)-ROW(貸出記録!$A$2)+1),
ROW(A1)
)
),
"")</f>
        <v>BT-0001</v>
      </c>
      <c r="B2" s="34" t="str">
        <f t="array" ref="B2">IF($A2="","",
IFERROR(IF(INDEX(貸出記録!$B$2:$B$5000,
MATCH($A2,貸出記録!$A$2:$A$5000,0))="","",
INDEX(貸出記録!$B$2:$B$5000,
MATCH($A2,貸出記録!$A$2:$A$5000,0))
),""))</f>
        <v/>
      </c>
      <c r="C2" s="34" t="str">
        <f t="array" ref="C2">IF($A2="","",
IFERROR(IF(INDEX(貸出記録!$C$2:$C$5000,
MATCH($A2,貸出記録!$A$2:$A$5000,0))="","",
INDEX(貸出記録!$C$2:$C$5000,
MATCH($A2,貸出記録!$A$2:$A$5000,0))
),""))</f>
        <v/>
      </c>
      <c r="D2" s="34" t="str">
        <f t="array" ref="D2">IF($A2="","",
IFERROR(IF(INDEX(貸出記録!$D:$D,
MATCH($A2,貸出記録!$A:$A,0))="","",
INDEX(貸出記録!$D:$D,
MATCH($A2,貸出記録!$A:$A,0))
),""))</f>
        <v/>
      </c>
      <c r="E2" s="34" t="str">
        <f t="array" aca="1" ref="E2" ca="1">IF(D2="","",TODAY()-D2&amp;"日")</f>
        <v/>
      </c>
      <c r="F2" s="34" t="str">
        <f t="array" ref="F2">IF($A2="","",
IFERROR(IF(INDEX(貸出記録!$F:$F,
MATCH($A2,貸出記録!$A:$A,0))="","",
INDEX(貸出記録!$F:$F,
MATCH($A2,貸出記録!$A:$A,0))
),""))</f>
        <v/>
      </c>
    </row>
    <row r="3" spans="1:6" ht="15.6">
      <c r="A3" s="34" t="str">
        <f t="array" ref="A3">IFERROR(
INDEX(貸出記録!$A$2:$A$5000,
SMALL(
IF(貸出記録!$E$2:$E$5000="",
ROW(貸出記録!$A$2:$A$5000)-ROW(貸出記録!$A$2)+1),
ROW(A2)
)
),
"")</f>
        <v>BT-0002</v>
      </c>
      <c r="B3" s="34" t="str">
        <f t="array" ref="B3">IF($A3="","",
IFERROR(IF(INDEX(貸出記録!$B$2:$B$5000,
MATCH($A3,貸出記録!$A$2:$A$5000,0))="","",
INDEX(貸出記録!$B$2:$B$5000,
MATCH($A3,貸出記録!$A$2:$A$5000,0))
),""))</f>
        <v/>
      </c>
      <c r="C3" s="34" t="str">
        <f t="array" ref="C3">IF($A3="","",
IFERROR(IF(INDEX(貸出記録!$C$2:$C$5000,
MATCH($A3,貸出記録!$A$2:$A$5000,0))="","",
INDEX(貸出記録!$C$2:$C$5000,
MATCH($A3,貸出記録!$A$2:$A$5000,0))
),""))</f>
        <v/>
      </c>
      <c r="D3" s="34" t="str">
        <f t="array" ref="D3">IF($A3="","",
IFERROR(IF(INDEX(貸出記録!$D:$D,
MATCH($A3,貸出記録!$A:$A,0))="","",
INDEX(貸出記録!$D:$D,
MATCH($A3,貸出記録!$A:$A,0))
),""))</f>
        <v/>
      </c>
      <c r="E3" s="34" t="str">
        <f t="array" aca="1" ref="E3" ca="1">IF(D3="","",TODAY()-D3&amp;"日")</f>
        <v/>
      </c>
      <c r="F3" s="34" t="str">
        <f t="array" ref="F3">IF($A3="","",
IFERROR(IF(INDEX(貸出記録!$F:$F,
MATCH($A3,貸出記録!$A:$A,0))="","",
INDEX(貸出記録!$F:$F,
MATCH($A3,貸出記録!$A:$A,0))
),""))</f>
        <v/>
      </c>
    </row>
    <row r="4" spans="1:6" ht="15.6">
      <c r="A4" s="34" t="str">
        <f t="array" ref="A4">IFERROR(
INDEX(貸出記録!$A$2:$A$5000,
SMALL(
IF(貸出記録!$E$2:$E$5000="",
ROW(貸出記録!$A$2:$A$5000)-ROW(貸出記録!$A$2)+1),
ROW(A3)
)
),
"")</f>
        <v>BT-0003</v>
      </c>
      <c r="B4" s="34" t="str">
        <f t="array" ref="B4">IF($A4="","",
IFERROR(IF(INDEX(貸出記録!$B$2:$B$5000,
MATCH($A4,貸出記録!$A$2:$A$5000,0))="","",
INDEX(貸出記録!$B$2:$B$5000,
MATCH($A4,貸出記録!$A$2:$A$5000,0))
),""))</f>
        <v/>
      </c>
      <c r="C4" s="34" t="str">
        <f t="array" ref="C4">IF($A4="","",
IFERROR(IF(INDEX(貸出記録!$C$2:$C$5000,
MATCH($A4,貸出記録!$A$2:$A$5000,0))="","",
INDEX(貸出記録!$C$2:$C$5000,
MATCH($A4,貸出記録!$A$2:$A$5000,0))
),""))</f>
        <v/>
      </c>
      <c r="D4" s="34" t="str">
        <f t="array" ref="D4">IF($A4="","",
IFERROR(IF(INDEX(貸出記録!$D:$D,
MATCH($A4,貸出記録!$A:$A,0))="","",
INDEX(貸出記録!$D:$D,
MATCH($A4,貸出記録!$A:$A,0))
),""))</f>
        <v/>
      </c>
      <c r="E4" s="34" t="str">
        <f t="array" aca="1" ref="E4" ca="1">IF(D4="","",TODAY()-D4&amp;"日")</f>
        <v/>
      </c>
      <c r="F4" s="34" t="str">
        <f t="array" ref="F4">IF($A4="","",
IFERROR(IF(INDEX(貸出記録!$F:$F,
MATCH($A4,貸出記録!$A:$A,0))="","",
INDEX(貸出記録!$F:$F,
MATCH($A4,貸出記録!$A:$A,0))
),""))</f>
        <v/>
      </c>
    </row>
    <row r="5" spans="1:6" ht="15.6">
      <c r="A5" s="34" t="str">
        <f t="array" ref="A5">IFERROR(
INDEX(貸出記録!$A$2:$A$5000,
SMALL(
IF(貸出記録!$E$2:$E$5000="",
ROW(貸出記録!$A$2:$A$5000)-ROW(貸出記録!$A$2)+1),
ROW(A4)
)
),
"")</f>
        <v>BT-0004</v>
      </c>
      <c r="B5" s="34" t="str">
        <f t="array" ref="B5">IF($A5="","",
IFERROR(IF(INDEX(貸出記録!$B$2:$B$5000,
MATCH($A5,貸出記録!$A$2:$A$5000,0))="","",
INDEX(貸出記録!$B$2:$B$5000,
MATCH($A5,貸出記録!$A$2:$A$5000,0))
),""))</f>
        <v/>
      </c>
      <c r="C5" s="34" t="str">
        <f t="array" ref="C5">IF($A5="","",
IFERROR(IF(INDEX(貸出記録!$C$2:$C$5000,
MATCH($A5,貸出記録!$A$2:$A$5000,0))="","",
INDEX(貸出記録!$C$2:$C$5000,
MATCH($A5,貸出記録!$A$2:$A$5000,0))
),""))</f>
        <v/>
      </c>
      <c r="D5" s="34" t="str">
        <f t="array" ref="D5">IF($A5="","",
IFERROR(IF(INDEX(貸出記録!$D:$D,
MATCH($A5,貸出記録!$A:$A,0))="","",
INDEX(貸出記録!$D:$D,
MATCH($A5,貸出記録!$A:$A,0))
),""))</f>
        <v/>
      </c>
      <c r="E5" s="34" t="str">
        <f t="array" aca="1" ref="E5" ca="1">IF(D5="","",TODAY()-D5&amp;"日")</f>
        <v/>
      </c>
      <c r="F5" s="34" t="str">
        <f t="array" ref="F5">IF($A5="","",
IFERROR(IF(INDEX(貸出記録!$F:$F,
MATCH($A5,貸出記録!$A:$A,0))="","",
INDEX(貸出記録!$F:$F,
MATCH($A5,貸出記録!$A:$A,0))
),""))</f>
        <v/>
      </c>
    </row>
    <row r="6" spans="1:6" ht="15.6">
      <c r="A6" s="34" t="str">
        <f t="array" ref="A6">IFERROR(
INDEX(貸出記録!$A$2:$A$5000,
SMALL(
IF(貸出記録!$E$2:$E$5000="",
ROW(貸出記録!$A$2:$A$5000)-ROW(貸出記録!$A$2)+1),
ROW(A5)
)
),
"")</f>
        <v>BT-0005</v>
      </c>
      <c r="B6" s="34" t="str">
        <f t="array" ref="B6">IF($A6="","",
IFERROR(IF(INDEX(貸出記録!$B$2:$B$5000,
MATCH($A6,貸出記録!$A$2:$A$5000,0))="","",
INDEX(貸出記録!$B$2:$B$5000,
MATCH($A6,貸出記録!$A$2:$A$5000,0))
),""))</f>
        <v/>
      </c>
      <c r="C6" s="34" t="str">
        <f t="array" ref="C6">IF($A6="","",
IFERROR(IF(INDEX(貸出記録!$C$2:$C$5000,
MATCH($A6,貸出記録!$A$2:$A$5000,0))="","",
INDEX(貸出記録!$C$2:$C$5000,
MATCH($A6,貸出記録!$A$2:$A$5000,0))
),""))</f>
        <v/>
      </c>
      <c r="D6" s="34" t="str">
        <f t="array" ref="D6">IF($A6="","",
IFERROR(IF(INDEX(貸出記録!$D:$D,
MATCH($A6,貸出記録!$A:$A,0))="","",
INDEX(貸出記録!$D:$D,
MATCH($A6,貸出記録!$A:$A,0))
),""))</f>
        <v/>
      </c>
      <c r="E6" s="34" t="str">
        <f t="array" aca="1" ref="E6" ca="1">IF(D6="","",TODAY()-D6&amp;"日")</f>
        <v/>
      </c>
      <c r="F6" s="34" t="str">
        <f t="array" ref="F6">IF($A6="","",
IFERROR(IF(INDEX(貸出記録!$F:$F,
MATCH($A6,貸出記録!$A:$A,0))="","",
INDEX(貸出記録!$F:$F,
MATCH($A6,貸出記録!$A:$A,0))
),""))</f>
        <v/>
      </c>
    </row>
    <row r="7" spans="1:6" ht="15.6">
      <c r="A7" s="34" t="str">
        <f t="array" ref="A7">IFERROR(
INDEX(貸出記録!$A$2:$A$5000,
SMALL(
IF(貸出記録!$E$2:$E$5000="",
ROW(貸出記録!$A$2:$A$5000)-ROW(貸出記録!$A$2)+1),
ROW(A6)
)
),
"")</f>
        <v>BT-0006</v>
      </c>
      <c r="B7" s="34" t="str">
        <f t="array" ref="B7">IF($A7="","",
IFERROR(IF(INDEX(貸出記録!$B$2:$B$5000,
MATCH($A7,貸出記録!$A$2:$A$5000,0))="","",
INDEX(貸出記録!$B$2:$B$5000,
MATCH($A7,貸出記録!$A$2:$A$5000,0))
),""))</f>
        <v/>
      </c>
      <c r="C7" s="34" t="str">
        <f t="array" ref="C7">IF($A7="","",
IFERROR(IF(INDEX(貸出記録!$C$2:$C$5000,
MATCH($A7,貸出記録!$A$2:$A$5000,0))="","",
INDEX(貸出記録!$C$2:$C$5000,
MATCH($A7,貸出記録!$A$2:$A$5000,0))
),""))</f>
        <v/>
      </c>
      <c r="D7" s="34" t="str">
        <f t="array" ref="D7">IF($A7="","",
IFERROR(IF(INDEX(貸出記録!$D:$D,
MATCH($A7,貸出記録!$A:$A,0))="","",
INDEX(貸出記録!$D:$D,
MATCH($A7,貸出記録!$A:$A,0))
),""))</f>
        <v/>
      </c>
      <c r="E7" s="34" t="str">
        <f t="array" aca="1" ref="E7" ca="1">IF(D7="","",TODAY()-D7&amp;"日")</f>
        <v/>
      </c>
      <c r="F7" s="34" t="str">
        <f t="array" ref="F7">IF($A7="","",
IFERROR(IF(INDEX(貸出記録!$F:$F,
MATCH($A7,貸出記録!$A:$A,0))="","",
INDEX(貸出記録!$F:$F,
MATCH($A7,貸出記録!$A:$A,0))
),""))</f>
        <v/>
      </c>
    </row>
    <row r="8" spans="1:6" ht="15.6">
      <c r="A8" s="34" t="str">
        <f t="array" ref="A8">IFERROR(
INDEX(貸出記録!$A$2:$A$5000,
SMALL(
IF(貸出記録!$E$2:$E$5000="",
ROW(貸出記録!$A$2:$A$5000)-ROW(貸出記録!$A$2)+1),
ROW(A7)
)
),
"")</f>
        <v>BT-0007</v>
      </c>
      <c r="B8" s="34" t="str">
        <f t="array" ref="B8">IF($A8="","",
IFERROR(IF(INDEX(貸出記録!$B$2:$B$5000,
MATCH($A8,貸出記録!$A$2:$A$5000,0))="","",
INDEX(貸出記録!$B$2:$B$5000,
MATCH($A8,貸出記録!$A$2:$A$5000,0))
),""))</f>
        <v/>
      </c>
      <c r="C8" s="34" t="str">
        <f t="array" ref="C8">IF($A8="","",
IFERROR(IF(INDEX(貸出記録!$C$2:$C$5000,
MATCH($A8,貸出記録!$A$2:$A$5000,0))="","",
INDEX(貸出記録!$C$2:$C$5000,
MATCH($A8,貸出記録!$A$2:$A$5000,0))
),""))</f>
        <v/>
      </c>
      <c r="D8" s="34" t="str">
        <f t="array" ref="D8">IF($A8="","",
IFERROR(IF(INDEX(貸出記録!$D:$D,
MATCH($A8,貸出記録!$A:$A,0))="","",
INDEX(貸出記録!$D:$D,
MATCH($A8,貸出記録!$A:$A,0))
),""))</f>
        <v/>
      </c>
      <c r="E8" s="34" t="str">
        <f t="array" aca="1" ref="E8" ca="1">IF(D8="","",TODAY()-D8&amp;"日")</f>
        <v/>
      </c>
      <c r="F8" s="34" t="str">
        <f t="array" ref="F8">IF($A8="","",
IFERROR(IF(INDEX(貸出記録!$F:$F,
MATCH($A8,貸出記録!$A:$A,0))="","",
INDEX(貸出記録!$F:$F,
MATCH($A8,貸出記録!$A:$A,0))
),""))</f>
        <v/>
      </c>
    </row>
    <row r="9" spans="1:6" ht="15.6">
      <c r="A9" s="34" t="str">
        <f t="array" ref="A9">IFERROR(
INDEX(貸出記録!$A$2:$A$5000,
SMALL(
IF(貸出記録!$E$2:$E$5000="",
ROW(貸出記録!$A$2:$A$5000)-ROW(貸出記録!$A$2)+1),
ROW(A8)
)
),
"")</f>
        <v>BT-0008</v>
      </c>
      <c r="B9" s="34" t="str">
        <f t="array" ref="B9">IF($A9="","",
IFERROR(IF(INDEX(貸出記録!$B$2:$B$5000,
MATCH($A9,貸出記録!$A$2:$A$5000,0))="","",
INDEX(貸出記録!$B$2:$B$5000,
MATCH($A9,貸出記録!$A$2:$A$5000,0))
),""))</f>
        <v/>
      </c>
      <c r="C9" s="34" t="str">
        <f t="array" ref="C9">IF($A9="","",
IFERROR(IF(INDEX(貸出記録!$C$2:$C$5000,
MATCH($A9,貸出記録!$A$2:$A$5000,0))="","",
INDEX(貸出記録!$C$2:$C$5000,
MATCH($A9,貸出記録!$A$2:$A$5000,0))
),""))</f>
        <v/>
      </c>
      <c r="D9" s="34" t="str">
        <f t="array" ref="D9">IF($A9="","",
IFERROR(IF(INDEX(貸出記録!$D:$D,
MATCH($A9,貸出記録!$A:$A,0))="","",
INDEX(貸出記録!$D:$D,
MATCH($A9,貸出記録!$A:$A,0))
),""))</f>
        <v/>
      </c>
      <c r="E9" s="34" t="str">
        <f t="array" aca="1" ref="E9" ca="1">IF(D9="","",TODAY()-D9&amp;"日")</f>
        <v/>
      </c>
      <c r="F9" s="34" t="str">
        <f t="array" ref="F9">IF($A9="","",
IFERROR(IF(INDEX(貸出記録!$F:$F,
MATCH($A9,貸出記録!$A:$A,0))="","",
INDEX(貸出記録!$F:$F,
MATCH($A9,貸出記録!$A:$A,0))
),""))</f>
        <v/>
      </c>
    </row>
    <row r="10" spans="1:6" ht="15.6">
      <c r="A10" s="34" t="str">
        <f t="array" ref="A10">IFERROR(
INDEX(貸出記録!$A$2:$A$5000,
SMALL(
IF(貸出記録!$E$2:$E$5000="",
ROW(貸出記録!$A$2:$A$5000)-ROW(貸出記録!$A$2)+1),
ROW(A9)
)
),
"")</f>
        <v>BT-0009</v>
      </c>
      <c r="B10" s="34" t="str">
        <f t="array" ref="B10">IF($A10="","",
IFERROR(IF(INDEX(貸出記録!$B$2:$B$5000,
MATCH($A10,貸出記録!$A$2:$A$5000,0))="","",
INDEX(貸出記録!$B$2:$B$5000,
MATCH($A10,貸出記録!$A$2:$A$5000,0))
),""))</f>
        <v/>
      </c>
      <c r="C10" s="34" t="str">
        <f t="array" ref="C10">IF($A10="","",
IFERROR(IF(INDEX(貸出記録!$C$2:$C$5000,
MATCH($A10,貸出記録!$A$2:$A$5000,0))="","",
INDEX(貸出記録!$C$2:$C$5000,
MATCH($A10,貸出記録!$A$2:$A$5000,0))
),""))</f>
        <v/>
      </c>
      <c r="D10" s="34" t="str">
        <f t="array" ref="D10">IF($A10="","",
IFERROR(IF(INDEX(貸出記録!$D:$D,
MATCH($A10,貸出記録!$A:$A,0))="","",
INDEX(貸出記録!$D:$D,
MATCH($A10,貸出記録!$A:$A,0))
),""))</f>
        <v/>
      </c>
      <c r="E10" s="34" t="str">
        <f t="array" aca="1" ref="E10" ca="1">IF(D10="","",TODAY()-D10&amp;"日")</f>
        <v/>
      </c>
      <c r="F10" s="34" t="str">
        <f t="array" ref="F10">IF($A10="","",
IFERROR(IF(INDEX(貸出記録!$F:$F,
MATCH($A10,貸出記録!$A:$A,0))="","",
INDEX(貸出記録!$F:$F,
MATCH($A10,貸出記録!$A:$A,0))
),""))</f>
        <v/>
      </c>
    </row>
    <row r="11" spans="1:6" ht="15.6">
      <c r="A11" s="34" t="str">
        <f t="array" ref="A11">IFERROR(
INDEX(貸出記録!$A$2:$A$5000,
SMALL(
IF(貸出記録!$E$2:$E$5000="",
ROW(貸出記録!$A$2:$A$5000)-ROW(貸出記録!$A$2)+1),
ROW(A10)
)
),
"")</f>
        <v>BT-0010</v>
      </c>
      <c r="B11" s="34" t="str">
        <f t="array" ref="B11">IF($A11="","",
IFERROR(IF(INDEX(貸出記録!$B$2:$B$5000,
MATCH($A11,貸出記録!$A$2:$A$5000,0))="","",
INDEX(貸出記録!$B$2:$B$5000,
MATCH($A11,貸出記録!$A$2:$A$5000,0))
),""))</f>
        <v/>
      </c>
      <c r="C11" s="34" t="str">
        <f t="array" ref="C11">IF($A11="","",
IFERROR(IF(INDEX(貸出記録!$C$2:$C$5000,
MATCH($A11,貸出記録!$A$2:$A$5000,0))="","",
INDEX(貸出記録!$C$2:$C$5000,
MATCH($A11,貸出記録!$A$2:$A$5000,0))
),""))</f>
        <v/>
      </c>
      <c r="D11" s="34" t="str">
        <f t="array" ref="D11">IF($A11="","",
IFERROR(IF(INDEX(貸出記録!$D:$D,
MATCH($A11,貸出記録!$A:$A,0))="","",
INDEX(貸出記録!$D:$D,
MATCH($A11,貸出記録!$A:$A,0))
),""))</f>
        <v/>
      </c>
      <c r="E11" s="34" t="str">
        <f t="array" aca="1" ref="E11" ca="1">IF(D11="","",TODAY()-D11&amp;"日")</f>
        <v/>
      </c>
      <c r="F11" s="34" t="str">
        <f t="array" ref="F11">IF($A11="","",
IFERROR(IF(INDEX(貸出記録!$F:$F,
MATCH($A11,貸出記録!$A:$A,0))="","",
INDEX(貸出記録!$F:$F,
MATCH($A11,貸出記録!$A:$A,0))
),""))</f>
        <v/>
      </c>
    </row>
    <row r="12" spans="1:6" ht="15.6">
      <c r="A12" s="34" t="str">
        <f t="array" ref="A12">IFERROR(
INDEX(貸出記録!$A$2:$A$5000,
SMALL(
IF(貸出記録!$E$2:$E$5000="",
ROW(貸出記録!$A$2:$A$5000)-ROW(貸出記録!$A$2)+1),
ROW(A11)
)
),
"")</f>
        <v>BT-0011</v>
      </c>
      <c r="B12" s="34" t="str">
        <f t="array" ref="B12">IF($A12="","",
IFERROR(IF(INDEX(貸出記録!$B$2:$B$5000,
MATCH($A12,貸出記録!$A$2:$A$5000,0))="","",
INDEX(貸出記録!$B$2:$B$5000,
MATCH($A12,貸出記録!$A$2:$A$5000,0))
),""))</f>
        <v/>
      </c>
      <c r="C12" s="34" t="str">
        <f t="array" ref="C12">IF($A12="","",
IFERROR(IF(INDEX(貸出記録!$C$2:$C$5000,
MATCH($A12,貸出記録!$A$2:$A$5000,0))="","",
INDEX(貸出記録!$C$2:$C$5000,
MATCH($A12,貸出記録!$A$2:$A$5000,0))
),""))</f>
        <v/>
      </c>
      <c r="D12" s="34" t="str">
        <f t="array" ref="D12">IF($A12="","",
IFERROR(IF(INDEX(貸出記録!$D:$D,
MATCH($A12,貸出記録!$A:$A,0))="","",
INDEX(貸出記録!$D:$D,
MATCH($A12,貸出記録!$A:$A,0))
),""))</f>
        <v/>
      </c>
      <c r="E12" s="34" t="str">
        <f t="array" aca="1" ref="E12" ca="1">IF(D12="","",TODAY()-D12&amp;"日")</f>
        <v/>
      </c>
      <c r="F12" s="34" t="str">
        <f t="array" ref="F12">IF($A12="","",
IFERROR(IF(INDEX(貸出記録!$F:$F,
MATCH($A12,貸出記録!$A:$A,0))="","",
INDEX(貸出記録!$F:$F,
MATCH($A12,貸出記録!$A:$A,0))
),""))</f>
        <v/>
      </c>
    </row>
    <row r="13" spans="1:6" ht="15.6">
      <c r="A13" s="34" t="str">
        <f t="array" ref="A13">IFERROR(
INDEX(貸出記録!$A$2:$A$5000,
SMALL(
IF(貸出記録!$E$2:$E$5000="",
ROW(貸出記録!$A$2:$A$5000)-ROW(貸出記録!$A$2)+1),
ROW(A12)
)
),
"")</f>
        <v>BT-0012</v>
      </c>
      <c r="B13" s="34" t="str">
        <f t="array" ref="B13">IF($A13="","",
IFERROR(IF(INDEX(貸出記録!$B$2:$B$5000,
MATCH($A13,貸出記録!$A$2:$A$5000,0))="","",
INDEX(貸出記録!$B$2:$B$5000,
MATCH($A13,貸出記録!$A$2:$A$5000,0))
),""))</f>
        <v/>
      </c>
      <c r="C13" s="34" t="str">
        <f t="array" ref="C13">IF($A13="","",
IFERROR(IF(INDEX(貸出記録!$C$2:$C$5000,
MATCH($A13,貸出記録!$A$2:$A$5000,0))="","",
INDEX(貸出記録!$C$2:$C$5000,
MATCH($A13,貸出記録!$A$2:$A$5000,0))
),""))</f>
        <v/>
      </c>
      <c r="D13" s="34" t="str">
        <f t="array" ref="D13">IF($A13="","",
IFERROR(IF(INDEX(貸出記録!$D:$D,
MATCH($A13,貸出記録!$A:$A,0))="","",
INDEX(貸出記録!$D:$D,
MATCH($A13,貸出記録!$A:$A,0))
),""))</f>
        <v/>
      </c>
      <c r="E13" s="34" t="str">
        <f t="array" aca="1" ref="E13" ca="1">IF(D13="","",TODAY()-D13&amp;"日")</f>
        <v/>
      </c>
      <c r="F13" s="34" t="str">
        <f t="array" ref="F13">IF($A13="","",
IFERROR(IF(INDEX(貸出記録!$F:$F,
MATCH($A13,貸出記録!$A:$A,0))="","",
INDEX(貸出記録!$F:$F,
MATCH($A13,貸出記録!$A:$A,0))
),""))</f>
        <v/>
      </c>
    </row>
    <row r="14" spans="1:6" ht="15.6">
      <c r="A14" s="34" t="str">
        <f t="array" ref="A14">IFERROR(
INDEX(貸出記録!$A$2:$A$5000,
SMALL(
IF(貸出記録!$E$2:$E$5000="",
ROW(貸出記録!$A$2:$A$5000)-ROW(貸出記録!$A$2)+1),
ROW(A13)
)
),
"")</f>
        <v>BT-0013</v>
      </c>
      <c r="B14" s="34" t="str">
        <f t="array" ref="B14">IF($A14="","",
IFERROR(IF(INDEX(貸出記録!$B$2:$B$5000,
MATCH($A14,貸出記録!$A$2:$A$5000,0))="","",
INDEX(貸出記録!$B$2:$B$5000,
MATCH($A14,貸出記録!$A$2:$A$5000,0))
),""))</f>
        <v/>
      </c>
      <c r="C14" s="34" t="str">
        <f t="array" ref="C14">IF($A14="","",
IFERROR(IF(INDEX(貸出記録!$C$2:$C$5000,
MATCH($A14,貸出記録!$A$2:$A$5000,0))="","",
INDEX(貸出記録!$C$2:$C$5000,
MATCH($A14,貸出記録!$A$2:$A$5000,0))
),""))</f>
        <v/>
      </c>
      <c r="D14" s="34" t="str">
        <f t="array" ref="D14">IF($A14="","",
IFERROR(IF(INDEX(貸出記録!$D:$D,
MATCH($A14,貸出記録!$A:$A,0))="","",
INDEX(貸出記録!$D:$D,
MATCH($A14,貸出記録!$A:$A,0))
),""))</f>
        <v/>
      </c>
      <c r="E14" s="34" t="str">
        <f t="array" aca="1" ref="E14" ca="1">IF(D14="","",TODAY()-D14&amp;"日")</f>
        <v/>
      </c>
      <c r="F14" s="34" t="str">
        <f t="array" ref="F14">IF($A14="","",
IFERROR(IF(INDEX(貸出記録!$F:$F,
MATCH($A14,貸出記録!$A:$A,0))="","",
INDEX(貸出記録!$F:$F,
MATCH($A14,貸出記録!$A:$A,0))
),""))</f>
        <v/>
      </c>
    </row>
    <row r="15" spans="1:6" ht="15.6">
      <c r="A15" s="34" t="str">
        <f t="array" ref="A15">IFERROR(
INDEX(貸出記録!$A$2:$A$5000,
SMALL(
IF(貸出記録!$E$2:$E$5000="",
ROW(貸出記録!$A$2:$A$5000)-ROW(貸出記録!$A$2)+1),
ROW(A14)
)
),
"")</f>
        <v>BT-0014</v>
      </c>
      <c r="B15" s="34" t="str">
        <f t="array" ref="B15">IF($A15="","",
IFERROR(IF(INDEX(貸出記録!$B$2:$B$5000,
MATCH($A15,貸出記録!$A$2:$A$5000,0))="","",
INDEX(貸出記録!$B$2:$B$5000,
MATCH($A15,貸出記録!$A$2:$A$5000,0))
),""))</f>
        <v/>
      </c>
      <c r="C15" s="34" t="str">
        <f t="array" ref="C15">IF($A15="","",
IFERROR(IF(INDEX(貸出記録!$C$2:$C$5000,
MATCH($A15,貸出記録!$A$2:$A$5000,0))="","",
INDEX(貸出記録!$C$2:$C$5000,
MATCH($A15,貸出記録!$A$2:$A$5000,0))
),""))</f>
        <v/>
      </c>
      <c r="D15" s="34" t="str">
        <f t="array" ref="D15">IF($A15="","",
IFERROR(IF(INDEX(貸出記録!$D:$D,
MATCH($A15,貸出記録!$A:$A,0))="","",
INDEX(貸出記録!$D:$D,
MATCH($A15,貸出記録!$A:$A,0))
),""))</f>
        <v/>
      </c>
      <c r="E15" s="34" t="str">
        <f t="array" aca="1" ref="E15" ca="1">IF(D15="","",TODAY()-D15&amp;"日")</f>
        <v/>
      </c>
      <c r="F15" s="34" t="str">
        <f t="array" ref="F15">IF($A15="","",
IFERROR(IF(INDEX(貸出記録!$F:$F,
MATCH($A15,貸出記録!$A:$A,0))="","",
INDEX(貸出記録!$F:$F,
MATCH($A15,貸出記録!$A:$A,0))
),""))</f>
        <v/>
      </c>
    </row>
    <row r="16" spans="1:6" ht="15.6">
      <c r="A16" s="34" t="str">
        <f t="array" ref="A16">IFERROR(
INDEX(貸出記録!$A$2:$A$5000,
SMALL(
IF(貸出記録!$E$2:$E$5000="",
ROW(貸出記録!$A$2:$A$5000)-ROW(貸出記録!$A$2)+1),
ROW(A15)
)
),
"")</f>
        <v>BT-0015</v>
      </c>
      <c r="B16" s="34" t="str">
        <f t="array" ref="B16">IF($A16="","",
IFERROR(IF(INDEX(貸出記録!$B$2:$B$5000,
MATCH($A16,貸出記録!$A$2:$A$5000,0))="","",
INDEX(貸出記録!$B$2:$B$5000,
MATCH($A16,貸出記録!$A$2:$A$5000,0))
),""))</f>
        <v/>
      </c>
      <c r="C16" s="34" t="str">
        <f t="array" ref="C16">IF($A16="","",
IFERROR(IF(INDEX(貸出記録!$C$2:$C$5000,
MATCH($A16,貸出記録!$A$2:$A$5000,0))="","",
INDEX(貸出記録!$C$2:$C$5000,
MATCH($A16,貸出記録!$A$2:$A$5000,0))
),""))</f>
        <v/>
      </c>
      <c r="D16" s="34" t="str">
        <f t="array" ref="D16">IF($A16="","",
IFERROR(IF(INDEX(貸出記録!$D:$D,
MATCH($A16,貸出記録!$A:$A,0))="","",
INDEX(貸出記録!$D:$D,
MATCH($A16,貸出記録!$A:$A,0))
),""))</f>
        <v/>
      </c>
      <c r="E16" s="34" t="str">
        <f t="array" aca="1" ref="E16" ca="1">IF(D16="","",TODAY()-D16&amp;"日")</f>
        <v/>
      </c>
      <c r="F16" s="34" t="str">
        <f t="array" ref="F16">IF($A16="","",
IFERROR(IF(INDEX(貸出記録!$F:$F,
MATCH($A16,貸出記録!$A:$A,0))="","",
INDEX(貸出記録!$F:$F,
MATCH($A16,貸出記録!$A:$A,0))
),""))</f>
        <v/>
      </c>
    </row>
    <row r="17" spans="1:6" ht="15.6">
      <c r="A17" s="34" t="str">
        <f t="array" ref="A17">IFERROR(
INDEX(貸出記録!$A$2:$A$5000,
SMALL(
IF(貸出記録!$E$2:$E$5000="",
ROW(貸出記録!$A$2:$A$5000)-ROW(貸出記録!$A$2)+1),
ROW(A16)
)
),
"")</f>
        <v>BT-0016</v>
      </c>
      <c r="B17" s="34" t="str">
        <f t="array" ref="B17">IF($A17="","",
IFERROR(IF(INDEX(貸出記録!$B$2:$B$5000,
MATCH($A17,貸出記録!$A$2:$A$5000,0))="","",
INDEX(貸出記録!$B$2:$B$5000,
MATCH($A17,貸出記録!$A$2:$A$5000,0))
),""))</f>
        <v/>
      </c>
      <c r="C17" s="34" t="str">
        <f t="array" ref="C17">IF($A17="","",
IFERROR(IF(INDEX(貸出記録!$C$2:$C$5000,
MATCH($A17,貸出記録!$A$2:$A$5000,0))="","",
INDEX(貸出記録!$C$2:$C$5000,
MATCH($A17,貸出記録!$A$2:$A$5000,0))
),""))</f>
        <v/>
      </c>
      <c r="D17" s="34" t="str">
        <f t="array" ref="D17">IF($A17="","",
IFERROR(IF(INDEX(貸出記録!$D:$D,
MATCH($A17,貸出記録!$A:$A,0))="","",
INDEX(貸出記録!$D:$D,
MATCH($A17,貸出記録!$A:$A,0))
),""))</f>
        <v/>
      </c>
      <c r="E17" s="34" t="str">
        <f t="array" aca="1" ref="E17" ca="1">IF(D17="","",TODAY()-D17&amp;"日")</f>
        <v/>
      </c>
      <c r="F17" s="34" t="str">
        <f t="array" ref="F17">IF($A17="","",
IFERROR(IF(INDEX(貸出記録!$F:$F,
MATCH($A17,貸出記録!$A:$A,0))="","",
INDEX(貸出記録!$F:$F,
MATCH($A17,貸出記録!$A:$A,0))
),""))</f>
        <v/>
      </c>
    </row>
    <row r="18" spans="1:6" ht="15.6">
      <c r="A18" s="34" t="str">
        <f t="array" ref="A18">IFERROR(
INDEX(貸出記録!$A$2:$A$5000,
SMALL(
IF(貸出記録!$E$2:$E$5000="",
ROW(貸出記録!$A$2:$A$5000)-ROW(貸出記録!$A$2)+1),
ROW(A17)
)
),
"")</f>
        <v>BT-0017</v>
      </c>
      <c r="B18" s="34" t="str">
        <f t="array" ref="B18">IF($A18="","",
IFERROR(IF(INDEX(貸出記録!$B$2:$B$5000,
MATCH($A18,貸出記録!$A$2:$A$5000,0))="","",
INDEX(貸出記録!$B$2:$B$5000,
MATCH($A18,貸出記録!$A$2:$A$5000,0))
),""))</f>
        <v/>
      </c>
      <c r="C18" s="34" t="str">
        <f t="array" ref="C18">IF($A18="","",
IFERROR(IF(INDEX(貸出記録!$C$2:$C$5000,
MATCH($A18,貸出記録!$A$2:$A$5000,0))="","",
INDEX(貸出記録!$C$2:$C$5000,
MATCH($A18,貸出記録!$A$2:$A$5000,0))
),""))</f>
        <v/>
      </c>
      <c r="D18" s="34" t="str">
        <f t="array" ref="D18">IF($A18="","",
IFERROR(IF(INDEX(貸出記録!$D:$D,
MATCH($A18,貸出記録!$A:$A,0))="","",
INDEX(貸出記録!$D:$D,
MATCH($A18,貸出記録!$A:$A,0))
),""))</f>
        <v/>
      </c>
      <c r="E18" s="34" t="str">
        <f t="array" aca="1" ref="E18" ca="1">IF(D18="","",TODAY()-D18&amp;"日")</f>
        <v/>
      </c>
      <c r="F18" s="34" t="str">
        <f t="array" ref="F18">IF($A18="","",
IFERROR(IF(INDEX(貸出記録!$F:$F,
MATCH($A18,貸出記録!$A:$A,0))="","",
INDEX(貸出記録!$F:$F,
MATCH($A18,貸出記録!$A:$A,0))
),""))</f>
        <v/>
      </c>
    </row>
    <row r="19" spans="1:6" ht="15.6">
      <c r="A19" s="34" t="str">
        <f t="array" ref="A19">IFERROR(
INDEX(貸出記録!$A$2:$A$5000,
SMALL(
IF(貸出記録!$E$2:$E$5000="",
ROW(貸出記録!$A$2:$A$5000)-ROW(貸出記録!$A$2)+1),
ROW(A18)
)
),
"")</f>
        <v>BT-0018</v>
      </c>
      <c r="B19" s="34" t="str">
        <f t="array" ref="B19">IF($A19="","",
IFERROR(IF(INDEX(貸出記録!$B$2:$B$5000,
MATCH($A19,貸出記録!$A$2:$A$5000,0))="","",
INDEX(貸出記録!$B$2:$B$5000,
MATCH($A19,貸出記録!$A$2:$A$5000,0))
),""))</f>
        <v/>
      </c>
      <c r="C19" s="34" t="str">
        <f t="array" ref="C19">IF($A19="","",
IFERROR(IF(INDEX(貸出記録!$C$2:$C$5000,
MATCH($A19,貸出記録!$A$2:$A$5000,0))="","",
INDEX(貸出記録!$C$2:$C$5000,
MATCH($A19,貸出記録!$A$2:$A$5000,0))
),""))</f>
        <v/>
      </c>
      <c r="D19" s="34" t="str">
        <f t="array" ref="D19">IF($A19="","",
IFERROR(IF(INDEX(貸出記録!$D:$D,
MATCH($A19,貸出記録!$A:$A,0))="","",
INDEX(貸出記録!$D:$D,
MATCH($A19,貸出記録!$A:$A,0))
),""))</f>
        <v/>
      </c>
      <c r="E19" s="34" t="str">
        <f t="array" aca="1" ref="E19" ca="1">IF(D19="","",TODAY()-D19&amp;"日")</f>
        <v/>
      </c>
      <c r="F19" s="34" t="str">
        <f t="array" ref="F19">IF($A19="","",
IFERROR(IF(INDEX(貸出記録!$F:$F,
MATCH($A19,貸出記録!$A:$A,0))="","",
INDEX(貸出記録!$F:$F,
MATCH($A19,貸出記録!$A:$A,0))
),""))</f>
        <v/>
      </c>
    </row>
    <row r="20" spans="1:6" ht="15.6">
      <c r="A20" s="34" t="str">
        <f t="array" ref="A20">IFERROR(
INDEX(貸出記録!$A$2:$A$5000,
SMALL(
IF(貸出記録!$E$2:$E$5000="",
ROW(貸出記録!$A$2:$A$5000)-ROW(貸出記録!$A$2)+1),
ROW(A19)
)
),
"")</f>
        <v>BT-0019</v>
      </c>
      <c r="B20" s="34" t="str">
        <f t="array" ref="B20">IF($A20="","",
IFERROR(IF(INDEX(貸出記録!$B$2:$B$5000,
MATCH($A20,貸出記録!$A$2:$A$5000,0))="","",
INDEX(貸出記録!$B$2:$B$5000,
MATCH($A20,貸出記録!$A$2:$A$5000,0))
),""))</f>
        <v/>
      </c>
      <c r="C20" s="34" t="str">
        <f t="array" ref="C20">IF($A20="","",
IFERROR(IF(INDEX(貸出記録!$C$2:$C$5000,
MATCH($A20,貸出記録!$A$2:$A$5000,0))="","",
INDEX(貸出記録!$C$2:$C$5000,
MATCH($A20,貸出記録!$A$2:$A$5000,0))
),""))</f>
        <v/>
      </c>
      <c r="D20" s="34" t="str">
        <f t="array" ref="D20">IF($A20="","",
IFERROR(IF(INDEX(貸出記録!$D:$D,
MATCH($A20,貸出記録!$A:$A,0))="","",
INDEX(貸出記録!$D:$D,
MATCH($A20,貸出記録!$A:$A,0))
),""))</f>
        <v/>
      </c>
      <c r="E20" s="34" t="str">
        <f t="array" aca="1" ref="E20" ca="1">IF(D20="","",TODAY()-D20&amp;"日")</f>
        <v/>
      </c>
      <c r="F20" s="34" t="str">
        <f t="array" ref="F20">IF($A20="","",
IFERROR(IF(INDEX(貸出記録!$F:$F,
MATCH($A20,貸出記録!$A:$A,0))="","",
INDEX(貸出記録!$F:$F,
MATCH($A20,貸出記録!$A:$A,0))
),""))</f>
        <v/>
      </c>
    </row>
    <row r="21" spans="1:6" ht="15.6">
      <c r="A21" s="34" t="str">
        <f t="array" ref="A21">IFERROR(
INDEX(貸出記録!$A$2:$A$5000,
SMALL(
IF(貸出記録!$E$2:$E$5000="",
ROW(貸出記録!$A$2:$A$5000)-ROW(貸出記録!$A$2)+1),
ROW(A20)
)
),
"")</f>
        <v>BT-0020</v>
      </c>
      <c r="B21" s="34" t="str">
        <f t="array" ref="B21">IF($A21="","",
IFERROR(IF(INDEX(貸出記録!$B$2:$B$5000,
MATCH($A21,貸出記録!$A$2:$A$5000,0))="","",
INDEX(貸出記録!$B$2:$B$5000,
MATCH($A21,貸出記録!$A$2:$A$5000,0))
),""))</f>
        <v/>
      </c>
      <c r="C21" s="34" t="str">
        <f t="array" ref="C21">IF($A21="","",
IFERROR(IF(INDEX(貸出記録!$C$2:$C$5000,
MATCH($A21,貸出記録!$A$2:$A$5000,0))="","",
INDEX(貸出記録!$C$2:$C$5000,
MATCH($A21,貸出記録!$A$2:$A$5000,0))
),""))</f>
        <v/>
      </c>
      <c r="D21" s="34" t="str">
        <f t="array" ref="D21">IF($A21="","",
IFERROR(IF(INDEX(貸出記録!$D:$D,
MATCH($A21,貸出記録!$A:$A,0))="","",
INDEX(貸出記録!$D:$D,
MATCH($A21,貸出記録!$A:$A,0))
),""))</f>
        <v/>
      </c>
      <c r="E21" s="34" t="str">
        <f t="array" aca="1" ref="E21" ca="1">IF(D21="","",TODAY()-D21&amp;"日")</f>
        <v/>
      </c>
      <c r="F21" s="34" t="str">
        <f t="array" ref="F21">IF($A21="","",
IFERROR(IF(INDEX(貸出記録!$F:$F,
MATCH($A21,貸出記録!$A:$A,0))="","",
INDEX(貸出記録!$F:$F,
MATCH($A21,貸出記録!$A:$A,0))
),""))</f>
        <v/>
      </c>
    </row>
    <row r="22" spans="1:6" ht="15.6">
      <c r="A22" s="34" t="str">
        <f t="array" ref="A22">IFERROR(
INDEX(貸出記録!$A$2:$A$5000,
SMALL(
IF(貸出記録!$E$2:$E$5000="",
ROW(貸出記録!$A$2:$A$5000)-ROW(貸出記録!$A$2)+1),
ROW(A21)
)
),
"")</f>
        <v>BT-0021</v>
      </c>
      <c r="B22" s="34" t="str">
        <f t="array" ref="B22">IF($A22="","",
IFERROR(IF(INDEX(貸出記録!$B$2:$B$5000,
MATCH($A22,貸出記録!$A$2:$A$5000,0))="","",
INDEX(貸出記録!$B$2:$B$5000,
MATCH($A22,貸出記録!$A$2:$A$5000,0))
),""))</f>
        <v/>
      </c>
      <c r="C22" s="34" t="str">
        <f t="array" ref="C22">IF($A22="","",
IFERROR(IF(INDEX(貸出記録!$C$2:$C$5000,
MATCH($A22,貸出記録!$A$2:$A$5000,0))="","",
INDEX(貸出記録!$C$2:$C$5000,
MATCH($A22,貸出記録!$A$2:$A$5000,0))
),""))</f>
        <v/>
      </c>
      <c r="D22" s="34" t="str">
        <f t="array" ref="D22">IF($A22="","",
IFERROR(IF(INDEX(貸出記録!$D:$D,
MATCH($A22,貸出記録!$A:$A,0))="","",
INDEX(貸出記録!$D:$D,
MATCH($A22,貸出記録!$A:$A,0))
),""))</f>
        <v/>
      </c>
      <c r="E22" s="34" t="str">
        <f t="array" aca="1" ref="E22" ca="1">IF(D22="","",TODAY()-D22&amp;"日")</f>
        <v/>
      </c>
      <c r="F22" s="34" t="str">
        <f t="array" ref="F22">IF($A22="","",
IFERROR(IF(INDEX(貸出記録!$F:$F,
MATCH($A22,貸出記録!$A:$A,0))="","",
INDEX(貸出記録!$F:$F,
MATCH($A22,貸出記録!$A:$A,0))
),""))</f>
        <v/>
      </c>
    </row>
    <row r="23" spans="1:6" ht="15.6">
      <c r="A23" s="34" t="str">
        <f t="array" ref="A23">IFERROR(
INDEX(貸出記録!$A$2:$A$5000,
SMALL(
IF(貸出記録!$E$2:$E$5000="",
ROW(貸出記録!$A$2:$A$5000)-ROW(貸出記録!$A$2)+1),
ROW(A22)
)
),
"")</f>
        <v>BT-0022</v>
      </c>
      <c r="B23" s="34" t="str">
        <f t="array" ref="B23">IF($A23="","",
IFERROR(IF(INDEX(貸出記録!$B$2:$B$5000,
MATCH($A23,貸出記録!$A$2:$A$5000,0))="","",
INDEX(貸出記録!$B$2:$B$5000,
MATCH($A23,貸出記録!$A$2:$A$5000,0))
),""))</f>
        <v/>
      </c>
      <c r="C23" s="34" t="str">
        <f t="array" ref="C23">IF($A23="","",
IFERROR(IF(INDEX(貸出記録!$C$2:$C$5000,
MATCH($A23,貸出記録!$A$2:$A$5000,0))="","",
INDEX(貸出記録!$C$2:$C$5000,
MATCH($A23,貸出記録!$A$2:$A$5000,0))
),""))</f>
        <v/>
      </c>
      <c r="D23" s="34" t="str">
        <f t="array" ref="D23">IF($A23="","",
IFERROR(IF(INDEX(貸出記録!$D:$D,
MATCH($A23,貸出記録!$A:$A,0))="","",
INDEX(貸出記録!$D:$D,
MATCH($A23,貸出記録!$A:$A,0))
),""))</f>
        <v/>
      </c>
      <c r="E23" s="34" t="str">
        <f t="array" aca="1" ref="E23" ca="1">IF(D23="","",TODAY()-D23&amp;"日")</f>
        <v/>
      </c>
      <c r="F23" s="34" t="str">
        <f t="array" ref="F23">IF($A23="","",
IFERROR(IF(INDEX(貸出記録!$F:$F,
MATCH($A23,貸出記録!$A:$A,0))="","",
INDEX(貸出記録!$F:$F,
MATCH($A23,貸出記録!$A:$A,0))
),""))</f>
        <v/>
      </c>
    </row>
    <row r="24" spans="1:6" ht="15.6">
      <c r="A24" s="34" t="str">
        <f t="array" ref="A24">IFERROR(
INDEX(貸出記録!$A$2:$A$5000,
SMALL(
IF(貸出記録!$E$2:$E$5000="",
ROW(貸出記録!$A$2:$A$5000)-ROW(貸出記録!$A$2)+1),
ROW(A23)
)
),
"")</f>
        <v>BT-0023</v>
      </c>
      <c r="B24" s="34" t="str">
        <f t="array" ref="B24">IF($A24="","",
IFERROR(IF(INDEX(貸出記録!$B$2:$B$5000,
MATCH($A24,貸出記録!$A$2:$A$5000,0))="","",
INDEX(貸出記録!$B$2:$B$5000,
MATCH($A24,貸出記録!$A$2:$A$5000,0))
),""))</f>
        <v/>
      </c>
      <c r="C24" s="34" t="str">
        <f t="array" ref="C24">IF($A24="","",
IFERROR(IF(INDEX(貸出記録!$C$2:$C$5000,
MATCH($A24,貸出記録!$A$2:$A$5000,0))="","",
INDEX(貸出記録!$C$2:$C$5000,
MATCH($A24,貸出記録!$A$2:$A$5000,0))
),""))</f>
        <v/>
      </c>
      <c r="D24" s="34" t="str">
        <f t="array" ref="D24">IF($A24="","",
IFERROR(IF(INDEX(貸出記録!$D:$D,
MATCH($A24,貸出記録!$A:$A,0))="","",
INDEX(貸出記録!$D:$D,
MATCH($A24,貸出記録!$A:$A,0))
),""))</f>
        <v/>
      </c>
      <c r="E24" s="34" t="str">
        <f t="array" aca="1" ref="E24" ca="1">IF(D24="","",TODAY()-D24&amp;"日")</f>
        <v/>
      </c>
      <c r="F24" s="34" t="str">
        <f t="array" ref="F24">IF($A24="","",
IFERROR(IF(INDEX(貸出記録!$F:$F,
MATCH($A24,貸出記録!$A:$A,0))="","",
INDEX(貸出記録!$F:$F,
MATCH($A24,貸出記録!$A:$A,0))
),""))</f>
        <v/>
      </c>
    </row>
    <row r="25" spans="1:6" ht="15.6">
      <c r="A25" s="34" t="str">
        <f t="array" ref="A25">IFERROR(
INDEX(貸出記録!$A$2:$A$5000,
SMALL(
IF(貸出記録!$E$2:$E$5000="",
ROW(貸出記録!$A$2:$A$5000)-ROW(貸出記録!$A$2)+1),
ROW(A24)
)
),
"")</f>
        <v>BT-0024</v>
      </c>
      <c r="B25" s="34" t="str">
        <f t="array" ref="B25">IF($A25="","",
IFERROR(IF(INDEX(貸出記録!$B$2:$B$5000,
MATCH($A25,貸出記録!$A$2:$A$5000,0))="","",
INDEX(貸出記録!$B$2:$B$5000,
MATCH($A25,貸出記録!$A$2:$A$5000,0))
),""))</f>
        <v/>
      </c>
      <c r="C25" s="34" t="str">
        <f t="array" ref="C25">IF($A25="","",
IFERROR(IF(INDEX(貸出記録!$C$2:$C$5000,
MATCH($A25,貸出記録!$A$2:$A$5000,0))="","",
INDEX(貸出記録!$C$2:$C$5000,
MATCH($A25,貸出記録!$A$2:$A$5000,0))
),""))</f>
        <v/>
      </c>
      <c r="D25" s="34" t="str">
        <f t="array" ref="D25">IF($A25="","",
IFERROR(IF(INDEX(貸出記録!$D:$D,
MATCH($A25,貸出記録!$A:$A,0))="","",
INDEX(貸出記録!$D:$D,
MATCH($A25,貸出記録!$A:$A,0))
),""))</f>
        <v/>
      </c>
      <c r="E25" s="34" t="str">
        <f t="array" aca="1" ref="E25" ca="1">IF(D25="","",TODAY()-D25&amp;"日")</f>
        <v/>
      </c>
      <c r="F25" s="34" t="str">
        <f t="array" ref="F25">IF($A25="","",
IFERROR(IF(INDEX(貸出記録!$F:$F,
MATCH($A25,貸出記録!$A:$A,0))="","",
INDEX(貸出記録!$F:$F,
MATCH($A25,貸出記録!$A:$A,0))
),""))</f>
        <v/>
      </c>
    </row>
    <row r="26" spans="1:6" ht="15.6">
      <c r="A26" s="34" t="str">
        <f t="array" ref="A26">IFERROR(
INDEX(貸出記録!$A$2:$A$5000,
SMALL(
IF(貸出記録!$E$2:$E$5000="",
ROW(貸出記録!$A$2:$A$5000)-ROW(貸出記録!$A$2)+1),
ROW(A25)
)
),
"")</f>
        <v>BT-0025</v>
      </c>
      <c r="B26" s="34" t="str">
        <f t="array" ref="B26">IF($A26="","",
IFERROR(IF(INDEX(貸出記録!$B$2:$B$5000,
MATCH($A26,貸出記録!$A$2:$A$5000,0))="","",
INDEX(貸出記録!$B$2:$B$5000,
MATCH($A26,貸出記録!$A$2:$A$5000,0))
),""))</f>
        <v/>
      </c>
      <c r="C26" s="34" t="str">
        <f t="array" ref="C26">IF($A26="","",
IFERROR(IF(INDEX(貸出記録!$C$2:$C$5000,
MATCH($A26,貸出記録!$A$2:$A$5000,0))="","",
INDEX(貸出記録!$C$2:$C$5000,
MATCH($A26,貸出記録!$A$2:$A$5000,0))
),""))</f>
        <v/>
      </c>
      <c r="D26" s="34" t="str">
        <f t="array" ref="D26">IF($A26="","",
IFERROR(IF(INDEX(貸出記録!$D:$D,
MATCH($A26,貸出記録!$A:$A,0))="","",
INDEX(貸出記録!$D:$D,
MATCH($A26,貸出記録!$A:$A,0))
),""))</f>
        <v/>
      </c>
      <c r="E26" s="34" t="str">
        <f t="array" aca="1" ref="E26" ca="1">IF(D26="","",TODAY()-D26&amp;"日")</f>
        <v/>
      </c>
      <c r="F26" s="34" t="str">
        <f t="array" ref="F26">IF($A26="","",
IFERROR(IF(INDEX(貸出記録!$F:$F,
MATCH($A26,貸出記録!$A:$A,0))="","",
INDEX(貸出記録!$F:$F,
MATCH($A26,貸出記録!$A:$A,0))
),""))</f>
        <v/>
      </c>
    </row>
    <row r="27" spans="1:6" ht="15.6">
      <c r="A27" s="34" t="str">
        <f t="array" ref="A27">IFERROR(
INDEX(貸出記録!$A$2:$A$5000,
SMALL(
IF(貸出記録!$E$2:$E$5000="",
ROW(貸出記録!$A$2:$A$5000)-ROW(貸出記録!$A$2)+1),
ROW(A26)
)
),
"")</f>
        <v>BT-0026</v>
      </c>
      <c r="B27" s="34" t="str">
        <f t="array" ref="B27">IF($A27="","",
IFERROR(IF(INDEX(貸出記録!$B$2:$B$5000,
MATCH($A27,貸出記録!$A$2:$A$5000,0))="","",
INDEX(貸出記録!$B$2:$B$5000,
MATCH($A27,貸出記録!$A$2:$A$5000,0))
),""))</f>
        <v/>
      </c>
      <c r="C27" s="34" t="str">
        <f t="array" ref="C27">IF($A27="","",
IFERROR(IF(INDEX(貸出記録!$C$2:$C$5000,
MATCH($A27,貸出記録!$A$2:$A$5000,0))="","",
INDEX(貸出記録!$C$2:$C$5000,
MATCH($A27,貸出記録!$A$2:$A$5000,0))
),""))</f>
        <v/>
      </c>
      <c r="D27" s="34" t="str">
        <f t="array" ref="D27">IF($A27="","",
IFERROR(IF(INDEX(貸出記録!$D:$D,
MATCH($A27,貸出記録!$A:$A,0))="","",
INDEX(貸出記録!$D:$D,
MATCH($A27,貸出記録!$A:$A,0))
),""))</f>
        <v/>
      </c>
      <c r="E27" s="34" t="str">
        <f t="array" aca="1" ref="E27" ca="1">IF(D27="","",TODAY()-D27&amp;"日")</f>
        <v/>
      </c>
      <c r="F27" s="34" t="str">
        <f t="array" ref="F27">IF($A27="","",
IFERROR(IF(INDEX(貸出記録!$F:$F,
MATCH($A27,貸出記録!$A:$A,0))="","",
INDEX(貸出記録!$F:$F,
MATCH($A27,貸出記録!$A:$A,0))
),""))</f>
        <v/>
      </c>
    </row>
    <row r="28" spans="1:6" ht="15.6">
      <c r="A28" s="34" t="str">
        <f t="array" ref="A28">IFERROR(
INDEX(貸出記録!$A$2:$A$5000,
SMALL(
IF(貸出記録!$E$2:$E$5000="",
ROW(貸出記録!$A$2:$A$5000)-ROW(貸出記録!$A$2)+1),
ROW(A27)
)
),
"")</f>
        <v>BT-0027</v>
      </c>
      <c r="B28" s="34" t="str">
        <f t="array" ref="B28">IF($A28="","",
IFERROR(IF(INDEX(貸出記録!$B$2:$B$5000,
MATCH($A28,貸出記録!$A$2:$A$5000,0))="","",
INDEX(貸出記録!$B$2:$B$5000,
MATCH($A28,貸出記録!$A$2:$A$5000,0))
),""))</f>
        <v/>
      </c>
      <c r="C28" s="34" t="str">
        <f t="array" ref="C28">IF($A28="","",
IFERROR(IF(INDEX(貸出記録!$C$2:$C$5000,
MATCH($A28,貸出記録!$A$2:$A$5000,0))="","",
INDEX(貸出記録!$C$2:$C$5000,
MATCH($A28,貸出記録!$A$2:$A$5000,0))
),""))</f>
        <v/>
      </c>
      <c r="D28" s="34" t="str">
        <f t="array" ref="D28">IF($A28="","",
IFERROR(IF(INDEX(貸出記録!$D:$D,
MATCH($A28,貸出記録!$A:$A,0))="","",
INDEX(貸出記録!$D:$D,
MATCH($A28,貸出記録!$A:$A,0))
),""))</f>
        <v/>
      </c>
      <c r="E28" s="34" t="str">
        <f t="array" aca="1" ref="E28" ca="1">IF(D28="","",TODAY()-D28&amp;"日")</f>
        <v/>
      </c>
      <c r="F28" s="34" t="str">
        <f t="array" ref="F28">IF($A28="","",
IFERROR(IF(INDEX(貸出記録!$F:$F,
MATCH($A28,貸出記録!$A:$A,0))="","",
INDEX(貸出記録!$F:$F,
MATCH($A28,貸出記録!$A:$A,0))
),""))</f>
        <v/>
      </c>
    </row>
    <row r="29" spans="1:6" ht="15.6">
      <c r="A29" s="34" t="str">
        <f t="array" ref="A29">IFERROR(
INDEX(貸出記録!$A$2:$A$5000,
SMALL(
IF(貸出記録!$E$2:$E$5000="",
ROW(貸出記録!$A$2:$A$5000)-ROW(貸出記録!$A$2)+1),
ROW(A28)
)
),
"")</f>
        <v>BT-0028</v>
      </c>
      <c r="B29" s="34" t="str">
        <f t="array" ref="B29">IF($A29="","",
IFERROR(IF(INDEX(貸出記録!$B$2:$B$5000,
MATCH($A29,貸出記録!$A$2:$A$5000,0))="","",
INDEX(貸出記録!$B$2:$B$5000,
MATCH($A29,貸出記録!$A$2:$A$5000,0))
),""))</f>
        <v/>
      </c>
      <c r="C29" s="34" t="str">
        <f t="array" ref="C29">IF($A29="","",
IFERROR(IF(INDEX(貸出記録!$C$2:$C$5000,
MATCH($A29,貸出記録!$A$2:$A$5000,0))="","",
INDEX(貸出記録!$C$2:$C$5000,
MATCH($A29,貸出記録!$A$2:$A$5000,0))
),""))</f>
        <v/>
      </c>
      <c r="D29" s="34" t="str">
        <f t="array" ref="D29">IF($A29="","",
IFERROR(IF(INDEX(貸出記録!$D:$D,
MATCH($A29,貸出記録!$A:$A,0))="","",
INDEX(貸出記録!$D:$D,
MATCH($A29,貸出記録!$A:$A,0))
),""))</f>
        <v/>
      </c>
      <c r="E29" s="34" t="str">
        <f t="array" aca="1" ref="E29" ca="1">IF(D29="","",TODAY()-D29&amp;"日")</f>
        <v/>
      </c>
      <c r="F29" s="34" t="str">
        <f t="array" ref="F29">IF($A29="","",
IFERROR(IF(INDEX(貸出記録!$F:$F,
MATCH($A29,貸出記録!$A:$A,0))="","",
INDEX(貸出記録!$F:$F,
MATCH($A29,貸出記録!$A:$A,0))
),""))</f>
        <v/>
      </c>
    </row>
    <row r="30" spans="1:6" ht="15.6">
      <c r="A30" s="34" t="str">
        <f t="array" ref="A30">IFERROR(
INDEX(貸出記録!$A$2:$A$5000,
SMALL(
IF(貸出記録!$E$2:$E$5000="",
ROW(貸出記録!$A$2:$A$5000)-ROW(貸出記録!$A$2)+1),
ROW(A29)
)
),
"")</f>
        <v>BT-0029</v>
      </c>
      <c r="B30" s="34" t="str">
        <f t="array" ref="B30">IF($A30="","",
IFERROR(IF(INDEX(貸出記録!$B$2:$B$5000,
MATCH($A30,貸出記録!$A$2:$A$5000,0))="","",
INDEX(貸出記録!$B$2:$B$5000,
MATCH($A30,貸出記録!$A$2:$A$5000,0))
),""))</f>
        <v/>
      </c>
      <c r="C30" s="34" t="str">
        <f t="array" ref="C30">IF($A30="","",
IFERROR(IF(INDEX(貸出記録!$C$2:$C$5000,
MATCH($A30,貸出記録!$A$2:$A$5000,0))="","",
INDEX(貸出記録!$C$2:$C$5000,
MATCH($A30,貸出記録!$A$2:$A$5000,0))
),""))</f>
        <v/>
      </c>
      <c r="D30" s="34" t="str">
        <f t="array" ref="D30">IF($A30="","",
IFERROR(IF(INDEX(貸出記録!$D:$D,
MATCH($A30,貸出記録!$A:$A,0))="","",
INDEX(貸出記録!$D:$D,
MATCH($A30,貸出記録!$A:$A,0))
),""))</f>
        <v/>
      </c>
      <c r="E30" s="34" t="str">
        <f t="array" aca="1" ref="E30" ca="1">IF(D30="","",TODAY()-D30&amp;"日")</f>
        <v/>
      </c>
      <c r="F30" s="34" t="str">
        <f t="array" ref="F30">IF($A30="","",
IFERROR(IF(INDEX(貸出記録!$F:$F,
MATCH($A30,貸出記録!$A:$A,0))="","",
INDEX(貸出記録!$F:$F,
MATCH($A30,貸出記録!$A:$A,0))
),""))</f>
        <v/>
      </c>
    </row>
    <row r="31" spans="1:6" ht="15.6">
      <c r="A31" s="34" t="str">
        <f t="array" ref="A31">IFERROR(
INDEX(貸出記録!$A$2:$A$5000,
SMALL(
IF(貸出記録!$E$2:$E$5000="",
ROW(貸出記録!$A$2:$A$5000)-ROW(貸出記録!$A$2)+1),
ROW(A30)
)
),
"")</f>
        <v>BT-0030</v>
      </c>
      <c r="B31" s="34" t="str">
        <f t="array" ref="B31">IF($A31="","",
IFERROR(IF(INDEX(貸出記録!$B$2:$B$5000,
MATCH($A31,貸出記録!$A$2:$A$5000,0))="","",
INDEX(貸出記録!$B$2:$B$5000,
MATCH($A31,貸出記録!$A$2:$A$5000,0))
),""))</f>
        <v/>
      </c>
      <c r="C31" s="34" t="str">
        <f t="array" ref="C31">IF($A31="","",
IFERROR(IF(INDEX(貸出記録!$C$2:$C$5000,
MATCH($A31,貸出記録!$A$2:$A$5000,0))="","",
INDEX(貸出記録!$C$2:$C$5000,
MATCH($A31,貸出記録!$A$2:$A$5000,0))
),""))</f>
        <v/>
      </c>
      <c r="D31" s="34" t="str">
        <f t="array" ref="D31">IF($A31="","",
IFERROR(IF(INDEX(貸出記録!$D:$D,
MATCH($A31,貸出記録!$A:$A,0))="","",
INDEX(貸出記録!$D:$D,
MATCH($A31,貸出記録!$A:$A,0))
),""))</f>
        <v/>
      </c>
      <c r="E31" s="34" t="str">
        <f t="array" aca="1" ref="E31" ca="1">IF(D31="","",TODAY()-D31&amp;"日")</f>
        <v/>
      </c>
      <c r="F31" s="34" t="str">
        <f t="array" ref="F31">IF($A31="","",
IFERROR(IF(INDEX(貸出記録!$F:$F,
MATCH($A31,貸出記録!$A:$A,0))="","",
INDEX(貸出記録!$F:$F,
MATCH($A31,貸出記録!$A:$A,0))
),""))</f>
        <v/>
      </c>
    </row>
    <row r="32" spans="1:6" ht="15.6">
      <c r="A32" s="34" t="str">
        <f t="array" ref="A32">IFERROR(
INDEX(貸出記録!$A$2:$A$5000,
SMALL(
IF(貸出記録!$E$2:$E$5000="",
ROW(貸出記録!$A$2:$A$5000)-ROW(貸出記録!$A$2)+1),
ROW(A31)
)
),
"")</f>
        <v>BT-0031</v>
      </c>
      <c r="B32" s="34" t="str">
        <f t="array" ref="B32">IF($A32="","",
IFERROR(IF(INDEX(貸出記録!$B$2:$B$5000,
MATCH($A32,貸出記録!$A$2:$A$5000,0))="","",
INDEX(貸出記録!$B$2:$B$5000,
MATCH($A32,貸出記録!$A$2:$A$5000,0))
),""))</f>
        <v/>
      </c>
      <c r="C32" s="34" t="str">
        <f t="array" ref="C32">IF($A32="","",
IFERROR(IF(INDEX(貸出記録!$C$2:$C$5000,
MATCH($A32,貸出記録!$A$2:$A$5000,0))="","",
INDEX(貸出記録!$C$2:$C$5000,
MATCH($A32,貸出記録!$A$2:$A$5000,0))
),""))</f>
        <v/>
      </c>
      <c r="D32" s="34" t="str">
        <f t="array" ref="D32">IF($A32="","",
IFERROR(IF(INDEX(貸出記録!$D:$D,
MATCH($A32,貸出記録!$A:$A,0))="","",
INDEX(貸出記録!$D:$D,
MATCH($A32,貸出記録!$A:$A,0))
),""))</f>
        <v/>
      </c>
      <c r="E32" s="34" t="str">
        <f t="array" aca="1" ref="E32" ca="1">IF(D32="","",TODAY()-D32&amp;"日")</f>
        <v/>
      </c>
      <c r="F32" s="34" t="str">
        <f t="array" ref="F32">IF($A32="","",
IFERROR(IF(INDEX(貸出記録!$F:$F,
MATCH($A32,貸出記録!$A:$A,0))="","",
INDEX(貸出記録!$F:$F,
MATCH($A32,貸出記録!$A:$A,0))
),""))</f>
        <v/>
      </c>
    </row>
    <row r="33" spans="1:6" ht="15.6">
      <c r="A33" s="34" t="str">
        <f t="array" ref="A33">IFERROR(
INDEX(貸出記録!$A$2:$A$5000,
SMALL(
IF(貸出記録!$E$2:$E$5000="",
ROW(貸出記録!$A$2:$A$5000)-ROW(貸出記録!$A$2)+1),
ROW(A32)
)
),
"")</f>
        <v>BT-0032</v>
      </c>
      <c r="B33" s="34" t="str">
        <f t="array" ref="B33">IF($A33="","",
IFERROR(IF(INDEX(貸出記録!$B$2:$B$5000,
MATCH($A33,貸出記録!$A$2:$A$5000,0))="","",
INDEX(貸出記録!$B$2:$B$5000,
MATCH($A33,貸出記録!$A$2:$A$5000,0))
),""))</f>
        <v/>
      </c>
      <c r="C33" s="34" t="str">
        <f t="array" ref="C33">IF($A33="","",
IFERROR(IF(INDEX(貸出記録!$C$2:$C$5000,
MATCH($A33,貸出記録!$A$2:$A$5000,0))="","",
INDEX(貸出記録!$C$2:$C$5000,
MATCH($A33,貸出記録!$A$2:$A$5000,0))
),""))</f>
        <v/>
      </c>
      <c r="D33" s="34" t="str">
        <f t="array" ref="D33">IF($A33="","",
IFERROR(IF(INDEX(貸出記録!$D:$D,
MATCH($A33,貸出記録!$A:$A,0))="","",
INDEX(貸出記録!$D:$D,
MATCH($A33,貸出記録!$A:$A,0))
),""))</f>
        <v/>
      </c>
      <c r="E33" s="34" t="str">
        <f t="array" aca="1" ref="E33" ca="1">IF(D33="","",TODAY()-D33&amp;"日")</f>
        <v/>
      </c>
      <c r="F33" s="34" t="str">
        <f t="array" ref="F33">IF($A33="","",
IFERROR(IF(INDEX(貸出記録!$F:$F,
MATCH($A33,貸出記録!$A:$A,0))="","",
INDEX(貸出記録!$F:$F,
MATCH($A33,貸出記録!$A:$A,0))
),""))</f>
        <v/>
      </c>
    </row>
    <row r="34" spans="1:6" ht="15.6">
      <c r="A34" s="34" t="str">
        <f t="array" ref="A34">IFERROR(
INDEX(貸出記録!$A$2:$A$5000,
SMALL(
IF(貸出記録!$E$2:$E$5000="",
ROW(貸出記録!$A$2:$A$5000)-ROW(貸出記録!$A$2)+1),
ROW(A33)
)
),
"")</f>
        <v>BT-0033</v>
      </c>
      <c r="B34" s="34" t="str">
        <f t="array" ref="B34">IF($A34="","",
IFERROR(IF(INDEX(貸出記録!$B$2:$B$5000,
MATCH($A34,貸出記録!$A$2:$A$5000,0))="","",
INDEX(貸出記録!$B$2:$B$5000,
MATCH($A34,貸出記録!$A$2:$A$5000,0))
),""))</f>
        <v/>
      </c>
      <c r="C34" s="34" t="str">
        <f t="array" ref="C34">IF($A34="","",
IFERROR(IF(INDEX(貸出記録!$C$2:$C$5000,
MATCH($A34,貸出記録!$A$2:$A$5000,0))="","",
INDEX(貸出記録!$C$2:$C$5000,
MATCH($A34,貸出記録!$A$2:$A$5000,0))
),""))</f>
        <v/>
      </c>
      <c r="D34" s="34" t="str">
        <f t="array" ref="D34">IF($A34="","",
IFERROR(IF(INDEX(貸出記録!$D:$D,
MATCH($A34,貸出記録!$A:$A,0))="","",
INDEX(貸出記録!$D:$D,
MATCH($A34,貸出記録!$A:$A,0))
),""))</f>
        <v/>
      </c>
      <c r="E34" s="34" t="str">
        <f t="array" aca="1" ref="E34" ca="1">IF(D34="","",TODAY()-D34&amp;"日")</f>
        <v/>
      </c>
      <c r="F34" s="34" t="str">
        <f t="array" ref="F34">IF($A34="","",
IFERROR(IF(INDEX(貸出記録!$F:$F,
MATCH($A34,貸出記録!$A:$A,0))="","",
INDEX(貸出記録!$F:$F,
MATCH($A34,貸出記録!$A:$A,0))
),""))</f>
        <v/>
      </c>
    </row>
    <row r="35" spans="1:6" ht="15.6">
      <c r="A35" s="34" t="str">
        <f t="array" ref="A35">IFERROR(
INDEX(貸出記録!$A$2:$A$5000,
SMALL(
IF(貸出記録!$E$2:$E$5000="",
ROW(貸出記録!$A$2:$A$5000)-ROW(貸出記録!$A$2)+1),
ROW(A34)
)
),
"")</f>
        <v>BT-0034</v>
      </c>
      <c r="B35" s="34" t="str">
        <f t="array" ref="B35">IF($A35="","",
IFERROR(IF(INDEX(貸出記録!$B$2:$B$5000,
MATCH($A35,貸出記録!$A$2:$A$5000,0))="","",
INDEX(貸出記録!$B$2:$B$5000,
MATCH($A35,貸出記録!$A$2:$A$5000,0))
),""))</f>
        <v/>
      </c>
      <c r="C35" s="34" t="str">
        <f t="array" ref="C35">IF($A35="","",
IFERROR(IF(INDEX(貸出記録!$C$2:$C$5000,
MATCH($A35,貸出記録!$A$2:$A$5000,0))="","",
INDEX(貸出記録!$C$2:$C$5000,
MATCH($A35,貸出記録!$A$2:$A$5000,0))
),""))</f>
        <v/>
      </c>
      <c r="D35" s="34" t="str">
        <f t="array" ref="D35">IF($A35="","",
IFERROR(IF(INDEX(貸出記録!$D:$D,
MATCH($A35,貸出記録!$A:$A,0))="","",
INDEX(貸出記録!$D:$D,
MATCH($A35,貸出記録!$A:$A,0))
),""))</f>
        <v/>
      </c>
      <c r="E35" s="34" t="str">
        <f t="array" aca="1" ref="E35" ca="1">IF(D35="","",TODAY()-D35&amp;"日")</f>
        <v/>
      </c>
      <c r="F35" s="34" t="str">
        <f t="array" ref="F35">IF($A35="","",
IFERROR(IF(INDEX(貸出記録!$F:$F,
MATCH($A35,貸出記録!$A:$A,0))="","",
INDEX(貸出記録!$F:$F,
MATCH($A35,貸出記録!$A:$A,0))
),""))</f>
        <v/>
      </c>
    </row>
    <row r="36" spans="1:6" ht="15.6">
      <c r="A36" s="34" t="str">
        <f t="array" ref="A36">IFERROR(
INDEX(貸出記録!$A$2:$A$5000,
SMALL(
IF(貸出記録!$E$2:$E$5000="",
ROW(貸出記録!$A$2:$A$5000)-ROW(貸出記録!$A$2)+1),
ROW(A35)
)
),
"")</f>
        <v>BT-0035</v>
      </c>
      <c r="B36" s="34" t="str">
        <f t="array" ref="B36">IF($A36="","",
IFERROR(IF(INDEX(貸出記録!$B$2:$B$5000,
MATCH($A36,貸出記録!$A$2:$A$5000,0))="","",
INDEX(貸出記録!$B$2:$B$5000,
MATCH($A36,貸出記録!$A$2:$A$5000,0))
),""))</f>
        <v/>
      </c>
      <c r="C36" s="34" t="str">
        <f t="array" ref="C36">IF($A36="","",
IFERROR(IF(INDEX(貸出記録!$C$2:$C$5000,
MATCH($A36,貸出記録!$A$2:$A$5000,0))="","",
INDEX(貸出記録!$C$2:$C$5000,
MATCH($A36,貸出記録!$A$2:$A$5000,0))
),""))</f>
        <v/>
      </c>
      <c r="D36" s="34" t="str">
        <f t="array" ref="D36">IF($A36="","",
IFERROR(IF(INDEX(貸出記録!$D:$D,
MATCH($A36,貸出記録!$A:$A,0))="","",
INDEX(貸出記録!$D:$D,
MATCH($A36,貸出記録!$A:$A,0))
),""))</f>
        <v/>
      </c>
      <c r="E36" s="34" t="str">
        <f t="array" aca="1" ref="E36" ca="1">IF(D36="","",TODAY()-D36&amp;"日")</f>
        <v/>
      </c>
      <c r="F36" s="34" t="str">
        <f t="array" ref="F36">IF($A36="","",
IFERROR(IF(INDEX(貸出記録!$F:$F,
MATCH($A36,貸出記録!$A:$A,0))="","",
INDEX(貸出記録!$F:$F,
MATCH($A36,貸出記録!$A:$A,0))
),""))</f>
        <v/>
      </c>
    </row>
    <row r="37" spans="1:6" ht="15.6">
      <c r="A37" s="34" t="str">
        <f t="array" ref="A37">IFERROR(
INDEX(貸出記録!$A$2:$A$5000,
SMALL(
IF(貸出記録!$E$2:$E$5000="",
ROW(貸出記録!$A$2:$A$5000)-ROW(貸出記録!$A$2)+1),
ROW(A36)
)
),
"")</f>
        <v>BT-0036</v>
      </c>
      <c r="B37" s="34" t="str">
        <f t="array" ref="B37">IF($A37="","",
IFERROR(IF(INDEX(貸出記録!$B$2:$B$5000,
MATCH($A37,貸出記録!$A$2:$A$5000,0))="","",
INDEX(貸出記録!$B$2:$B$5000,
MATCH($A37,貸出記録!$A$2:$A$5000,0))
),""))</f>
        <v/>
      </c>
      <c r="C37" s="34" t="str">
        <f t="array" ref="C37">IF($A37="","",
IFERROR(IF(INDEX(貸出記録!$C$2:$C$5000,
MATCH($A37,貸出記録!$A$2:$A$5000,0))="","",
INDEX(貸出記録!$C$2:$C$5000,
MATCH($A37,貸出記録!$A$2:$A$5000,0))
),""))</f>
        <v/>
      </c>
      <c r="D37" s="34" t="str">
        <f t="array" ref="D37">IF($A37="","",
IFERROR(IF(INDEX(貸出記録!$D:$D,
MATCH($A37,貸出記録!$A:$A,0))="","",
INDEX(貸出記録!$D:$D,
MATCH($A37,貸出記録!$A:$A,0))
),""))</f>
        <v/>
      </c>
      <c r="E37" s="34" t="str">
        <f t="array" aca="1" ref="E37" ca="1">IF(D37="","",TODAY()-D37&amp;"日")</f>
        <v/>
      </c>
      <c r="F37" s="34" t="str">
        <f t="array" ref="F37">IF($A37="","",
IFERROR(IF(INDEX(貸出記録!$F:$F,
MATCH($A37,貸出記録!$A:$A,0))="","",
INDEX(貸出記録!$F:$F,
MATCH($A37,貸出記録!$A:$A,0))
),""))</f>
        <v/>
      </c>
    </row>
    <row r="38" spans="1:6" ht="15.6">
      <c r="A38" s="34" t="str">
        <f t="array" ref="A38">IFERROR(
INDEX(貸出記録!$A$2:$A$5000,
SMALL(
IF(貸出記録!$E$2:$E$5000="",
ROW(貸出記録!$A$2:$A$5000)-ROW(貸出記録!$A$2)+1),
ROW(A37)
)
),
"")</f>
        <v>BT-0037</v>
      </c>
      <c r="B38" s="34" t="str">
        <f t="array" ref="B38">IF($A38="","",
IFERROR(IF(INDEX(貸出記録!$B$2:$B$5000,
MATCH($A38,貸出記録!$A$2:$A$5000,0))="","",
INDEX(貸出記録!$B$2:$B$5000,
MATCH($A38,貸出記録!$A$2:$A$5000,0))
),""))</f>
        <v/>
      </c>
      <c r="C38" s="34" t="str">
        <f t="array" ref="C38">IF($A38="","",
IFERROR(IF(INDEX(貸出記録!$C$2:$C$5000,
MATCH($A38,貸出記録!$A$2:$A$5000,0))="","",
INDEX(貸出記録!$C$2:$C$5000,
MATCH($A38,貸出記録!$A$2:$A$5000,0))
),""))</f>
        <v/>
      </c>
      <c r="D38" s="34" t="str">
        <f t="array" ref="D38">IF($A38="","",
IFERROR(IF(INDEX(貸出記録!$D:$D,
MATCH($A38,貸出記録!$A:$A,0))="","",
INDEX(貸出記録!$D:$D,
MATCH($A38,貸出記録!$A:$A,0))
),""))</f>
        <v/>
      </c>
      <c r="E38" s="34" t="str">
        <f t="array" aca="1" ref="E38" ca="1">IF(D38="","",TODAY()-D38&amp;"日")</f>
        <v/>
      </c>
      <c r="F38" s="34" t="str">
        <f t="array" ref="F38">IF($A38="","",
IFERROR(IF(INDEX(貸出記録!$F:$F,
MATCH($A38,貸出記録!$A:$A,0))="","",
INDEX(貸出記録!$F:$F,
MATCH($A38,貸出記録!$A:$A,0))
),""))</f>
        <v/>
      </c>
    </row>
    <row r="39" spans="1:6" ht="15.6">
      <c r="A39" s="34" t="str">
        <f t="array" ref="A39">IFERROR(
INDEX(貸出記録!$A$2:$A$5000,
SMALL(
IF(貸出記録!$E$2:$E$5000="",
ROW(貸出記録!$A$2:$A$5000)-ROW(貸出記録!$A$2)+1),
ROW(A38)
)
),
"")</f>
        <v>BT-0038</v>
      </c>
      <c r="B39" s="34" t="str">
        <f t="array" ref="B39">IF($A39="","",
IFERROR(IF(INDEX(貸出記録!$B$2:$B$5000,
MATCH($A39,貸出記録!$A$2:$A$5000,0))="","",
INDEX(貸出記録!$B$2:$B$5000,
MATCH($A39,貸出記録!$A$2:$A$5000,0))
),""))</f>
        <v/>
      </c>
      <c r="C39" s="34" t="str">
        <f t="array" ref="C39">IF($A39="","",
IFERROR(IF(INDEX(貸出記録!$C$2:$C$5000,
MATCH($A39,貸出記録!$A$2:$A$5000,0))="","",
INDEX(貸出記録!$C$2:$C$5000,
MATCH($A39,貸出記録!$A$2:$A$5000,0))
),""))</f>
        <v/>
      </c>
      <c r="D39" s="34" t="str">
        <f t="array" ref="D39">IF($A39="","",
IFERROR(IF(INDEX(貸出記録!$D:$D,
MATCH($A39,貸出記録!$A:$A,0))="","",
INDEX(貸出記録!$D:$D,
MATCH($A39,貸出記録!$A:$A,0))
),""))</f>
        <v/>
      </c>
      <c r="E39" s="34" t="str">
        <f t="array" aca="1" ref="E39" ca="1">IF(D39="","",TODAY()-D39&amp;"日")</f>
        <v/>
      </c>
      <c r="F39" s="34" t="str">
        <f t="array" ref="F39">IF($A39="","",
IFERROR(IF(INDEX(貸出記録!$F:$F,
MATCH($A39,貸出記録!$A:$A,0))="","",
INDEX(貸出記録!$F:$F,
MATCH($A39,貸出記録!$A:$A,0))
),""))</f>
        <v/>
      </c>
    </row>
    <row r="40" spans="1:6" ht="15.6">
      <c r="A40" s="34" t="str">
        <f t="array" ref="A40">IFERROR(
INDEX(貸出記録!$A$2:$A$5000,
SMALL(
IF(貸出記録!$E$2:$E$5000="",
ROW(貸出記録!$A$2:$A$5000)-ROW(貸出記録!$A$2)+1),
ROW(A39)
)
),
"")</f>
        <v>BT-0039</v>
      </c>
      <c r="B40" s="34" t="str">
        <f t="array" ref="B40">IF($A40="","",
IFERROR(IF(INDEX(貸出記録!$B$2:$B$5000,
MATCH($A40,貸出記録!$A$2:$A$5000,0))="","",
INDEX(貸出記録!$B$2:$B$5000,
MATCH($A40,貸出記録!$A$2:$A$5000,0))
),""))</f>
        <v/>
      </c>
      <c r="C40" s="34" t="str">
        <f t="array" ref="C40">IF($A40="","",
IFERROR(IF(INDEX(貸出記録!$C$2:$C$5000,
MATCH($A40,貸出記録!$A$2:$A$5000,0))="","",
INDEX(貸出記録!$C$2:$C$5000,
MATCH($A40,貸出記録!$A$2:$A$5000,0))
),""))</f>
        <v/>
      </c>
      <c r="D40" s="34" t="str">
        <f t="array" ref="D40">IF($A40="","",
IFERROR(IF(INDEX(貸出記録!$D:$D,
MATCH($A40,貸出記録!$A:$A,0))="","",
INDEX(貸出記録!$D:$D,
MATCH($A40,貸出記録!$A:$A,0))
),""))</f>
        <v/>
      </c>
      <c r="E40" s="34" t="str">
        <f t="array" aca="1" ref="E40" ca="1">IF(D40="","",TODAY()-D40&amp;"日")</f>
        <v/>
      </c>
      <c r="F40" s="34" t="str">
        <f t="array" ref="F40">IF($A40="","",
IFERROR(IF(INDEX(貸出記録!$F:$F,
MATCH($A40,貸出記録!$A:$A,0))="","",
INDEX(貸出記録!$F:$F,
MATCH($A40,貸出記録!$A:$A,0))
),""))</f>
        <v/>
      </c>
    </row>
    <row r="41" spans="1:6" ht="15.6">
      <c r="A41" s="34" t="str">
        <f t="array" ref="A41">IFERROR(
INDEX(貸出記録!$A$2:$A$5000,
SMALL(
IF(貸出記録!$E$2:$E$5000="",
ROW(貸出記録!$A$2:$A$5000)-ROW(貸出記録!$A$2)+1),
ROW(A40)
)
),
"")</f>
        <v>BT-0040</v>
      </c>
      <c r="B41" s="34" t="str">
        <f t="array" ref="B41">IF($A41="","",
IFERROR(IF(INDEX(貸出記録!$B$2:$B$5000,
MATCH($A41,貸出記録!$A$2:$A$5000,0))="","",
INDEX(貸出記録!$B$2:$B$5000,
MATCH($A41,貸出記録!$A$2:$A$5000,0))
),""))</f>
        <v/>
      </c>
      <c r="C41" s="34" t="str">
        <f t="array" ref="C41">IF($A41="","",
IFERROR(IF(INDEX(貸出記録!$C$2:$C$5000,
MATCH($A41,貸出記録!$A$2:$A$5000,0))="","",
INDEX(貸出記録!$C$2:$C$5000,
MATCH($A41,貸出記録!$A$2:$A$5000,0))
),""))</f>
        <v/>
      </c>
      <c r="D41" s="34" t="str">
        <f t="array" ref="D41">IF($A41="","",
IFERROR(IF(INDEX(貸出記録!$D:$D,
MATCH($A41,貸出記録!$A:$A,0))="","",
INDEX(貸出記録!$D:$D,
MATCH($A41,貸出記録!$A:$A,0))
),""))</f>
        <v/>
      </c>
      <c r="E41" s="34" t="str">
        <f t="array" aca="1" ref="E41" ca="1">IF(D41="","",TODAY()-D41&amp;"日")</f>
        <v/>
      </c>
      <c r="F41" s="34" t="str">
        <f t="array" ref="F41">IF($A41="","",
IFERROR(IF(INDEX(貸出記録!$F:$F,
MATCH($A41,貸出記録!$A:$A,0))="","",
INDEX(貸出記録!$F:$F,
MATCH($A41,貸出記録!$A:$A,0))
),""))</f>
        <v/>
      </c>
    </row>
    <row r="42" spans="1:6" ht="15.6">
      <c r="A42" s="34" t="str">
        <f t="array" ref="A42">IFERROR(
INDEX(貸出記録!$A$2:$A$5000,
SMALL(
IF(貸出記録!$E$2:$E$5000="",
ROW(貸出記録!$A$2:$A$5000)-ROW(貸出記録!$A$2)+1),
ROW(A41)
)
),
"")</f>
        <v>BT-0041</v>
      </c>
      <c r="B42" s="34" t="str">
        <f t="array" ref="B42">IF($A42="","",
IFERROR(IF(INDEX(貸出記録!$B$2:$B$5000,
MATCH($A42,貸出記録!$A$2:$A$5000,0))="","",
INDEX(貸出記録!$B$2:$B$5000,
MATCH($A42,貸出記録!$A$2:$A$5000,0))
),""))</f>
        <v/>
      </c>
      <c r="C42" s="34" t="str">
        <f t="array" ref="C42">IF($A42="","",
IFERROR(IF(INDEX(貸出記録!$C$2:$C$5000,
MATCH($A42,貸出記録!$A$2:$A$5000,0))="","",
INDEX(貸出記録!$C$2:$C$5000,
MATCH($A42,貸出記録!$A$2:$A$5000,0))
),""))</f>
        <v/>
      </c>
      <c r="D42" s="34" t="str">
        <f t="array" ref="D42">IF($A42="","",
IFERROR(IF(INDEX(貸出記録!$D:$D,
MATCH($A42,貸出記録!$A:$A,0))="","",
INDEX(貸出記録!$D:$D,
MATCH($A42,貸出記録!$A:$A,0))
),""))</f>
        <v/>
      </c>
      <c r="E42" s="34" t="str">
        <f t="array" aca="1" ref="E42" ca="1">IF(D42="","",TODAY()-D42&amp;"日")</f>
        <v/>
      </c>
      <c r="F42" s="34" t="str">
        <f t="array" ref="F42">IF($A42="","",
IFERROR(IF(INDEX(貸出記録!$F:$F,
MATCH($A42,貸出記録!$A:$A,0))="","",
INDEX(貸出記録!$F:$F,
MATCH($A42,貸出記録!$A:$A,0))
),""))</f>
        <v/>
      </c>
    </row>
    <row r="43" spans="1:6" ht="15.6">
      <c r="A43" s="34" t="str">
        <f t="array" ref="A43">IFERROR(
INDEX(貸出記録!$A$2:$A$5000,
SMALL(
IF(貸出記録!$E$2:$E$5000="",
ROW(貸出記録!$A$2:$A$5000)-ROW(貸出記録!$A$2)+1),
ROW(A42)
)
),
"")</f>
        <v>BT-0042</v>
      </c>
      <c r="B43" s="34" t="str">
        <f t="array" ref="B43">IF($A43="","",
IFERROR(IF(INDEX(貸出記録!$B$2:$B$5000,
MATCH($A43,貸出記録!$A$2:$A$5000,0))="","",
INDEX(貸出記録!$B$2:$B$5000,
MATCH($A43,貸出記録!$A$2:$A$5000,0))
),""))</f>
        <v/>
      </c>
      <c r="C43" s="34" t="str">
        <f t="array" ref="C43">IF($A43="","",
IFERROR(IF(INDEX(貸出記録!$C$2:$C$5000,
MATCH($A43,貸出記録!$A$2:$A$5000,0))="","",
INDEX(貸出記録!$C$2:$C$5000,
MATCH($A43,貸出記録!$A$2:$A$5000,0))
),""))</f>
        <v/>
      </c>
      <c r="D43" s="34" t="str">
        <f t="array" ref="D43">IF($A43="","",
IFERROR(IF(INDEX(貸出記録!$D:$D,
MATCH($A43,貸出記録!$A:$A,0))="","",
INDEX(貸出記録!$D:$D,
MATCH($A43,貸出記録!$A:$A,0))
),""))</f>
        <v/>
      </c>
      <c r="E43" s="34" t="str">
        <f t="array" aca="1" ref="E43" ca="1">IF(D43="","",TODAY()-D43&amp;"日")</f>
        <v/>
      </c>
      <c r="F43" s="34" t="str">
        <f t="array" ref="F43">IF($A43="","",
IFERROR(IF(INDEX(貸出記録!$F:$F,
MATCH($A43,貸出記録!$A:$A,0))="","",
INDEX(貸出記録!$F:$F,
MATCH($A43,貸出記録!$A:$A,0))
),""))</f>
        <v/>
      </c>
    </row>
    <row r="44" spans="1:6" ht="15.6">
      <c r="A44" s="34" t="str">
        <f t="array" ref="A44">IFERROR(
INDEX(貸出記録!$A$2:$A$5000,
SMALL(
IF(貸出記録!$E$2:$E$5000="",
ROW(貸出記録!$A$2:$A$5000)-ROW(貸出記録!$A$2)+1),
ROW(A43)
)
),
"")</f>
        <v>BT-0043</v>
      </c>
      <c r="B44" s="34" t="str">
        <f t="array" ref="B44">IF($A44="","",
IFERROR(IF(INDEX(貸出記録!$B$2:$B$5000,
MATCH($A44,貸出記録!$A$2:$A$5000,0))="","",
INDEX(貸出記録!$B$2:$B$5000,
MATCH($A44,貸出記録!$A$2:$A$5000,0))
),""))</f>
        <v/>
      </c>
      <c r="C44" s="34" t="str">
        <f t="array" ref="C44">IF($A44="","",
IFERROR(IF(INDEX(貸出記録!$C$2:$C$5000,
MATCH($A44,貸出記録!$A$2:$A$5000,0))="","",
INDEX(貸出記録!$C$2:$C$5000,
MATCH($A44,貸出記録!$A$2:$A$5000,0))
),""))</f>
        <v/>
      </c>
      <c r="D44" s="34" t="str">
        <f t="array" ref="D44">IF($A44="","",
IFERROR(IF(INDEX(貸出記録!$D:$D,
MATCH($A44,貸出記録!$A:$A,0))="","",
INDEX(貸出記録!$D:$D,
MATCH($A44,貸出記録!$A:$A,0))
),""))</f>
        <v/>
      </c>
      <c r="E44" s="34" t="str">
        <f t="array" aca="1" ref="E44" ca="1">IF(D44="","",TODAY()-D44&amp;"日")</f>
        <v/>
      </c>
      <c r="F44" s="34" t="str">
        <f t="array" ref="F44">IF($A44="","",
IFERROR(IF(INDEX(貸出記録!$F:$F,
MATCH($A44,貸出記録!$A:$A,0))="","",
INDEX(貸出記録!$F:$F,
MATCH($A44,貸出記録!$A:$A,0))
),""))</f>
        <v/>
      </c>
    </row>
    <row r="45" spans="1:6" ht="15.6">
      <c r="A45" s="34" t="str">
        <f t="array" ref="A45">IFERROR(
INDEX(貸出記録!$A$2:$A$5000,
SMALL(
IF(貸出記録!$E$2:$E$5000="",
ROW(貸出記録!$A$2:$A$5000)-ROW(貸出記録!$A$2)+1),
ROW(A44)
)
),
"")</f>
        <v>BT-0044</v>
      </c>
      <c r="B45" s="34" t="str">
        <f t="array" ref="B45">IF($A45="","",
IFERROR(IF(INDEX(貸出記録!$B$2:$B$5000,
MATCH($A45,貸出記録!$A$2:$A$5000,0))="","",
INDEX(貸出記録!$B$2:$B$5000,
MATCH($A45,貸出記録!$A$2:$A$5000,0))
),""))</f>
        <v/>
      </c>
      <c r="C45" s="34" t="str">
        <f t="array" ref="C45">IF($A45="","",
IFERROR(IF(INDEX(貸出記録!$C$2:$C$5000,
MATCH($A45,貸出記録!$A$2:$A$5000,0))="","",
INDEX(貸出記録!$C$2:$C$5000,
MATCH($A45,貸出記録!$A$2:$A$5000,0))
),""))</f>
        <v/>
      </c>
      <c r="D45" s="34" t="str">
        <f t="array" ref="D45">IF($A45="","",
IFERROR(IF(INDEX(貸出記録!$D:$D,
MATCH($A45,貸出記録!$A:$A,0))="","",
INDEX(貸出記録!$D:$D,
MATCH($A45,貸出記録!$A:$A,0))
),""))</f>
        <v/>
      </c>
      <c r="E45" s="34" t="str">
        <f t="array" aca="1" ref="E45" ca="1">IF(D45="","",TODAY()-D45&amp;"日")</f>
        <v/>
      </c>
      <c r="F45" s="34" t="str">
        <f t="array" ref="F45">IF($A45="","",
IFERROR(IF(INDEX(貸出記録!$F:$F,
MATCH($A45,貸出記録!$A:$A,0))="","",
INDEX(貸出記録!$F:$F,
MATCH($A45,貸出記録!$A:$A,0))
),""))</f>
        <v/>
      </c>
    </row>
    <row r="46" spans="1:6" ht="15.6">
      <c r="A46" s="34" t="str">
        <f t="array" ref="A46">IFERROR(
INDEX(貸出記録!$A$2:$A$5000,
SMALL(
IF(貸出記録!$E$2:$E$5000="",
ROW(貸出記録!$A$2:$A$5000)-ROW(貸出記録!$A$2)+1),
ROW(A45)
)
),
"")</f>
        <v>BT-0045</v>
      </c>
      <c r="B46" s="34" t="str">
        <f t="array" ref="B46">IF($A46="","",
IFERROR(IF(INDEX(貸出記録!$B$2:$B$5000,
MATCH($A46,貸出記録!$A$2:$A$5000,0))="","",
INDEX(貸出記録!$B$2:$B$5000,
MATCH($A46,貸出記録!$A$2:$A$5000,0))
),""))</f>
        <v/>
      </c>
      <c r="C46" s="34" t="str">
        <f t="array" ref="C46">IF($A46="","",
IFERROR(IF(INDEX(貸出記録!$C$2:$C$5000,
MATCH($A46,貸出記録!$A$2:$A$5000,0))="","",
INDEX(貸出記録!$C$2:$C$5000,
MATCH($A46,貸出記録!$A$2:$A$5000,0))
),""))</f>
        <v/>
      </c>
      <c r="D46" s="34" t="str">
        <f t="array" ref="D46">IF($A46="","",
IFERROR(IF(INDEX(貸出記録!$D:$D,
MATCH($A46,貸出記録!$A:$A,0))="","",
INDEX(貸出記録!$D:$D,
MATCH($A46,貸出記録!$A:$A,0))
),""))</f>
        <v/>
      </c>
      <c r="E46" s="34" t="str">
        <f t="array" aca="1" ref="E46" ca="1">IF(D46="","",TODAY()-D46&amp;"日")</f>
        <v/>
      </c>
      <c r="F46" s="34" t="str">
        <f t="array" ref="F46">IF($A46="","",
IFERROR(IF(INDEX(貸出記録!$F:$F,
MATCH($A46,貸出記録!$A:$A,0))="","",
INDEX(貸出記録!$F:$F,
MATCH($A46,貸出記録!$A:$A,0))
),""))</f>
        <v/>
      </c>
    </row>
    <row r="47" spans="1:6" ht="15.6">
      <c r="A47" s="34" t="str">
        <f t="array" ref="A47">IFERROR(
INDEX(貸出記録!$A$2:$A$5000,
SMALL(
IF(貸出記録!$E$2:$E$5000="",
ROW(貸出記録!$A$2:$A$5000)-ROW(貸出記録!$A$2)+1),
ROW(A46)
)
),
"")</f>
        <v>BT-0046</v>
      </c>
      <c r="B47" s="34" t="str">
        <f t="array" ref="B47">IF($A47="","",
IFERROR(IF(INDEX(貸出記録!$B$2:$B$5000,
MATCH($A47,貸出記録!$A$2:$A$5000,0))="","",
INDEX(貸出記録!$B$2:$B$5000,
MATCH($A47,貸出記録!$A$2:$A$5000,0))
),""))</f>
        <v/>
      </c>
      <c r="C47" s="34" t="str">
        <f t="array" ref="C47">IF($A47="","",
IFERROR(IF(INDEX(貸出記録!$C$2:$C$5000,
MATCH($A47,貸出記録!$A$2:$A$5000,0))="","",
INDEX(貸出記録!$C$2:$C$5000,
MATCH($A47,貸出記録!$A$2:$A$5000,0))
),""))</f>
        <v/>
      </c>
      <c r="D47" s="34" t="str">
        <f t="array" ref="D47">IF($A47="","",
IFERROR(IF(INDEX(貸出記録!$D:$D,
MATCH($A47,貸出記録!$A:$A,0))="","",
INDEX(貸出記録!$D:$D,
MATCH($A47,貸出記録!$A:$A,0))
),""))</f>
        <v/>
      </c>
      <c r="E47" s="34" t="str">
        <f t="array" aca="1" ref="E47" ca="1">IF(D47="","",TODAY()-D47&amp;"日")</f>
        <v/>
      </c>
      <c r="F47" s="34" t="str">
        <f t="array" ref="F47">IF($A47="","",
IFERROR(IF(INDEX(貸出記録!$F:$F,
MATCH($A47,貸出記録!$A:$A,0))="","",
INDEX(貸出記録!$F:$F,
MATCH($A47,貸出記録!$A:$A,0))
),""))</f>
        <v/>
      </c>
    </row>
    <row r="48" spans="1:6" ht="15.6">
      <c r="A48" s="34" t="str">
        <f t="array" ref="A48">IFERROR(
INDEX(貸出記録!$A$2:$A$5000,
SMALL(
IF(貸出記録!$E$2:$E$5000="",
ROW(貸出記録!$A$2:$A$5000)-ROW(貸出記録!$A$2)+1),
ROW(A47)
)
),
"")</f>
        <v>BT-0047</v>
      </c>
      <c r="B48" s="34" t="str">
        <f t="array" ref="B48">IF($A48="","",
IFERROR(IF(INDEX(貸出記録!$B$2:$B$5000,
MATCH($A48,貸出記録!$A$2:$A$5000,0))="","",
INDEX(貸出記録!$B$2:$B$5000,
MATCH($A48,貸出記録!$A$2:$A$5000,0))
),""))</f>
        <v/>
      </c>
      <c r="C48" s="34" t="str">
        <f t="array" ref="C48">IF($A48="","",
IFERROR(IF(INDEX(貸出記録!$C$2:$C$5000,
MATCH($A48,貸出記録!$A$2:$A$5000,0))="","",
INDEX(貸出記録!$C$2:$C$5000,
MATCH($A48,貸出記録!$A$2:$A$5000,0))
),""))</f>
        <v/>
      </c>
      <c r="D48" s="34" t="str">
        <f t="array" ref="D48">IF($A48="","",
IFERROR(IF(INDEX(貸出記録!$D:$D,
MATCH($A48,貸出記録!$A:$A,0))="","",
INDEX(貸出記録!$D:$D,
MATCH($A48,貸出記録!$A:$A,0))
),""))</f>
        <v/>
      </c>
      <c r="E48" s="34" t="str">
        <f t="array" aca="1" ref="E48" ca="1">IF(D48="","",TODAY()-D48&amp;"日")</f>
        <v/>
      </c>
      <c r="F48" s="34" t="str">
        <f t="array" ref="F48">IF($A48="","",
IFERROR(IF(INDEX(貸出記録!$F:$F,
MATCH($A48,貸出記録!$A:$A,0))="","",
INDEX(貸出記録!$F:$F,
MATCH($A48,貸出記録!$A:$A,0))
),""))</f>
        <v/>
      </c>
    </row>
    <row r="49" spans="1:6" ht="15.6">
      <c r="A49" s="34" t="str">
        <f t="array" ref="A49">IFERROR(
INDEX(貸出記録!$A$2:$A$5000,
SMALL(
IF(貸出記録!$E$2:$E$5000="",
ROW(貸出記録!$A$2:$A$5000)-ROW(貸出記録!$A$2)+1),
ROW(A48)
)
),
"")</f>
        <v>BT-0048</v>
      </c>
      <c r="B49" s="34" t="str">
        <f t="array" ref="B49">IF($A49="","",
IFERROR(IF(INDEX(貸出記録!$B$2:$B$5000,
MATCH($A49,貸出記録!$A$2:$A$5000,0))="","",
INDEX(貸出記録!$B$2:$B$5000,
MATCH($A49,貸出記録!$A$2:$A$5000,0))
),""))</f>
        <v/>
      </c>
      <c r="C49" s="34" t="str">
        <f t="array" ref="C49">IF($A49="","",
IFERROR(IF(INDEX(貸出記録!$C$2:$C$5000,
MATCH($A49,貸出記録!$A$2:$A$5000,0))="","",
INDEX(貸出記録!$C$2:$C$5000,
MATCH($A49,貸出記録!$A$2:$A$5000,0))
),""))</f>
        <v/>
      </c>
      <c r="D49" s="34" t="str">
        <f t="array" ref="D49">IF($A49="","",
IFERROR(IF(INDEX(貸出記録!$D:$D,
MATCH($A49,貸出記録!$A:$A,0))="","",
INDEX(貸出記録!$D:$D,
MATCH($A49,貸出記録!$A:$A,0))
),""))</f>
        <v/>
      </c>
      <c r="E49" s="34" t="str">
        <f t="array" aca="1" ref="E49" ca="1">IF(D49="","",TODAY()-D49&amp;"日")</f>
        <v/>
      </c>
      <c r="F49" s="34" t="str">
        <f t="array" ref="F49">IF($A49="","",
IFERROR(IF(INDEX(貸出記録!$F:$F,
MATCH($A49,貸出記録!$A:$A,0))="","",
INDEX(貸出記録!$F:$F,
MATCH($A49,貸出記録!$A:$A,0))
),""))</f>
        <v/>
      </c>
    </row>
    <row r="50" spans="1:6" ht="15.6">
      <c r="A50" s="34" t="str">
        <f t="array" ref="A50">IFERROR(
INDEX(貸出記録!$A$2:$A$5000,
SMALL(
IF(貸出記録!$E$2:$E$5000="",
ROW(貸出記録!$A$2:$A$5000)-ROW(貸出記録!$A$2)+1),
ROW(A49)
)
),
"")</f>
        <v>BT-0049</v>
      </c>
      <c r="B50" s="34" t="str">
        <f t="array" ref="B50">IF($A50="","",
IFERROR(IF(INDEX(貸出記録!$B$2:$B$5000,
MATCH($A50,貸出記録!$A$2:$A$5000,0))="","",
INDEX(貸出記録!$B$2:$B$5000,
MATCH($A50,貸出記録!$A$2:$A$5000,0))
),""))</f>
        <v/>
      </c>
      <c r="C50" s="34" t="str">
        <f t="array" ref="C50">IF($A50="","",
IFERROR(IF(INDEX(貸出記録!$C$2:$C$5000,
MATCH($A50,貸出記録!$A$2:$A$5000,0))="","",
INDEX(貸出記録!$C$2:$C$5000,
MATCH($A50,貸出記録!$A$2:$A$5000,0))
),""))</f>
        <v/>
      </c>
      <c r="D50" s="34" t="str">
        <f t="array" ref="D50">IF($A50="","",
IFERROR(IF(INDEX(貸出記録!$D:$D,
MATCH($A50,貸出記録!$A:$A,0))="","",
INDEX(貸出記録!$D:$D,
MATCH($A50,貸出記録!$A:$A,0))
),""))</f>
        <v/>
      </c>
      <c r="E50" s="34" t="str">
        <f t="array" aca="1" ref="E50" ca="1">IF(D50="","",TODAY()-D50&amp;"日")</f>
        <v/>
      </c>
      <c r="F50" s="34" t="str">
        <f t="array" ref="F50">IF($A50="","",
IFERROR(IF(INDEX(貸出記録!$F:$F,
MATCH($A50,貸出記録!$A:$A,0))="","",
INDEX(貸出記録!$F:$F,
MATCH($A50,貸出記録!$A:$A,0))
),""))</f>
        <v/>
      </c>
    </row>
    <row r="51" spans="1:6" ht="15.6">
      <c r="A51" s="34" t="str">
        <f t="array" ref="A51">IFERROR(
INDEX(貸出記録!$A$2:$A$5000,
SMALL(
IF(貸出記録!$E$2:$E$5000="",
ROW(貸出記録!$A$2:$A$5000)-ROW(貸出記録!$A$2)+1),
ROW(A50)
)
),
"")</f>
        <v>BT-0050</v>
      </c>
      <c r="B51" s="34" t="str">
        <f t="array" ref="B51">IF($A51="","",
IFERROR(IF(INDEX(貸出記録!$B$2:$B$5000,
MATCH($A51,貸出記録!$A$2:$A$5000,0))="","",
INDEX(貸出記録!$B$2:$B$5000,
MATCH($A51,貸出記録!$A$2:$A$5000,0))
),""))</f>
        <v/>
      </c>
      <c r="C51" s="34" t="str">
        <f t="array" ref="C51">IF($A51="","",
IFERROR(IF(INDEX(貸出記録!$C$2:$C$5000,
MATCH($A51,貸出記録!$A$2:$A$5000,0))="","",
INDEX(貸出記録!$C$2:$C$5000,
MATCH($A51,貸出記録!$A$2:$A$5000,0))
),""))</f>
        <v/>
      </c>
      <c r="D51" s="34" t="str">
        <f t="array" ref="D51">IF($A51="","",
IFERROR(IF(INDEX(貸出記録!$D:$D,
MATCH($A51,貸出記録!$A:$A,0))="","",
INDEX(貸出記録!$D:$D,
MATCH($A51,貸出記録!$A:$A,0))
),""))</f>
        <v/>
      </c>
      <c r="E51" s="34" t="str">
        <f t="array" aca="1" ref="E51" ca="1">IF(D51="","",TODAY()-D51&amp;"日")</f>
        <v/>
      </c>
      <c r="F51" s="34" t="str">
        <f t="array" ref="F51">IF($A51="","",
IFERROR(IF(INDEX(貸出記録!$F:$F,
MATCH($A51,貸出記録!$A:$A,0))="","",
INDEX(貸出記録!$F:$F,
MATCH($A51,貸出記録!$A:$A,0))
),""))</f>
        <v/>
      </c>
    </row>
    <row r="52" spans="1:6" ht="15.6">
      <c r="A52" s="34" t="str">
        <f t="array" ref="A52">IFERROR(
INDEX(貸出記録!$A$2:$A$5000,
SMALL(
IF(貸出記録!$E$2:$E$5000="",
ROW(貸出記録!$A$2:$A$5000)-ROW(貸出記録!$A$2)+1),
ROW(A51)
)
),
"")</f>
        <v>BT-0051</v>
      </c>
      <c r="B52" s="34" t="str">
        <f t="array" ref="B52">IF($A52="","",
IFERROR(IF(INDEX(貸出記録!$B$2:$B$5000,
MATCH($A52,貸出記録!$A$2:$A$5000,0))="","",
INDEX(貸出記録!$B$2:$B$5000,
MATCH($A52,貸出記録!$A$2:$A$5000,0))
),""))</f>
        <v/>
      </c>
      <c r="C52" s="34" t="str">
        <f t="array" ref="C52">IF($A52="","",
IFERROR(IF(INDEX(貸出記録!$C$2:$C$5000,
MATCH($A52,貸出記録!$A$2:$A$5000,0))="","",
INDEX(貸出記録!$C$2:$C$5000,
MATCH($A52,貸出記録!$A$2:$A$5000,0))
),""))</f>
        <v/>
      </c>
      <c r="D52" s="34" t="str">
        <f t="array" ref="D52">IF($A52="","",
IFERROR(IF(INDEX(貸出記録!$D:$D,
MATCH($A52,貸出記録!$A:$A,0))="","",
INDEX(貸出記録!$D:$D,
MATCH($A52,貸出記録!$A:$A,0))
),""))</f>
        <v/>
      </c>
      <c r="E52" s="34" t="str">
        <f t="array" aca="1" ref="E52" ca="1">IF(D52="","",TODAY()-D52&amp;"日")</f>
        <v/>
      </c>
      <c r="F52" s="34" t="str">
        <f t="array" ref="F52">IF($A52="","",
IFERROR(IF(INDEX(貸出記録!$F:$F,
MATCH($A52,貸出記録!$A:$A,0))="","",
INDEX(貸出記録!$F:$F,
MATCH($A52,貸出記録!$A:$A,0))
),""))</f>
        <v/>
      </c>
    </row>
    <row r="53" spans="1:6" ht="15.6">
      <c r="A53" s="34" t="str">
        <f t="array" ref="A53">IFERROR(
INDEX(貸出記録!$A$2:$A$5000,
SMALL(
IF(貸出記録!$E$2:$E$5000="",
ROW(貸出記録!$A$2:$A$5000)-ROW(貸出記録!$A$2)+1),
ROW(A52)
)
),
"")</f>
        <v>BT-0052</v>
      </c>
      <c r="B53" s="34" t="str">
        <f t="array" ref="B53">IF($A53="","",
IFERROR(IF(INDEX(貸出記録!$B$2:$B$5000,
MATCH($A53,貸出記録!$A$2:$A$5000,0))="","",
INDEX(貸出記録!$B$2:$B$5000,
MATCH($A53,貸出記録!$A$2:$A$5000,0))
),""))</f>
        <v/>
      </c>
      <c r="C53" s="34" t="str">
        <f t="array" ref="C53">IF($A53="","",
IFERROR(IF(INDEX(貸出記録!$C$2:$C$5000,
MATCH($A53,貸出記録!$A$2:$A$5000,0))="","",
INDEX(貸出記録!$C$2:$C$5000,
MATCH($A53,貸出記録!$A$2:$A$5000,0))
),""))</f>
        <v/>
      </c>
      <c r="D53" s="34" t="str">
        <f t="array" ref="D53">IF($A53="","",
IFERROR(IF(INDEX(貸出記録!$D:$D,
MATCH($A53,貸出記録!$A:$A,0))="","",
INDEX(貸出記録!$D:$D,
MATCH($A53,貸出記録!$A:$A,0))
),""))</f>
        <v/>
      </c>
      <c r="E53" s="34" t="str">
        <f t="array" aca="1" ref="E53" ca="1">IF(D53="","",TODAY()-D53&amp;"日")</f>
        <v/>
      </c>
      <c r="F53" s="34" t="str">
        <f t="array" ref="F53">IF($A53="","",
IFERROR(IF(INDEX(貸出記録!$F:$F,
MATCH($A53,貸出記録!$A:$A,0))="","",
INDEX(貸出記録!$F:$F,
MATCH($A53,貸出記録!$A:$A,0))
),""))</f>
        <v/>
      </c>
    </row>
    <row r="54" spans="1:6" ht="15.6">
      <c r="A54" s="34" t="str">
        <f t="array" ref="A54">IFERROR(
INDEX(貸出記録!$A$2:$A$5000,
SMALL(
IF(貸出記録!$E$2:$E$5000="",
ROW(貸出記録!$A$2:$A$5000)-ROW(貸出記録!$A$2)+1),
ROW(A53)
)
),
"")</f>
        <v>BT-0053</v>
      </c>
      <c r="B54" s="34" t="str">
        <f t="array" ref="B54">IF($A54="","",
IFERROR(IF(INDEX(貸出記録!$B$2:$B$5000,
MATCH($A54,貸出記録!$A$2:$A$5000,0))="","",
INDEX(貸出記録!$B$2:$B$5000,
MATCH($A54,貸出記録!$A$2:$A$5000,0))
),""))</f>
        <v/>
      </c>
      <c r="C54" s="34" t="str">
        <f t="array" ref="C54">IF($A54="","",
IFERROR(IF(INDEX(貸出記録!$C$2:$C$5000,
MATCH($A54,貸出記録!$A$2:$A$5000,0))="","",
INDEX(貸出記録!$C$2:$C$5000,
MATCH($A54,貸出記録!$A$2:$A$5000,0))
),""))</f>
        <v/>
      </c>
      <c r="D54" s="34" t="str">
        <f t="array" ref="D54">IF($A54="","",
IFERROR(IF(INDEX(貸出記録!$D:$D,
MATCH($A54,貸出記録!$A:$A,0))="","",
INDEX(貸出記録!$D:$D,
MATCH($A54,貸出記録!$A:$A,0))
),""))</f>
        <v/>
      </c>
      <c r="E54" s="34" t="str">
        <f t="array" aca="1" ref="E54" ca="1">IF(D54="","",TODAY()-D54&amp;"日")</f>
        <v/>
      </c>
      <c r="F54" s="34" t="str">
        <f t="array" ref="F54">IF($A54="","",
IFERROR(IF(INDEX(貸出記録!$F:$F,
MATCH($A54,貸出記録!$A:$A,0))="","",
INDEX(貸出記録!$F:$F,
MATCH($A54,貸出記録!$A:$A,0))
),""))</f>
        <v/>
      </c>
    </row>
    <row r="55" spans="1:6" ht="15.6">
      <c r="A55" s="34" t="str">
        <f t="array" ref="A55">IFERROR(
INDEX(貸出記録!$A$2:$A$5000,
SMALL(
IF(貸出記録!$E$2:$E$5000="",
ROW(貸出記録!$A$2:$A$5000)-ROW(貸出記録!$A$2)+1),
ROW(A54)
)
),
"")</f>
        <v>BT-0054</v>
      </c>
      <c r="B55" s="34" t="str">
        <f t="array" ref="B55">IF($A55="","",
IFERROR(IF(INDEX(貸出記録!$B$2:$B$5000,
MATCH($A55,貸出記録!$A$2:$A$5000,0))="","",
INDEX(貸出記録!$B$2:$B$5000,
MATCH($A55,貸出記録!$A$2:$A$5000,0))
),""))</f>
        <v/>
      </c>
      <c r="C55" s="34" t="str">
        <f t="array" ref="C55">IF($A55="","",
IFERROR(IF(INDEX(貸出記録!$C$2:$C$5000,
MATCH($A55,貸出記録!$A$2:$A$5000,0))="","",
INDEX(貸出記録!$C$2:$C$5000,
MATCH($A55,貸出記録!$A$2:$A$5000,0))
),""))</f>
        <v/>
      </c>
      <c r="D55" s="34" t="str">
        <f t="array" ref="D55">IF($A55="","",
IFERROR(IF(INDEX(貸出記録!$D:$D,
MATCH($A55,貸出記録!$A:$A,0))="","",
INDEX(貸出記録!$D:$D,
MATCH($A55,貸出記録!$A:$A,0))
),""))</f>
        <v/>
      </c>
      <c r="E55" s="34" t="str">
        <f t="array" aca="1" ref="E55" ca="1">IF(D55="","",TODAY()-D55&amp;"日")</f>
        <v/>
      </c>
      <c r="F55" s="34" t="str">
        <f t="array" ref="F55">IF($A55="","",
IFERROR(IF(INDEX(貸出記録!$F:$F,
MATCH($A55,貸出記録!$A:$A,0))="","",
INDEX(貸出記録!$F:$F,
MATCH($A55,貸出記録!$A:$A,0))
),""))</f>
        <v/>
      </c>
    </row>
    <row r="56" spans="1:6" ht="15.6">
      <c r="A56" s="34" t="str">
        <f t="array" ref="A56">IFERROR(
INDEX(貸出記録!$A$2:$A$5000,
SMALL(
IF(貸出記録!$E$2:$E$5000="",
ROW(貸出記録!$A$2:$A$5000)-ROW(貸出記録!$A$2)+1),
ROW(A55)
)
),
"")</f>
        <v>BT-0055</v>
      </c>
      <c r="B56" s="34" t="str">
        <f t="array" ref="B56">IF($A56="","",
IFERROR(IF(INDEX(貸出記録!$B$2:$B$5000,
MATCH($A56,貸出記録!$A$2:$A$5000,0))="","",
INDEX(貸出記録!$B$2:$B$5000,
MATCH($A56,貸出記録!$A$2:$A$5000,0))
),""))</f>
        <v/>
      </c>
      <c r="C56" s="34" t="str">
        <f t="array" ref="C56">IF($A56="","",
IFERROR(IF(INDEX(貸出記録!$C$2:$C$5000,
MATCH($A56,貸出記録!$A$2:$A$5000,0))="","",
INDEX(貸出記録!$C$2:$C$5000,
MATCH($A56,貸出記録!$A$2:$A$5000,0))
),""))</f>
        <v/>
      </c>
      <c r="D56" s="34" t="str">
        <f t="array" ref="D56">IF($A56="","",
IFERROR(IF(INDEX(貸出記録!$D:$D,
MATCH($A56,貸出記録!$A:$A,0))="","",
INDEX(貸出記録!$D:$D,
MATCH($A56,貸出記録!$A:$A,0))
),""))</f>
        <v/>
      </c>
      <c r="E56" s="34" t="str">
        <f t="array" aca="1" ref="E56" ca="1">IF(D56="","",TODAY()-D56&amp;"日")</f>
        <v/>
      </c>
      <c r="F56" s="34" t="str">
        <f t="array" ref="F56">IF($A56="","",
IFERROR(IF(INDEX(貸出記録!$F:$F,
MATCH($A56,貸出記録!$A:$A,0))="","",
INDEX(貸出記録!$F:$F,
MATCH($A56,貸出記録!$A:$A,0))
),""))</f>
        <v/>
      </c>
    </row>
    <row r="57" spans="1:6" ht="15.6">
      <c r="A57" s="34" t="str">
        <f t="array" ref="A57">IFERROR(
INDEX(貸出記録!$A$2:$A$5000,
SMALL(
IF(貸出記録!$E$2:$E$5000="",
ROW(貸出記録!$A$2:$A$5000)-ROW(貸出記録!$A$2)+1),
ROW(A56)
)
),
"")</f>
        <v>BT-0056</v>
      </c>
      <c r="B57" s="34" t="str">
        <f t="array" ref="B57">IF($A57="","",
IFERROR(IF(INDEX(貸出記録!$B$2:$B$5000,
MATCH($A57,貸出記録!$A$2:$A$5000,0))="","",
INDEX(貸出記録!$B$2:$B$5000,
MATCH($A57,貸出記録!$A$2:$A$5000,0))
),""))</f>
        <v/>
      </c>
      <c r="C57" s="34" t="str">
        <f t="array" ref="C57">IF($A57="","",
IFERROR(IF(INDEX(貸出記録!$C$2:$C$5000,
MATCH($A57,貸出記録!$A$2:$A$5000,0))="","",
INDEX(貸出記録!$C$2:$C$5000,
MATCH($A57,貸出記録!$A$2:$A$5000,0))
),""))</f>
        <v/>
      </c>
      <c r="D57" s="34" t="str">
        <f t="array" ref="D57">IF($A57="","",
IFERROR(IF(INDEX(貸出記録!$D:$D,
MATCH($A57,貸出記録!$A:$A,0))="","",
INDEX(貸出記録!$D:$D,
MATCH($A57,貸出記録!$A:$A,0))
),""))</f>
        <v/>
      </c>
      <c r="E57" s="34" t="str">
        <f t="array" aca="1" ref="E57" ca="1">IF(D57="","",TODAY()-D57&amp;"日")</f>
        <v/>
      </c>
      <c r="F57" s="34" t="str">
        <f t="array" ref="F57">IF($A57="","",
IFERROR(IF(INDEX(貸出記録!$F:$F,
MATCH($A57,貸出記録!$A:$A,0))="","",
INDEX(貸出記録!$F:$F,
MATCH($A57,貸出記録!$A:$A,0))
),""))</f>
        <v/>
      </c>
    </row>
    <row r="58" spans="1:6" ht="15.6">
      <c r="A58" s="34" t="str">
        <f t="array" ref="A58">IFERROR(
INDEX(貸出記録!$A$2:$A$5000,
SMALL(
IF(貸出記録!$E$2:$E$5000="",
ROW(貸出記録!$A$2:$A$5000)-ROW(貸出記録!$A$2)+1),
ROW(A57)
)
),
"")</f>
        <v>BT-0057</v>
      </c>
      <c r="B58" s="34" t="str">
        <f t="array" ref="B58">IF($A58="","",
IFERROR(IF(INDEX(貸出記録!$B$2:$B$5000,
MATCH($A58,貸出記録!$A$2:$A$5000,0))="","",
INDEX(貸出記録!$B$2:$B$5000,
MATCH($A58,貸出記録!$A$2:$A$5000,0))
),""))</f>
        <v/>
      </c>
      <c r="C58" s="34" t="str">
        <f t="array" ref="C58">IF($A58="","",
IFERROR(IF(INDEX(貸出記録!$C$2:$C$5000,
MATCH($A58,貸出記録!$A$2:$A$5000,0))="","",
INDEX(貸出記録!$C$2:$C$5000,
MATCH($A58,貸出記録!$A$2:$A$5000,0))
),""))</f>
        <v/>
      </c>
      <c r="D58" s="34" t="str">
        <f t="array" ref="D58">IF($A58="","",
IFERROR(IF(INDEX(貸出記録!$D:$D,
MATCH($A58,貸出記録!$A:$A,0))="","",
INDEX(貸出記録!$D:$D,
MATCH($A58,貸出記録!$A:$A,0))
),""))</f>
        <v/>
      </c>
      <c r="E58" s="34" t="str">
        <f t="array" aca="1" ref="E58" ca="1">IF(D58="","",TODAY()-D58&amp;"日")</f>
        <v/>
      </c>
      <c r="F58" s="34" t="str">
        <f t="array" ref="F58">IF($A58="","",
IFERROR(IF(INDEX(貸出記録!$F:$F,
MATCH($A58,貸出記録!$A:$A,0))="","",
INDEX(貸出記録!$F:$F,
MATCH($A58,貸出記録!$A:$A,0))
),""))</f>
        <v/>
      </c>
    </row>
    <row r="59" spans="1:6" ht="15.6">
      <c r="A59" s="34" t="str">
        <f t="array" ref="A59">IFERROR(
INDEX(貸出記録!$A$2:$A$5000,
SMALL(
IF(貸出記録!$E$2:$E$5000="",
ROW(貸出記録!$A$2:$A$5000)-ROW(貸出記録!$A$2)+1),
ROW(A58)
)
),
"")</f>
        <v>BT-0058</v>
      </c>
      <c r="B59" s="34" t="str">
        <f t="array" ref="B59">IF($A59="","",
IFERROR(IF(INDEX(貸出記録!$B$2:$B$5000,
MATCH($A59,貸出記録!$A$2:$A$5000,0))="","",
INDEX(貸出記録!$B$2:$B$5000,
MATCH($A59,貸出記録!$A$2:$A$5000,0))
),""))</f>
        <v/>
      </c>
      <c r="C59" s="34" t="str">
        <f t="array" ref="C59">IF($A59="","",
IFERROR(IF(INDEX(貸出記録!$C$2:$C$5000,
MATCH($A59,貸出記録!$A$2:$A$5000,0))="","",
INDEX(貸出記録!$C$2:$C$5000,
MATCH($A59,貸出記録!$A$2:$A$5000,0))
),""))</f>
        <v/>
      </c>
      <c r="D59" s="34" t="str">
        <f t="array" ref="D59">IF($A59="","",
IFERROR(IF(INDEX(貸出記録!$D:$D,
MATCH($A59,貸出記録!$A:$A,0))="","",
INDEX(貸出記録!$D:$D,
MATCH($A59,貸出記録!$A:$A,0))
),""))</f>
        <v/>
      </c>
      <c r="E59" s="34" t="str">
        <f t="array" aca="1" ref="E59" ca="1">IF(D59="","",TODAY()-D59&amp;"日")</f>
        <v/>
      </c>
      <c r="F59" s="34" t="str">
        <f t="array" ref="F59">IF($A59="","",
IFERROR(IF(INDEX(貸出記録!$F:$F,
MATCH($A59,貸出記録!$A:$A,0))="","",
INDEX(貸出記録!$F:$F,
MATCH($A59,貸出記録!$A:$A,0))
),""))</f>
        <v/>
      </c>
    </row>
    <row r="60" spans="1:6" ht="15.6">
      <c r="A60" s="34" t="str">
        <f t="array" ref="A60">IFERROR(
INDEX(貸出記録!$A$2:$A$5000,
SMALL(
IF(貸出記録!$E$2:$E$5000="",
ROW(貸出記録!$A$2:$A$5000)-ROW(貸出記録!$A$2)+1),
ROW(A59)
)
),
"")</f>
        <v>BT-0059</v>
      </c>
      <c r="B60" s="34" t="str">
        <f t="array" ref="B60">IF($A60="","",
IFERROR(IF(INDEX(貸出記録!$B$2:$B$5000,
MATCH($A60,貸出記録!$A$2:$A$5000,0))="","",
INDEX(貸出記録!$B$2:$B$5000,
MATCH($A60,貸出記録!$A$2:$A$5000,0))
),""))</f>
        <v/>
      </c>
      <c r="C60" s="34" t="str">
        <f t="array" ref="C60">IF($A60="","",
IFERROR(IF(INDEX(貸出記録!$C$2:$C$5000,
MATCH($A60,貸出記録!$A$2:$A$5000,0))="","",
INDEX(貸出記録!$C$2:$C$5000,
MATCH($A60,貸出記録!$A$2:$A$5000,0))
),""))</f>
        <v/>
      </c>
      <c r="D60" s="34" t="str">
        <f t="array" ref="D60">IF($A60="","",
IFERROR(IF(INDEX(貸出記録!$D:$D,
MATCH($A60,貸出記録!$A:$A,0))="","",
INDEX(貸出記録!$D:$D,
MATCH($A60,貸出記録!$A:$A,0))
),""))</f>
        <v/>
      </c>
      <c r="E60" s="34" t="str">
        <f t="array" aca="1" ref="E60" ca="1">IF(D60="","",TODAY()-D60&amp;"日")</f>
        <v/>
      </c>
      <c r="F60" s="34" t="str">
        <f t="array" ref="F60">IF($A60="","",
IFERROR(IF(INDEX(貸出記録!$F:$F,
MATCH($A60,貸出記録!$A:$A,0))="","",
INDEX(貸出記録!$F:$F,
MATCH($A60,貸出記録!$A:$A,0))
),""))</f>
        <v/>
      </c>
    </row>
    <row r="61" spans="1:6" ht="15.6">
      <c r="A61" s="34" t="str">
        <f t="array" ref="A61">IFERROR(
INDEX(貸出記録!$A$2:$A$5000,
SMALL(
IF(貸出記録!$E$2:$E$5000="",
ROW(貸出記録!$A$2:$A$5000)-ROW(貸出記録!$A$2)+1),
ROW(A60)
)
),
"")</f>
        <v>BT-0060</v>
      </c>
      <c r="B61" s="34" t="str">
        <f t="array" ref="B61">IF($A61="","",
IFERROR(IF(INDEX(貸出記録!$B$2:$B$5000,
MATCH($A61,貸出記録!$A$2:$A$5000,0))="","",
INDEX(貸出記録!$B$2:$B$5000,
MATCH($A61,貸出記録!$A$2:$A$5000,0))
),""))</f>
        <v/>
      </c>
      <c r="C61" s="34" t="str">
        <f t="array" ref="C61">IF($A61="","",
IFERROR(IF(INDEX(貸出記録!$C$2:$C$5000,
MATCH($A61,貸出記録!$A$2:$A$5000,0))="","",
INDEX(貸出記録!$C$2:$C$5000,
MATCH($A61,貸出記録!$A$2:$A$5000,0))
),""))</f>
        <v/>
      </c>
      <c r="D61" s="34" t="str">
        <f t="array" ref="D61">IF($A61="","",
IFERROR(IF(INDEX(貸出記録!$D:$D,
MATCH($A61,貸出記録!$A:$A,0))="","",
INDEX(貸出記録!$D:$D,
MATCH($A61,貸出記録!$A:$A,0))
),""))</f>
        <v/>
      </c>
      <c r="E61" s="34" t="str">
        <f t="array" aca="1" ref="E61" ca="1">IF(D61="","",TODAY()-D61&amp;"日")</f>
        <v/>
      </c>
      <c r="F61" s="34" t="str">
        <f t="array" ref="F61">IF($A61="","",
IFERROR(IF(INDEX(貸出記録!$F:$F,
MATCH($A61,貸出記録!$A:$A,0))="","",
INDEX(貸出記録!$F:$F,
MATCH($A61,貸出記録!$A:$A,0))
),""))</f>
        <v/>
      </c>
    </row>
    <row r="62" spans="1:6" ht="15.6">
      <c r="A62" s="34" t="str">
        <f t="array" ref="A62">IFERROR(
INDEX(貸出記録!$A$2:$A$5000,
SMALL(
IF(貸出記録!$E$2:$E$5000="",
ROW(貸出記録!$A$2:$A$5000)-ROW(貸出記録!$A$2)+1),
ROW(A61)
)
),
"")</f>
        <v>BT-0061</v>
      </c>
      <c r="B62" s="34" t="str">
        <f t="array" ref="B62">IF($A62="","",
IFERROR(IF(INDEX(貸出記録!$B$2:$B$5000,
MATCH($A62,貸出記録!$A$2:$A$5000,0))="","",
INDEX(貸出記録!$B$2:$B$5000,
MATCH($A62,貸出記録!$A$2:$A$5000,0))
),""))</f>
        <v/>
      </c>
      <c r="C62" s="34" t="str">
        <f t="array" ref="C62">IF($A62="","",
IFERROR(IF(INDEX(貸出記録!$C$2:$C$5000,
MATCH($A62,貸出記録!$A$2:$A$5000,0))="","",
INDEX(貸出記録!$C$2:$C$5000,
MATCH($A62,貸出記録!$A$2:$A$5000,0))
),""))</f>
        <v/>
      </c>
      <c r="D62" s="34" t="str">
        <f t="array" ref="D62">IF($A62="","",
IFERROR(IF(INDEX(貸出記録!$D:$D,
MATCH($A62,貸出記録!$A:$A,0))="","",
INDEX(貸出記録!$D:$D,
MATCH($A62,貸出記録!$A:$A,0))
),""))</f>
        <v/>
      </c>
      <c r="E62" s="34" t="str">
        <f t="array" aca="1" ref="E62" ca="1">IF(D62="","",TODAY()-D62&amp;"日")</f>
        <v/>
      </c>
      <c r="F62" s="34" t="str">
        <f t="array" ref="F62">IF($A62="","",
IFERROR(IF(INDEX(貸出記録!$F:$F,
MATCH($A62,貸出記録!$A:$A,0))="","",
INDEX(貸出記録!$F:$F,
MATCH($A62,貸出記録!$A:$A,0))
),""))</f>
        <v/>
      </c>
    </row>
    <row r="63" spans="1:6" ht="15.6">
      <c r="A63" s="34" t="str">
        <f t="array" ref="A63">IFERROR(
INDEX(貸出記録!$A$2:$A$5000,
SMALL(
IF(貸出記録!$E$2:$E$5000="",
ROW(貸出記録!$A$2:$A$5000)-ROW(貸出記録!$A$2)+1),
ROW(A62)
)
),
"")</f>
        <v>BT-0062</v>
      </c>
      <c r="B63" s="34" t="str">
        <f t="array" ref="B63">IF($A63="","",
IFERROR(IF(INDEX(貸出記録!$B$2:$B$5000,
MATCH($A63,貸出記録!$A$2:$A$5000,0))="","",
INDEX(貸出記録!$B$2:$B$5000,
MATCH($A63,貸出記録!$A$2:$A$5000,0))
),""))</f>
        <v/>
      </c>
      <c r="C63" s="34" t="str">
        <f t="array" ref="C63">IF($A63="","",
IFERROR(IF(INDEX(貸出記録!$C$2:$C$5000,
MATCH($A63,貸出記録!$A$2:$A$5000,0))="","",
INDEX(貸出記録!$C$2:$C$5000,
MATCH($A63,貸出記録!$A$2:$A$5000,0))
),""))</f>
        <v/>
      </c>
      <c r="D63" s="34" t="str">
        <f t="array" ref="D63">IF($A63="","",
IFERROR(IF(INDEX(貸出記録!$D:$D,
MATCH($A63,貸出記録!$A:$A,0))="","",
INDEX(貸出記録!$D:$D,
MATCH($A63,貸出記録!$A:$A,0))
),""))</f>
        <v/>
      </c>
      <c r="E63" s="34" t="str">
        <f t="array" aca="1" ref="E63" ca="1">IF(D63="","",TODAY()-D63&amp;"日")</f>
        <v/>
      </c>
      <c r="F63" s="34" t="str">
        <f t="array" ref="F63">IF($A63="","",
IFERROR(IF(INDEX(貸出記録!$F:$F,
MATCH($A63,貸出記録!$A:$A,0))="","",
INDEX(貸出記録!$F:$F,
MATCH($A63,貸出記録!$A:$A,0))
),""))</f>
        <v/>
      </c>
    </row>
    <row r="64" spans="1:6" ht="15.6">
      <c r="A64" s="34" t="str">
        <f t="array" ref="A64">IFERROR(
INDEX(貸出記録!$A$2:$A$5000,
SMALL(
IF(貸出記録!$E$2:$E$5000="",
ROW(貸出記録!$A$2:$A$5000)-ROW(貸出記録!$A$2)+1),
ROW(A63)
)
),
"")</f>
        <v>BT-0063</v>
      </c>
      <c r="B64" s="34" t="str">
        <f t="array" ref="B64">IF($A64="","",
IFERROR(IF(INDEX(貸出記録!$B$2:$B$5000,
MATCH($A64,貸出記録!$A$2:$A$5000,0))="","",
INDEX(貸出記録!$B$2:$B$5000,
MATCH($A64,貸出記録!$A$2:$A$5000,0))
),""))</f>
        <v/>
      </c>
      <c r="C64" s="34" t="str">
        <f t="array" ref="C64">IF($A64="","",
IFERROR(IF(INDEX(貸出記録!$C$2:$C$5000,
MATCH($A64,貸出記録!$A$2:$A$5000,0))="","",
INDEX(貸出記録!$C$2:$C$5000,
MATCH($A64,貸出記録!$A$2:$A$5000,0))
),""))</f>
        <v/>
      </c>
      <c r="D64" s="34" t="str">
        <f t="array" ref="D64">IF($A64="","",
IFERROR(IF(INDEX(貸出記録!$D:$D,
MATCH($A64,貸出記録!$A:$A,0))="","",
INDEX(貸出記録!$D:$D,
MATCH($A64,貸出記録!$A:$A,0))
),""))</f>
        <v/>
      </c>
      <c r="E64" s="34" t="str">
        <f t="array" aca="1" ref="E64" ca="1">IF(D64="","",TODAY()-D64&amp;"日")</f>
        <v/>
      </c>
      <c r="F64" s="34" t="str">
        <f t="array" ref="F64">IF($A64="","",
IFERROR(IF(INDEX(貸出記録!$F:$F,
MATCH($A64,貸出記録!$A:$A,0))="","",
INDEX(貸出記録!$F:$F,
MATCH($A64,貸出記録!$A:$A,0))
),""))</f>
        <v/>
      </c>
    </row>
    <row r="65" spans="1:6" ht="15.6">
      <c r="A65" s="34" t="str">
        <f t="array" ref="A65">IFERROR(
INDEX(貸出記録!$A$2:$A$5000,
SMALL(
IF(貸出記録!$E$2:$E$5000="",
ROW(貸出記録!$A$2:$A$5000)-ROW(貸出記録!$A$2)+1),
ROW(A64)
)
),
"")</f>
        <v>BT-0064</v>
      </c>
      <c r="B65" s="34" t="str">
        <f t="array" ref="B65">IF($A65="","",
IFERROR(IF(INDEX(貸出記録!$B$2:$B$5000,
MATCH($A65,貸出記録!$A$2:$A$5000,0))="","",
INDEX(貸出記録!$B$2:$B$5000,
MATCH($A65,貸出記録!$A$2:$A$5000,0))
),""))</f>
        <v/>
      </c>
      <c r="C65" s="34" t="str">
        <f t="array" ref="C65">IF($A65="","",
IFERROR(IF(INDEX(貸出記録!$C$2:$C$5000,
MATCH($A65,貸出記録!$A$2:$A$5000,0))="","",
INDEX(貸出記録!$C$2:$C$5000,
MATCH($A65,貸出記録!$A$2:$A$5000,0))
),""))</f>
        <v/>
      </c>
      <c r="D65" s="34" t="str">
        <f t="array" ref="D65">IF($A65="","",
IFERROR(IF(INDEX(貸出記録!$D:$D,
MATCH($A65,貸出記録!$A:$A,0))="","",
INDEX(貸出記録!$D:$D,
MATCH($A65,貸出記録!$A:$A,0))
),""))</f>
        <v/>
      </c>
      <c r="E65" s="34" t="str">
        <f t="array" aca="1" ref="E65" ca="1">IF(D65="","",TODAY()-D65&amp;"日")</f>
        <v/>
      </c>
      <c r="F65" s="34" t="str">
        <f t="array" ref="F65">IF($A65="","",
IFERROR(IF(INDEX(貸出記録!$F:$F,
MATCH($A65,貸出記録!$A:$A,0))="","",
INDEX(貸出記録!$F:$F,
MATCH($A65,貸出記録!$A:$A,0))
),""))</f>
        <v/>
      </c>
    </row>
    <row r="66" spans="1:6" ht="15.6">
      <c r="A66" s="34" t="str">
        <f t="array" ref="A66">IFERROR(
INDEX(貸出記録!$A$2:$A$5000,
SMALL(
IF(貸出記録!$E$2:$E$5000="",
ROW(貸出記録!$A$2:$A$5000)-ROW(貸出記録!$A$2)+1),
ROW(A65)
)
),
"")</f>
        <v>BT-0065</v>
      </c>
      <c r="B66" s="34" t="str">
        <f t="array" ref="B66">IF($A66="","",
IFERROR(IF(INDEX(貸出記録!$B$2:$B$5000,
MATCH($A66,貸出記録!$A$2:$A$5000,0))="","",
INDEX(貸出記録!$B$2:$B$5000,
MATCH($A66,貸出記録!$A$2:$A$5000,0))
),""))</f>
        <v/>
      </c>
      <c r="C66" s="34" t="str">
        <f t="array" ref="C66">IF($A66="","",
IFERROR(IF(INDEX(貸出記録!$C$2:$C$5000,
MATCH($A66,貸出記録!$A$2:$A$5000,0))="","",
INDEX(貸出記録!$C$2:$C$5000,
MATCH($A66,貸出記録!$A$2:$A$5000,0))
),""))</f>
        <v/>
      </c>
      <c r="D66" s="34" t="str">
        <f t="array" ref="D66">IF($A66="","",
IFERROR(IF(INDEX(貸出記録!$D:$D,
MATCH($A66,貸出記録!$A:$A,0))="","",
INDEX(貸出記録!$D:$D,
MATCH($A66,貸出記録!$A:$A,0))
),""))</f>
        <v/>
      </c>
      <c r="E66" s="34" t="str">
        <f t="array" aca="1" ref="E66" ca="1">IF(D66="","",TODAY()-D66&amp;"日")</f>
        <v/>
      </c>
      <c r="F66" s="34" t="str">
        <f t="array" ref="F66">IF($A66="","",
IFERROR(IF(INDEX(貸出記録!$F:$F,
MATCH($A66,貸出記録!$A:$A,0))="","",
INDEX(貸出記録!$F:$F,
MATCH($A66,貸出記録!$A:$A,0))
),""))</f>
        <v/>
      </c>
    </row>
    <row r="67" spans="1:6" ht="15.6">
      <c r="A67" s="34" t="str">
        <f t="array" ref="A67">IFERROR(
INDEX(貸出記録!$A$2:$A$5000,
SMALL(
IF(貸出記録!$E$2:$E$5000="",
ROW(貸出記録!$A$2:$A$5000)-ROW(貸出記録!$A$2)+1),
ROW(A66)
)
),
"")</f>
        <v>BT-0066</v>
      </c>
      <c r="B67" s="34" t="str">
        <f t="array" ref="B67">IF($A67="","",
IFERROR(IF(INDEX(貸出記録!$B$2:$B$5000,
MATCH($A67,貸出記録!$A$2:$A$5000,0))="","",
INDEX(貸出記録!$B$2:$B$5000,
MATCH($A67,貸出記録!$A$2:$A$5000,0))
),""))</f>
        <v/>
      </c>
      <c r="C67" s="34" t="str">
        <f t="array" ref="C67">IF($A67="","",
IFERROR(IF(INDEX(貸出記録!$C$2:$C$5000,
MATCH($A67,貸出記録!$A$2:$A$5000,0))="","",
INDEX(貸出記録!$C$2:$C$5000,
MATCH($A67,貸出記録!$A$2:$A$5000,0))
),""))</f>
        <v/>
      </c>
      <c r="D67" s="34" t="str">
        <f t="array" ref="D67">IF($A67="","",
IFERROR(IF(INDEX(貸出記録!$D:$D,
MATCH($A67,貸出記録!$A:$A,0))="","",
INDEX(貸出記録!$D:$D,
MATCH($A67,貸出記録!$A:$A,0))
),""))</f>
        <v/>
      </c>
      <c r="E67" s="34" t="str">
        <f t="array" aca="1" ref="E67" ca="1">IF(D67="","",TODAY()-D67&amp;"日")</f>
        <v/>
      </c>
      <c r="F67" s="34" t="str">
        <f t="array" ref="F67">IF($A67="","",
IFERROR(IF(INDEX(貸出記録!$F:$F,
MATCH($A67,貸出記録!$A:$A,0))="","",
INDEX(貸出記録!$F:$F,
MATCH($A67,貸出記録!$A:$A,0))
),""))</f>
        <v/>
      </c>
    </row>
    <row r="68" spans="1:6" ht="15.6">
      <c r="A68" s="34" t="str">
        <f t="array" ref="A68">IFERROR(
INDEX(貸出記録!$A$2:$A$5000,
SMALL(
IF(貸出記録!$E$2:$E$5000="",
ROW(貸出記録!$A$2:$A$5000)-ROW(貸出記録!$A$2)+1),
ROW(A67)
)
),
"")</f>
        <v>BT-0067</v>
      </c>
      <c r="B68" s="34" t="str">
        <f t="array" ref="B68">IF($A68="","",
IFERROR(IF(INDEX(貸出記録!$B$2:$B$5000,
MATCH($A68,貸出記録!$A$2:$A$5000,0))="","",
INDEX(貸出記録!$B$2:$B$5000,
MATCH($A68,貸出記録!$A$2:$A$5000,0))
),""))</f>
        <v/>
      </c>
      <c r="C68" s="34" t="str">
        <f t="array" ref="C68">IF($A68="","",
IFERROR(IF(INDEX(貸出記録!$C$2:$C$5000,
MATCH($A68,貸出記録!$A$2:$A$5000,0))="","",
INDEX(貸出記録!$C$2:$C$5000,
MATCH($A68,貸出記録!$A$2:$A$5000,0))
),""))</f>
        <v/>
      </c>
      <c r="D68" s="34" t="str">
        <f t="array" ref="D68">IF($A68="","",
IFERROR(IF(INDEX(貸出記録!$D:$D,
MATCH($A68,貸出記録!$A:$A,0))="","",
INDEX(貸出記録!$D:$D,
MATCH($A68,貸出記録!$A:$A,0))
),""))</f>
        <v/>
      </c>
      <c r="E68" s="34" t="str">
        <f t="array" aca="1" ref="E68" ca="1">IF(D68="","",TODAY()-D68&amp;"日")</f>
        <v/>
      </c>
      <c r="F68" s="34" t="str">
        <f t="array" ref="F68">IF($A68="","",
IFERROR(IF(INDEX(貸出記録!$F:$F,
MATCH($A68,貸出記録!$A:$A,0))="","",
INDEX(貸出記録!$F:$F,
MATCH($A68,貸出記録!$A:$A,0))
),""))</f>
        <v/>
      </c>
    </row>
    <row r="69" spans="1:6" ht="15.6">
      <c r="A69" s="34" t="str">
        <f t="array" ref="A69">IFERROR(
INDEX(貸出記録!$A$2:$A$5000,
SMALL(
IF(貸出記録!$E$2:$E$5000="",
ROW(貸出記録!$A$2:$A$5000)-ROW(貸出記録!$A$2)+1),
ROW(A68)
)
),
"")</f>
        <v>BT-0068</v>
      </c>
      <c r="B69" s="34" t="str">
        <f t="array" ref="B69">IF($A69="","",
IFERROR(IF(INDEX(貸出記録!$B$2:$B$5000,
MATCH($A69,貸出記録!$A$2:$A$5000,0))="","",
INDEX(貸出記録!$B$2:$B$5000,
MATCH($A69,貸出記録!$A$2:$A$5000,0))
),""))</f>
        <v/>
      </c>
      <c r="C69" s="34" t="str">
        <f t="array" ref="C69">IF($A69="","",
IFERROR(IF(INDEX(貸出記録!$C$2:$C$5000,
MATCH($A69,貸出記録!$A$2:$A$5000,0))="","",
INDEX(貸出記録!$C$2:$C$5000,
MATCH($A69,貸出記録!$A$2:$A$5000,0))
),""))</f>
        <v/>
      </c>
      <c r="D69" s="34" t="str">
        <f t="array" ref="D69">IF($A69="","",
IFERROR(IF(INDEX(貸出記録!$D:$D,
MATCH($A69,貸出記録!$A:$A,0))="","",
INDEX(貸出記録!$D:$D,
MATCH($A69,貸出記録!$A:$A,0))
),""))</f>
        <v/>
      </c>
      <c r="E69" s="34" t="str">
        <f t="array" aca="1" ref="E69" ca="1">IF(D69="","",TODAY()-D69&amp;"日")</f>
        <v/>
      </c>
      <c r="F69" s="34" t="str">
        <f t="array" ref="F69">IF($A69="","",
IFERROR(IF(INDEX(貸出記録!$F:$F,
MATCH($A69,貸出記録!$A:$A,0))="","",
INDEX(貸出記録!$F:$F,
MATCH($A69,貸出記録!$A:$A,0))
),""))</f>
        <v/>
      </c>
    </row>
    <row r="70" spans="1:6" ht="15.6">
      <c r="A70" s="34" t="str">
        <f t="array" ref="A70">IFERROR(
INDEX(貸出記録!$A$2:$A$5000,
SMALL(
IF(貸出記録!$E$2:$E$5000="",
ROW(貸出記録!$A$2:$A$5000)-ROW(貸出記録!$A$2)+1),
ROW(A69)
)
),
"")</f>
        <v>BT-0069</v>
      </c>
      <c r="B70" s="34" t="str">
        <f t="array" ref="B70">IF($A70="","",
IFERROR(IF(INDEX(貸出記録!$B$2:$B$5000,
MATCH($A70,貸出記録!$A$2:$A$5000,0))="","",
INDEX(貸出記録!$B$2:$B$5000,
MATCH($A70,貸出記録!$A$2:$A$5000,0))
),""))</f>
        <v/>
      </c>
      <c r="C70" s="34" t="str">
        <f t="array" ref="C70">IF($A70="","",
IFERROR(IF(INDEX(貸出記録!$C$2:$C$5000,
MATCH($A70,貸出記録!$A$2:$A$5000,0))="","",
INDEX(貸出記録!$C$2:$C$5000,
MATCH($A70,貸出記録!$A$2:$A$5000,0))
),""))</f>
        <v/>
      </c>
      <c r="D70" s="34" t="str">
        <f t="array" ref="D70">IF($A70="","",
IFERROR(IF(INDEX(貸出記録!$D:$D,
MATCH($A70,貸出記録!$A:$A,0))="","",
INDEX(貸出記録!$D:$D,
MATCH($A70,貸出記録!$A:$A,0))
),""))</f>
        <v/>
      </c>
      <c r="E70" s="34" t="str">
        <f t="array" aca="1" ref="E70" ca="1">IF(D70="","",TODAY()-D70&amp;"日")</f>
        <v/>
      </c>
      <c r="F70" s="34" t="str">
        <f t="array" ref="F70">IF($A70="","",
IFERROR(IF(INDEX(貸出記録!$F:$F,
MATCH($A70,貸出記録!$A:$A,0))="","",
INDEX(貸出記録!$F:$F,
MATCH($A70,貸出記録!$A:$A,0))
),""))</f>
        <v/>
      </c>
    </row>
    <row r="71" spans="1:6" ht="15.6">
      <c r="A71" s="34" t="str">
        <f t="array" ref="A71">IFERROR(
INDEX(貸出記録!$A$2:$A$5000,
SMALL(
IF(貸出記録!$E$2:$E$5000="",
ROW(貸出記録!$A$2:$A$5000)-ROW(貸出記録!$A$2)+1),
ROW(A70)
)
),
"")</f>
        <v>BT-0070</v>
      </c>
      <c r="B71" s="34" t="str">
        <f t="array" ref="B71">IF($A71="","",
IFERROR(IF(INDEX(貸出記録!$B$2:$B$5000,
MATCH($A71,貸出記録!$A$2:$A$5000,0))="","",
INDEX(貸出記録!$B$2:$B$5000,
MATCH($A71,貸出記録!$A$2:$A$5000,0))
),""))</f>
        <v/>
      </c>
      <c r="C71" s="34" t="str">
        <f t="array" ref="C71">IF($A71="","",
IFERROR(IF(INDEX(貸出記録!$C$2:$C$5000,
MATCH($A71,貸出記録!$A$2:$A$5000,0))="","",
INDEX(貸出記録!$C$2:$C$5000,
MATCH($A71,貸出記録!$A$2:$A$5000,0))
),""))</f>
        <v/>
      </c>
      <c r="D71" s="34" t="str">
        <f t="array" ref="D71">IF($A71="","",
IFERROR(IF(INDEX(貸出記録!$D:$D,
MATCH($A71,貸出記録!$A:$A,0))="","",
INDEX(貸出記録!$D:$D,
MATCH($A71,貸出記録!$A:$A,0))
),""))</f>
        <v/>
      </c>
      <c r="E71" s="34" t="str">
        <f t="array" aca="1" ref="E71" ca="1">IF(D71="","",TODAY()-D71&amp;"日")</f>
        <v/>
      </c>
      <c r="F71" s="34" t="str">
        <f t="array" ref="F71">IF($A71="","",
IFERROR(IF(INDEX(貸出記録!$F:$F,
MATCH($A71,貸出記録!$A:$A,0))="","",
INDEX(貸出記録!$F:$F,
MATCH($A71,貸出記録!$A:$A,0))
),""))</f>
        <v/>
      </c>
    </row>
    <row r="72" spans="1:6" ht="15.6">
      <c r="A72" s="34" t="str">
        <f t="array" ref="A72">IFERROR(
INDEX(貸出記録!$A$2:$A$5000,
SMALL(
IF(貸出記録!$E$2:$E$5000="",
ROW(貸出記録!$A$2:$A$5000)-ROW(貸出記録!$A$2)+1),
ROW(A71)
)
),
"")</f>
        <v>BT-0071</v>
      </c>
      <c r="B72" s="34" t="str">
        <f t="array" ref="B72">IF($A72="","",
IFERROR(IF(INDEX(貸出記録!$B$2:$B$5000,
MATCH($A72,貸出記録!$A$2:$A$5000,0))="","",
INDEX(貸出記録!$B$2:$B$5000,
MATCH($A72,貸出記録!$A$2:$A$5000,0))
),""))</f>
        <v/>
      </c>
      <c r="C72" s="34" t="str">
        <f t="array" ref="C72">IF($A72="","",
IFERROR(IF(INDEX(貸出記録!$C$2:$C$5000,
MATCH($A72,貸出記録!$A$2:$A$5000,0))="","",
INDEX(貸出記録!$C$2:$C$5000,
MATCH($A72,貸出記録!$A$2:$A$5000,0))
),""))</f>
        <v/>
      </c>
      <c r="D72" s="34" t="str">
        <f t="array" ref="D72">IF($A72="","",
IFERROR(IF(INDEX(貸出記録!$D:$D,
MATCH($A72,貸出記録!$A:$A,0))="","",
INDEX(貸出記録!$D:$D,
MATCH($A72,貸出記録!$A:$A,0))
),""))</f>
        <v/>
      </c>
      <c r="E72" s="34" t="str">
        <f t="array" aca="1" ref="E72" ca="1">IF(D72="","",TODAY()-D72&amp;"日")</f>
        <v/>
      </c>
      <c r="F72" s="34" t="str">
        <f t="array" ref="F72">IF($A72="","",
IFERROR(IF(INDEX(貸出記録!$F:$F,
MATCH($A72,貸出記録!$A:$A,0))="","",
INDEX(貸出記録!$F:$F,
MATCH($A72,貸出記録!$A:$A,0))
),""))</f>
        <v/>
      </c>
    </row>
    <row r="73" spans="1:6" ht="15.6">
      <c r="A73" s="34" t="str">
        <f t="array" ref="A73">IFERROR(
INDEX(貸出記録!$A$2:$A$5000,
SMALL(
IF(貸出記録!$E$2:$E$5000="",
ROW(貸出記録!$A$2:$A$5000)-ROW(貸出記録!$A$2)+1),
ROW(A72)
)
),
"")</f>
        <v>BT-0072</v>
      </c>
      <c r="B73" s="34" t="str">
        <f t="array" ref="B73">IF($A73="","",
IFERROR(IF(INDEX(貸出記録!$B$2:$B$5000,
MATCH($A73,貸出記録!$A$2:$A$5000,0))="","",
INDEX(貸出記録!$B$2:$B$5000,
MATCH($A73,貸出記録!$A$2:$A$5000,0))
),""))</f>
        <v/>
      </c>
      <c r="C73" s="34" t="str">
        <f t="array" ref="C73">IF($A73="","",
IFERROR(IF(INDEX(貸出記録!$C$2:$C$5000,
MATCH($A73,貸出記録!$A$2:$A$5000,0))="","",
INDEX(貸出記録!$C$2:$C$5000,
MATCH($A73,貸出記録!$A$2:$A$5000,0))
),""))</f>
        <v/>
      </c>
      <c r="D73" s="34" t="str">
        <f t="array" ref="D73">IF($A73="","",
IFERROR(IF(INDEX(貸出記録!$D:$D,
MATCH($A73,貸出記録!$A:$A,0))="","",
INDEX(貸出記録!$D:$D,
MATCH($A73,貸出記録!$A:$A,0))
),""))</f>
        <v/>
      </c>
      <c r="E73" s="34" t="str">
        <f t="array" aca="1" ref="E73" ca="1">IF(D73="","",TODAY()-D73&amp;"日")</f>
        <v/>
      </c>
      <c r="F73" s="34" t="str">
        <f t="array" ref="F73">IF($A73="","",
IFERROR(IF(INDEX(貸出記録!$F:$F,
MATCH($A73,貸出記録!$A:$A,0))="","",
INDEX(貸出記録!$F:$F,
MATCH($A73,貸出記録!$A:$A,0))
),""))</f>
        <v/>
      </c>
    </row>
    <row r="74" spans="1:6" ht="15.6">
      <c r="A74" s="34" t="str">
        <f t="array" ref="A74">IFERROR(
INDEX(貸出記録!$A$2:$A$5000,
SMALL(
IF(貸出記録!$E$2:$E$5000="",
ROW(貸出記録!$A$2:$A$5000)-ROW(貸出記録!$A$2)+1),
ROW(A73)
)
),
"")</f>
        <v>BT-0073</v>
      </c>
      <c r="B74" s="34" t="str">
        <f t="array" ref="B74">IF($A74="","",
IFERROR(IF(INDEX(貸出記録!$B$2:$B$5000,
MATCH($A74,貸出記録!$A$2:$A$5000,0))="","",
INDEX(貸出記録!$B$2:$B$5000,
MATCH($A74,貸出記録!$A$2:$A$5000,0))
),""))</f>
        <v/>
      </c>
      <c r="C74" s="34" t="str">
        <f t="array" ref="C74">IF($A74="","",
IFERROR(IF(INDEX(貸出記録!$C$2:$C$5000,
MATCH($A74,貸出記録!$A$2:$A$5000,0))="","",
INDEX(貸出記録!$C$2:$C$5000,
MATCH($A74,貸出記録!$A$2:$A$5000,0))
),""))</f>
        <v/>
      </c>
      <c r="D74" s="34" t="str">
        <f t="array" ref="D74">IF($A74="","",
IFERROR(IF(INDEX(貸出記録!$D:$D,
MATCH($A74,貸出記録!$A:$A,0))="","",
INDEX(貸出記録!$D:$D,
MATCH($A74,貸出記録!$A:$A,0))
),""))</f>
        <v/>
      </c>
      <c r="E74" s="34" t="str">
        <f t="array" aca="1" ref="E74" ca="1">IF(D74="","",TODAY()-D74&amp;"日")</f>
        <v/>
      </c>
      <c r="F74" s="34" t="str">
        <f t="array" ref="F74">IF($A74="","",
IFERROR(IF(INDEX(貸出記録!$F:$F,
MATCH($A74,貸出記録!$A:$A,0))="","",
INDEX(貸出記録!$F:$F,
MATCH($A74,貸出記録!$A:$A,0))
),""))</f>
        <v/>
      </c>
    </row>
    <row r="75" spans="1:6" ht="15.6">
      <c r="A75" s="34" t="str">
        <f t="array" ref="A75">IFERROR(
INDEX(貸出記録!$A$2:$A$5000,
SMALL(
IF(貸出記録!$E$2:$E$5000="",
ROW(貸出記録!$A$2:$A$5000)-ROW(貸出記録!$A$2)+1),
ROW(A74)
)
),
"")</f>
        <v>BT-0074</v>
      </c>
      <c r="B75" s="34" t="str">
        <f t="array" ref="B75">IF($A75="","",
IFERROR(IF(INDEX(貸出記録!$B$2:$B$5000,
MATCH($A75,貸出記録!$A$2:$A$5000,0))="","",
INDEX(貸出記録!$B$2:$B$5000,
MATCH($A75,貸出記録!$A$2:$A$5000,0))
),""))</f>
        <v/>
      </c>
      <c r="C75" s="34" t="str">
        <f t="array" ref="C75">IF($A75="","",
IFERROR(IF(INDEX(貸出記録!$C$2:$C$5000,
MATCH($A75,貸出記録!$A$2:$A$5000,0))="","",
INDEX(貸出記録!$C$2:$C$5000,
MATCH($A75,貸出記録!$A$2:$A$5000,0))
),""))</f>
        <v/>
      </c>
      <c r="D75" s="34" t="str">
        <f t="array" ref="D75">IF($A75="","",
IFERROR(IF(INDEX(貸出記録!$D:$D,
MATCH($A75,貸出記録!$A:$A,0))="","",
INDEX(貸出記録!$D:$D,
MATCH($A75,貸出記録!$A:$A,0))
),""))</f>
        <v/>
      </c>
      <c r="E75" s="34" t="str">
        <f t="array" aca="1" ref="E75" ca="1">IF(D75="","",TODAY()-D75&amp;"日")</f>
        <v/>
      </c>
      <c r="F75" s="34" t="str">
        <f t="array" ref="F75">IF($A75="","",
IFERROR(IF(INDEX(貸出記録!$F:$F,
MATCH($A75,貸出記録!$A:$A,0))="","",
INDEX(貸出記録!$F:$F,
MATCH($A75,貸出記録!$A:$A,0))
),""))</f>
        <v/>
      </c>
    </row>
    <row r="76" spans="1:6" ht="15.6">
      <c r="A76" s="34" t="str">
        <f t="array" ref="A76">IFERROR(
INDEX(貸出記録!$A$2:$A$5000,
SMALL(
IF(貸出記録!$E$2:$E$5000="",
ROW(貸出記録!$A$2:$A$5000)-ROW(貸出記録!$A$2)+1),
ROW(A75)
)
),
"")</f>
        <v>BT-0075</v>
      </c>
      <c r="B76" s="34" t="str">
        <f t="array" ref="B76">IF($A76="","",
IFERROR(IF(INDEX(貸出記録!$B$2:$B$5000,
MATCH($A76,貸出記録!$A$2:$A$5000,0))="","",
INDEX(貸出記録!$B$2:$B$5000,
MATCH($A76,貸出記録!$A$2:$A$5000,0))
),""))</f>
        <v/>
      </c>
      <c r="C76" s="34" t="str">
        <f t="array" ref="C76">IF($A76="","",
IFERROR(IF(INDEX(貸出記録!$C$2:$C$5000,
MATCH($A76,貸出記録!$A$2:$A$5000,0))="","",
INDEX(貸出記録!$C$2:$C$5000,
MATCH($A76,貸出記録!$A$2:$A$5000,0))
),""))</f>
        <v/>
      </c>
      <c r="D76" s="34" t="str">
        <f t="array" ref="D76">IF($A76="","",
IFERROR(IF(INDEX(貸出記録!$D:$D,
MATCH($A76,貸出記録!$A:$A,0))="","",
INDEX(貸出記録!$D:$D,
MATCH($A76,貸出記録!$A:$A,0))
),""))</f>
        <v/>
      </c>
      <c r="E76" s="34" t="str">
        <f t="array" aca="1" ref="E76" ca="1">IF(D76="","",TODAY()-D76&amp;"日")</f>
        <v/>
      </c>
      <c r="F76" s="34" t="str">
        <f t="array" ref="F76">IF($A76="","",
IFERROR(IF(INDEX(貸出記録!$F:$F,
MATCH($A76,貸出記録!$A:$A,0))="","",
INDEX(貸出記録!$F:$F,
MATCH($A76,貸出記録!$A:$A,0))
),""))</f>
        <v/>
      </c>
    </row>
    <row r="77" spans="1:6" ht="15.6">
      <c r="A77" s="34" t="str">
        <f t="array" ref="A77">IFERROR(
INDEX(貸出記録!$A$2:$A$5000,
SMALL(
IF(貸出記録!$E$2:$E$5000="",
ROW(貸出記録!$A$2:$A$5000)-ROW(貸出記録!$A$2)+1),
ROW(A76)
)
),
"")</f>
        <v>BT-0076</v>
      </c>
      <c r="B77" s="34" t="str">
        <f t="array" ref="B77">IF($A77="","",
IFERROR(IF(INDEX(貸出記録!$B$2:$B$5000,
MATCH($A77,貸出記録!$A$2:$A$5000,0))="","",
INDEX(貸出記録!$B$2:$B$5000,
MATCH($A77,貸出記録!$A$2:$A$5000,0))
),""))</f>
        <v/>
      </c>
      <c r="C77" s="34" t="str">
        <f t="array" ref="C77">IF($A77="","",
IFERROR(IF(INDEX(貸出記録!$C$2:$C$5000,
MATCH($A77,貸出記録!$A$2:$A$5000,0))="","",
INDEX(貸出記録!$C$2:$C$5000,
MATCH($A77,貸出記録!$A$2:$A$5000,0))
),""))</f>
        <v/>
      </c>
      <c r="D77" s="34" t="str">
        <f t="array" ref="D77">IF($A77="","",
IFERROR(IF(INDEX(貸出記録!$D:$D,
MATCH($A77,貸出記録!$A:$A,0))="","",
INDEX(貸出記録!$D:$D,
MATCH($A77,貸出記録!$A:$A,0))
),""))</f>
        <v/>
      </c>
      <c r="E77" s="34" t="str">
        <f t="array" aca="1" ref="E77" ca="1">IF(D77="","",TODAY()-D77&amp;"日")</f>
        <v/>
      </c>
      <c r="F77" s="34" t="str">
        <f t="array" ref="F77">IF($A77="","",
IFERROR(IF(INDEX(貸出記録!$F:$F,
MATCH($A77,貸出記録!$A:$A,0))="","",
INDEX(貸出記録!$F:$F,
MATCH($A77,貸出記録!$A:$A,0))
),""))</f>
        <v/>
      </c>
    </row>
    <row r="78" spans="1:6" ht="15.6">
      <c r="A78" s="34" t="str">
        <f t="array" ref="A78">IFERROR(
INDEX(貸出記録!$A$2:$A$5000,
SMALL(
IF(貸出記録!$E$2:$E$5000="",
ROW(貸出記録!$A$2:$A$5000)-ROW(貸出記録!$A$2)+1),
ROW(A77)
)
),
"")</f>
        <v>BT-0077</v>
      </c>
      <c r="B78" s="34" t="str">
        <f t="array" ref="B78">IF($A78="","",
IFERROR(IF(INDEX(貸出記録!$B$2:$B$5000,
MATCH($A78,貸出記録!$A$2:$A$5000,0))="","",
INDEX(貸出記録!$B$2:$B$5000,
MATCH($A78,貸出記録!$A$2:$A$5000,0))
),""))</f>
        <v/>
      </c>
      <c r="C78" s="34" t="str">
        <f t="array" ref="C78">IF($A78="","",
IFERROR(IF(INDEX(貸出記録!$C$2:$C$5000,
MATCH($A78,貸出記録!$A$2:$A$5000,0))="","",
INDEX(貸出記録!$C$2:$C$5000,
MATCH($A78,貸出記録!$A$2:$A$5000,0))
),""))</f>
        <v/>
      </c>
      <c r="D78" s="34" t="str">
        <f t="array" ref="D78">IF($A78="","",
IFERROR(IF(INDEX(貸出記録!$D:$D,
MATCH($A78,貸出記録!$A:$A,0))="","",
INDEX(貸出記録!$D:$D,
MATCH($A78,貸出記録!$A:$A,0))
),""))</f>
        <v/>
      </c>
      <c r="E78" s="34" t="str">
        <f t="array" aca="1" ref="E78" ca="1">IF(D78="","",TODAY()-D78&amp;"日")</f>
        <v/>
      </c>
      <c r="F78" s="34" t="str">
        <f t="array" ref="F78">IF($A78="","",
IFERROR(IF(INDEX(貸出記録!$F:$F,
MATCH($A78,貸出記録!$A:$A,0))="","",
INDEX(貸出記録!$F:$F,
MATCH($A78,貸出記録!$A:$A,0))
),""))</f>
        <v/>
      </c>
    </row>
    <row r="79" spans="1:6" ht="15.6">
      <c r="A79" s="34" t="str">
        <f t="array" ref="A79">IFERROR(
INDEX(貸出記録!$A$2:$A$5000,
SMALL(
IF(貸出記録!$E$2:$E$5000="",
ROW(貸出記録!$A$2:$A$5000)-ROW(貸出記録!$A$2)+1),
ROW(A78)
)
),
"")</f>
        <v>BT-0078</v>
      </c>
      <c r="B79" s="34" t="str">
        <f t="array" ref="B79">IF($A79="","",
IFERROR(IF(INDEX(貸出記録!$B$2:$B$5000,
MATCH($A79,貸出記録!$A$2:$A$5000,0))="","",
INDEX(貸出記録!$B$2:$B$5000,
MATCH($A79,貸出記録!$A$2:$A$5000,0))
),""))</f>
        <v/>
      </c>
      <c r="C79" s="34" t="str">
        <f t="array" ref="C79">IF($A79="","",
IFERROR(IF(INDEX(貸出記録!$C$2:$C$5000,
MATCH($A79,貸出記録!$A$2:$A$5000,0))="","",
INDEX(貸出記録!$C$2:$C$5000,
MATCH($A79,貸出記録!$A$2:$A$5000,0))
),""))</f>
        <v/>
      </c>
      <c r="D79" s="34" t="str">
        <f t="array" ref="D79">IF($A79="","",
IFERROR(IF(INDEX(貸出記録!$D:$D,
MATCH($A79,貸出記録!$A:$A,0))="","",
INDEX(貸出記録!$D:$D,
MATCH($A79,貸出記録!$A:$A,0))
),""))</f>
        <v/>
      </c>
      <c r="E79" s="34" t="str">
        <f t="array" aca="1" ref="E79" ca="1">IF(D79="","",TODAY()-D79&amp;"日")</f>
        <v/>
      </c>
      <c r="F79" s="34" t="str">
        <f t="array" ref="F79">IF($A79="","",
IFERROR(IF(INDEX(貸出記録!$F:$F,
MATCH($A79,貸出記録!$A:$A,0))="","",
INDEX(貸出記録!$F:$F,
MATCH($A79,貸出記録!$A:$A,0))
),""))</f>
        <v/>
      </c>
    </row>
    <row r="80" spans="1:6" ht="15.6">
      <c r="A80" s="34" t="str">
        <f t="array" ref="A80">IFERROR(
INDEX(貸出記録!$A$2:$A$5000,
SMALL(
IF(貸出記録!$E$2:$E$5000="",
ROW(貸出記録!$A$2:$A$5000)-ROW(貸出記録!$A$2)+1),
ROW(A79)
)
),
"")</f>
        <v>BT-0079</v>
      </c>
      <c r="B80" s="34" t="str">
        <f t="array" ref="B80">IF($A80="","",
IFERROR(IF(INDEX(貸出記録!$B$2:$B$5000,
MATCH($A80,貸出記録!$A$2:$A$5000,0))="","",
INDEX(貸出記録!$B$2:$B$5000,
MATCH($A80,貸出記録!$A$2:$A$5000,0))
),""))</f>
        <v/>
      </c>
      <c r="C80" s="34" t="str">
        <f t="array" ref="C80">IF($A80="","",
IFERROR(IF(INDEX(貸出記録!$C$2:$C$5000,
MATCH($A80,貸出記録!$A$2:$A$5000,0))="","",
INDEX(貸出記録!$C$2:$C$5000,
MATCH($A80,貸出記録!$A$2:$A$5000,0))
),""))</f>
        <v/>
      </c>
      <c r="D80" s="34" t="str">
        <f t="array" ref="D80">IF($A80="","",
IFERROR(IF(INDEX(貸出記録!$D:$D,
MATCH($A80,貸出記録!$A:$A,0))="","",
INDEX(貸出記録!$D:$D,
MATCH($A80,貸出記録!$A:$A,0))
),""))</f>
        <v/>
      </c>
      <c r="E80" s="34" t="str">
        <f t="array" aca="1" ref="E80" ca="1">IF(D80="","",TODAY()-D80&amp;"日")</f>
        <v/>
      </c>
      <c r="F80" s="34" t="str">
        <f t="array" ref="F80">IF($A80="","",
IFERROR(IF(INDEX(貸出記録!$F:$F,
MATCH($A80,貸出記録!$A:$A,0))="","",
INDEX(貸出記録!$F:$F,
MATCH($A80,貸出記録!$A:$A,0))
),""))</f>
        <v/>
      </c>
    </row>
    <row r="81" spans="1:6" ht="15.6">
      <c r="A81" s="34" t="str">
        <f t="array" ref="A81">IFERROR(
INDEX(貸出記録!$A$2:$A$5000,
SMALL(
IF(貸出記録!$E$2:$E$5000="",
ROW(貸出記録!$A$2:$A$5000)-ROW(貸出記録!$A$2)+1),
ROW(A80)
)
),
"")</f>
        <v>BT-0080</v>
      </c>
      <c r="B81" s="34" t="str">
        <f t="array" ref="B81">IF($A81="","",
IFERROR(IF(INDEX(貸出記録!$B$2:$B$5000,
MATCH($A81,貸出記録!$A$2:$A$5000,0))="","",
INDEX(貸出記録!$B$2:$B$5000,
MATCH($A81,貸出記録!$A$2:$A$5000,0))
),""))</f>
        <v/>
      </c>
      <c r="C81" s="34" t="str">
        <f t="array" ref="C81">IF($A81="","",
IFERROR(IF(INDEX(貸出記録!$C$2:$C$5000,
MATCH($A81,貸出記録!$A$2:$A$5000,0))="","",
INDEX(貸出記録!$C$2:$C$5000,
MATCH($A81,貸出記録!$A$2:$A$5000,0))
),""))</f>
        <v/>
      </c>
      <c r="D81" s="34" t="str">
        <f t="array" ref="D81">IF($A81="","",
IFERROR(IF(INDEX(貸出記録!$D:$D,
MATCH($A81,貸出記録!$A:$A,0))="","",
INDEX(貸出記録!$D:$D,
MATCH($A81,貸出記録!$A:$A,0))
),""))</f>
        <v/>
      </c>
      <c r="E81" s="34" t="str">
        <f t="array" aca="1" ref="E81" ca="1">IF(D81="","",TODAY()-D81&amp;"日")</f>
        <v/>
      </c>
      <c r="F81" s="34" t="str">
        <f t="array" ref="F81">IF($A81="","",
IFERROR(IF(INDEX(貸出記録!$F:$F,
MATCH($A81,貸出記録!$A:$A,0))="","",
INDEX(貸出記録!$F:$F,
MATCH($A81,貸出記録!$A:$A,0))
),""))</f>
        <v/>
      </c>
    </row>
    <row r="82" spans="1:6" ht="15.6">
      <c r="A82" s="34" t="str">
        <f t="array" ref="A82">IFERROR(
INDEX(貸出記録!$A$2:$A$5000,
SMALL(
IF(貸出記録!$E$2:$E$5000="",
ROW(貸出記録!$A$2:$A$5000)-ROW(貸出記録!$A$2)+1),
ROW(A81)
)
),
"")</f>
        <v>BT-0081</v>
      </c>
      <c r="B82" s="34" t="str">
        <f t="array" ref="B82">IF($A82="","",
IFERROR(IF(INDEX(貸出記録!$B$2:$B$5000,
MATCH($A82,貸出記録!$A$2:$A$5000,0))="","",
INDEX(貸出記録!$B$2:$B$5000,
MATCH($A82,貸出記録!$A$2:$A$5000,0))
),""))</f>
        <v/>
      </c>
      <c r="C82" s="34" t="str">
        <f t="array" ref="C82">IF($A82="","",
IFERROR(IF(INDEX(貸出記録!$C$2:$C$5000,
MATCH($A82,貸出記録!$A$2:$A$5000,0))="","",
INDEX(貸出記録!$C$2:$C$5000,
MATCH($A82,貸出記録!$A$2:$A$5000,0))
),""))</f>
        <v/>
      </c>
      <c r="D82" s="34" t="str">
        <f t="array" ref="D82">IF($A82="","",
IFERROR(IF(INDEX(貸出記録!$D:$D,
MATCH($A82,貸出記録!$A:$A,0))="","",
INDEX(貸出記録!$D:$D,
MATCH($A82,貸出記録!$A:$A,0))
),""))</f>
        <v/>
      </c>
      <c r="E82" s="34" t="str">
        <f t="array" aca="1" ref="E82" ca="1">IF(D82="","",TODAY()-D82&amp;"日")</f>
        <v/>
      </c>
      <c r="F82" s="34" t="str">
        <f t="array" ref="F82">IF($A82="","",
IFERROR(IF(INDEX(貸出記録!$F:$F,
MATCH($A82,貸出記録!$A:$A,0))="","",
INDEX(貸出記録!$F:$F,
MATCH($A82,貸出記録!$A:$A,0))
),""))</f>
        <v/>
      </c>
    </row>
    <row r="83" spans="1:6" ht="15.6">
      <c r="A83" s="34" t="str">
        <f t="array" ref="A83">IFERROR(
INDEX(貸出記録!$A$2:$A$5000,
SMALL(
IF(貸出記録!$E$2:$E$5000="",
ROW(貸出記録!$A$2:$A$5000)-ROW(貸出記録!$A$2)+1),
ROW(A82)
)
),
"")</f>
        <v>BT-0082</v>
      </c>
      <c r="B83" s="34" t="str">
        <f t="array" ref="B83">IF($A83="","",
IFERROR(IF(INDEX(貸出記録!$B$2:$B$5000,
MATCH($A83,貸出記録!$A$2:$A$5000,0))="","",
INDEX(貸出記録!$B$2:$B$5000,
MATCH($A83,貸出記録!$A$2:$A$5000,0))
),""))</f>
        <v/>
      </c>
      <c r="C83" s="34" t="str">
        <f t="array" ref="C83">IF($A83="","",
IFERROR(IF(INDEX(貸出記録!$C$2:$C$5000,
MATCH($A83,貸出記録!$A$2:$A$5000,0))="","",
INDEX(貸出記録!$C$2:$C$5000,
MATCH($A83,貸出記録!$A$2:$A$5000,0))
),""))</f>
        <v/>
      </c>
      <c r="D83" s="34" t="str">
        <f t="array" ref="D83">IF($A83="","",
IFERROR(IF(INDEX(貸出記録!$D:$D,
MATCH($A83,貸出記録!$A:$A,0))="","",
INDEX(貸出記録!$D:$D,
MATCH($A83,貸出記録!$A:$A,0))
),""))</f>
        <v/>
      </c>
      <c r="E83" s="34" t="str">
        <f t="array" aca="1" ref="E83" ca="1">IF(D83="","",TODAY()-D83&amp;"日")</f>
        <v/>
      </c>
      <c r="F83" s="34" t="str">
        <f t="array" ref="F83">IF($A83="","",
IFERROR(IF(INDEX(貸出記録!$F:$F,
MATCH($A83,貸出記録!$A:$A,0))="","",
INDEX(貸出記録!$F:$F,
MATCH($A83,貸出記録!$A:$A,0))
),""))</f>
        <v/>
      </c>
    </row>
    <row r="84" spans="1:6" ht="15.6">
      <c r="A84" s="34" t="str">
        <f t="array" ref="A84">IFERROR(
INDEX(貸出記録!$A$2:$A$5000,
SMALL(
IF(貸出記録!$E$2:$E$5000="",
ROW(貸出記録!$A$2:$A$5000)-ROW(貸出記録!$A$2)+1),
ROW(A83)
)
),
"")</f>
        <v>BT-0083</v>
      </c>
      <c r="B84" s="34" t="str">
        <f t="array" ref="B84">IF($A84="","",
IFERROR(IF(INDEX(貸出記録!$B$2:$B$5000,
MATCH($A84,貸出記録!$A$2:$A$5000,0))="","",
INDEX(貸出記録!$B$2:$B$5000,
MATCH($A84,貸出記録!$A$2:$A$5000,0))
),""))</f>
        <v/>
      </c>
      <c r="C84" s="34" t="str">
        <f t="array" ref="C84">IF($A84="","",
IFERROR(IF(INDEX(貸出記録!$C$2:$C$5000,
MATCH($A84,貸出記録!$A$2:$A$5000,0))="","",
INDEX(貸出記録!$C$2:$C$5000,
MATCH($A84,貸出記録!$A$2:$A$5000,0))
),""))</f>
        <v/>
      </c>
      <c r="D84" s="34" t="str">
        <f t="array" ref="D84">IF($A84="","",
IFERROR(IF(INDEX(貸出記録!$D:$D,
MATCH($A84,貸出記録!$A:$A,0))="","",
INDEX(貸出記録!$D:$D,
MATCH($A84,貸出記録!$A:$A,0))
),""))</f>
        <v/>
      </c>
      <c r="E84" s="34" t="str">
        <f t="array" aca="1" ref="E84" ca="1">IF(D84="","",TODAY()-D84&amp;"日")</f>
        <v/>
      </c>
      <c r="F84" s="34" t="str">
        <f t="array" ref="F84">IF($A84="","",
IFERROR(IF(INDEX(貸出記録!$F:$F,
MATCH($A84,貸出記録!$A:$A,0))="","",
INDEX(貸出記録!$F:$F,
MATCH($A84,貸出記録!$A:$A,0))
),""))</f>
        <v/>
      </c>
    </row>
    <row r="85" spans="1:6" ht="15.6">
      <c r="A85" s="34" t="str">
        <f t="array" ref="A85">IFERROR(
INDEX(貸出記録!$A$2:$A$5000,
SMALL(
IF(貸出記録!$E$2:$E$5000="",
ROW(貸出記録!$A$2:$A$5000)-ROW(貸出記録!$A$2)+1),
ROW(A84)
)
),
"")</f>
        <v>BT-0084</v>
      </c>
      <c r="B85" s="34" t="str">
        <f t="array" ref="B85">IF($A85="","",
IFERROR(IF(INDEX(貸出記録!$B$2:$B$5000,
MATCH($A85,貸出記録!$A$2:$A$5000,0))="","",
INDEX(貸出記録!$B$2:$B$5000,
MATCH($A85,貸出記録!$A$2:$A$5000,0))
),""))</f>
        <v/>
      </c>
      <c r="C85" s="34" t="str">
        <f t="array" ref="C85">IF($A85="","",
IFERROR(IF(INDEX(貸出記録!$C$2:$C$5000,
MATCH($A85,貸出記録!$A$2:$A$5000,0))="","",
INDEX(貸出記録!$C$2:$C$5000,
MATCH($A85,貸出記録!$A$2:$A$5000,0))
),""))</f>
        <v/>
      </c>
      <c r="D85" s="34" t="str">
        <f t="array" ref="D85">IF($A85="","",
IFERROR(IF(INDEX(貸出記録!$D:$D,
MATCH($A85,貸出記録!$A:$A,0))="","",
INDEX(貸出記録!$D:$D,
MATCH($A85,貸出記録!$A:$A,0))
),""))</f>
        <v/>
      </c>
      <c r="E85" s="34" t="str">
        <f t="array" aca="1" ref="E85" ca="1">IF(D85="","",TODAY()-D85&amp;"日")</f>
        <v/>
      </c>
      <c r="F85" s="34" t="str">
        <f t="array" ref="F85">IF($A85="","",
IFERROR(IF(INDEX(貸出記録!$F:$F,
MATCH($A85,貸出記録!$A:$A,0))="","",
INDEX(貸出記録!$F:$F,
MATCH($A85,貸出記録!$A:$A,0))
),""))</f>
        <v/>
      </c>
    </row>
    <row r="86" spans="1:6" ht="15.6">
      <c r="A86" s="34" t="str">
        <f t="array" ref="A86">IFERROR(
INDEX(貸出記録!$A$2:$A$5000,
SMALL(
IF(貸出記録!$E$2:$E$5000="",
ROW(貸出記録!$A$2:$A$5000)-ROW(貸出記録!$A$2)+1),
ROW(A85)
)
),
"")</f>
        <v>BT-0085</v>
      </c>
      <c r="B86" s="34" t="str">
        <f t="array" ref="B86">IF($A86="","",
IFERROR(IF(INDEX(貸出記録!$B$2:$B$5000,
MATCH($A86,貸出記録!$A$2:$A$5000,0))="","",
INDEX(貸出記録!$B$2:$B$5000,
MATCH($A86,貸出記録!$A$2:$A$5000,0))
),""))</f>
        <v/>
      </c>
      <c r="C86" s="34" t="str">
        <f t="array" ref="C86">IF($A86="","",
IFERROR(IF(INDEX(貸出記録!$C$2:$C$5000,
MATCH($A86,貸出記録!$A$2:$A$5000,0))="","",
INDEX(貸出記録!$C$2:$C$5000,
MATCH($A86,貸出記録!$A$2:$A$5000,0))
),""))</f>
        <v/>
      </c>
      <c r="D86" s="34" t="str">
        <f t="array" ref="D86">IF($A86="","",
IFERROR(IF(INDEX(貸出記録!$D:$D,
MATCH($A86,貸出記録!$A:$A,0))="","",
INDEX(貸出記録!$D:$D,
MATCH($A86,貸出記録!$A:$A,0))
),""))</f>
        <v/>
      </c>
      <c r="E86" s="34" t="str">
        <f t="array" aca="1" ref="E86" ca="1">IF(D86="","",TODAY()-D86&amp;"日")</f>
        <v/>
      </c>
      <c r="F86" s="34" t="str">
        <f t="array" ref="F86">IF($A86="","",
IFERROR(IF(INDEX(貸出記録!$F:$F,
MATCH($A86,貸出記録!$A:$A,0))="","",
INDEX(貸出記録!$F:$F,
MATCH($A86,貸出記録!$A:$A,0))
),""))</f>
        <v/>
      </c>
    </row>
    <row r="87" spans="1:6" ht="15.6">
      <c r="A87" s="34" t="str">
        <f t="array" ref="A87">IFERROR(
INDEX(貸出記録!$A$2:$A$5000,
SMALL(
IF(貸出記録!$E$2:$E$5000="",
ROW(貸出記録!$A$2:$A$5000)-ROW(貸出記録!$A$2)+1),
ROW(A86)
)
),
"")</f>
        <v>BT-0086</v>
      </c>
      <c r="B87" s="34" t="str">
        <f t="array" ref="B87">IF($A87="","",
IFERROR(IF(INDEX(貸出記録!$B$2:$B$5000,
MATCH($A87,貸出記録!$A$2:$A$5000,0))="","",
INDEX(貸出記録!$B$2:$B$5000,
MATCH($A87,貸出記録!$A$2:$A$5000,0))
),""))</f>
        <v/>
      </c>
      <c r="C87" s="34" t="str">
        <f t="array" ref="C87">IF($A87="","",
IFERROR(IF(INDEX(貸出記録!$C$2:$C$5000,
MATCH($A87,貸出記録!$A$2:$A$5000,0))="","",
INDEX(貸出記録!$C$2:$C$5000,
MATCH($A87,貸出記録!$A$2:$A$5000,0))
),""))</f>
        <v/>
      </c>
      <c r="D87" s="34" t="str">
        <f t="array" ref="D87">IF($A87="","",
IFERROR(IF(INDEX(貸出記録!$D:$D,
MATCH($A87,貸出記録!$A:$A,0))="","",
INDEX(貸出記録!$D:$D,
MATCH($A87,貸出記録!$A:$A,0))
),""))</f>
        <v/>
      </c>
      <c r="E87" s="34" t="str">
        <f t="array" aca="1" ref="E87" ca="1">IF(D87="","",TODAY()-D87&amp;"日")</f>
        <v/>
      </c>
      <c r="F87" s="34" t="str">
        <f t="array" ref="F87">IF($A87="","",
IFERROR(IF(INDEX(貸出記録!$F:$F,
MATCH($A87,貸出記録!$A:$A,0))="","",
INDEX(貸出記録!$F:$F,
MATCH($A87,貸出記録!$A:$A,0))
),""))</f>
        <v/>
      </c>
    </row>
    <row r="88" spans="1:6" ht="15.6">
      <c r="A88" s="34" t="str">
        <f t="array" ref="A88">IFERROR(
INDEX(貸出記録!$A$2:$A$5000,
SMALL(
IF(貸出記録!$E$2:$E$5000="",
ROW(貸出記録!$A$2:$A$5000)-ROW(貸出記録!$A$2)+1),
ROW(A87)
)
),
"")</f>
        <v>BT-0087</v>
      </c>
      <c r="B88" s="34" t="str">
        <f t="array" ref="B88">IF($A88="","",
IFERROR(IF(INDEX(貸出記録!$B$2:$B$5000,
MATCH($A88,貸出記録!$A$2:$A$5000,0))="","",
INDEX(貸出記録!$B$2:$B$5000,
MATCH($A88,貸出記録!$A$2:$A$5000,0))
),""))</f>
        <v/>
      </c>
      <c r="C88" s="34" t="str">
        <f t="array" ref="C88">IF($A88="","",
IFERROR(IF(INDEX(貸出記録!$C$2:$C$5000,
MATCH($A88,貸出記録!$A$2:$A$5000,0))="","",
INDEX(貸出記録!$C$2:$C$5000,
MATCH($A88,貸出記録!$A$2:$A$5000,0))
),""))</f>
        <v/>
      </c>
      <c r="D88" s="34" t="str">
        <f t="array" ref="D88">IF($A88="","",
IFERROR(IF(INDEX(貸出記録!$D:$D,
MATCH($A88,貸出記録!$A:$A,0))="","",
INDEX(貸出記録!$D:$D,
MATCH($A88,貸出記録!$A:$A,0))
),""))</f>
        <v/>
      </c>
      <c r="E88" s="34" t="str">
        <f t="array" aca="1" ref="E88" ca="1">IF(D88="","",TODAY()-D88&amp;"日")</f>
        <v/>
      </c>
      <c r="F88" s="34" t="str">
        <f t="array" ref="F88">IF($A88="","",
IFERROR(IF(INDEX(貸出記録!$F:$F,
MATCH($A88,貸出記録!$A:$A,0))="","",
INDEX(貸出記録!$F:$F,
MATCH($A88,貸出記録!$A:$A,0))
),""))</f>
        <v/>
      </c>
    </row>
    <row r="89" spans="1:6" ht="15.6">
      <c r="A89" s="34" t="str">
        <f t="array" ref="A89">IFERROR(
INDEX(貸出記録!$A$2:$A$5000,
SMALL(
IF(貸出記録!$E$2:$E$5000="",
ROW(貸出記録!$A$2:$A$5000)-ROW(貸出記録!$A$2)+1),
ROW(A88)
)
),
"")</f>
        <v>BT-0088</v>
      </c>
      <c r="B89" s="34" t="str">
        <f t="array" ref="B89">IF($A89="","",
IFERROR(IF(INDEX(貸出記録!$B$2:$B$5000,
MATCH($A89,貸出記録!$A$2:$A$5000,0))="","",
INDEX(貸出記録!$B$2:$B$5000,
MATCH($A89,貸出記録!$A$2:$A$5000,0))
),""))</f>
        <v/>
      </c>
      <c r="C89" s="34" t="str">
        <f t="array" ref="C89">IF($A89="","",
IFERROR(IF(INDEX(貸出記録!$C$2:$C$5000,
MATCH($A89,貸出記録!$A$2:$A$5000,0))="","",
INDEX(貸出記録!$C$2:$C$5000,
MATCH($A89,貸出記録!$A$2:$A$5000,0))
),""))</f>
        <v/>
      </c>
      <c r="D89" s="34" t="str">
        <f t="array" ref="D89">IF($A89="","",
IFERROR(IF(INDEX(貸出記録!$D:$D,
MATCH($A89,貸出記録!$A:$A,0))="","",
INDEX(貸出記録!$D:$D,
MATCH($A89,貸出記録!$A:$A,0))
),""))</f>
        <v/>
      </c>
      <c r="E89" s="34" t="str">
        <f t="array" aca="1" ref="E89" ca="1">IF(D89="","",TODAY()-D89&amp;"日")</f>
        <v/>
      </c>
      <c r="F89" s="34" t="str">
        <f t="array" ref="F89">IF($A89="","",
IFERROR(IF(INDEX(貸出記録!$F:$F,
MATCH($A89,貸出記録!$A:$A,0))="","",
INDEX(貸出記録!$F:$F,
MATCH($A89,貸出記録!$A:$A,0))
),""))</f>
        <v/>
      </c>
    </row>
    <row r="90" spans="1:6" ht="15.6">
      <c r="A90" s="34" t="str">
        <f t="array" ref="A90">IFERROR(
INDEX(貸出記録!$A$2:$A$5000,
SMALL(
IF(貸出記録!$E$2:$E$5000="",
ROW(貸出記録!$A$2:$A$5000)-ROW(貸出記録!$A$2)+1),
ROW(A89)
)
),
"")</f>
        <v>BT-0089</v>
      </c>
      <c r="B90" s="34" t="str">
        <f t="array" ref="B90">IF($A90="","",
IFERROR(IF(INDEX(貸出記録!$B$2:$B$5000,
MATCH($A90,貸出記録!$A$2:$A$5000,0))="","",
INDEX(貸出記録!$B$2:$B$5000,
MATCH($A90,貸出記録!$A$2:$A$5000,0))
),""))</f>
        <v/>
      </c>
      <c r="C90" s="34" t="str">
        <f t="array" ref="C90">IF($A90="","",
IFERROR(IF(INDEX(貸出記録!$C$2:$C$5000,
MATCH($A90,貸出記録!$A$2:$A$5000,0))="","",
INDEX(貸出記録!$C$2:$C$5000,
MATCH($A90,貸出記録!$A$2:$A$5000,0))
),""))</f>
        <v/>
      </c>
      <c r="D90" s="34" t="str">
        <f t="array" ref="D90">IF($A90="","",
IFERROR(IF(INDEX(貸出記録!$D:$D,
MATCH($A90,貸出記録!$A:$A,0))="","",
INDEX(貸出記録!$D:$D,
MATCH($A90,貸出記録!$A:$A,0))
),""))</f>
        <v/>
      </c>
      <c r="E90" s="34" t="str">
        <f t="array" aca="1" ref="E90" ca="1">IF(D90="","",TODAY()-D90&amp;"日")</f>
        <v/>
      </c>
      <c r="F90" s="34" t="str">
        <f t="array" ref="F90">IF($A90="","",
IFERROR(IF(INDEX(貸出記録!$F:$F,
MATCH($A90,貸出記録!$A:$A,0))="","",
INDEX(貸出記録!$F:$F,
MATCH($A90,貸出記録!$A:$A,0))
),""))</f>
        <v/>
      </c>
    </row>
    <row r="91" spans="1:6" ht="15.6">
      <c r="A91" s="34" t="str">
        <f t="array" ref="A91">IFERROR(
INDEX(貸出記録!$A$2:$A$5000,
SMALL(
IF(貸出記録!$E$2:$E$5000="",
ROW(貸出記録!$A$2:$A$5000)-ROW(貸出記録!$A$2)+1),
ROW(A90)
)
),
"")</f>
        <v>BT-0090</v>
      </c>
      <c r="B91" s="34" t="str">
        <f t="array" ref="B91">IF($A91="","",
IFERROR(IF(INDEX(貸出記録!$B$2:$B$5000,
MATCH($A91,貸出記録!$A$2:$A$5000,0))="","",
INDEX(貸出記録!$B$2:$B$5000,
MATCH($A91,貸出記録!$A$2:$A$5000,0))
),""))</f>
        <v/>
      </c>
      <c r="C91" s="34" t="str">
        <f t="array" ref="C91">IF($A91="","",
IFERROR(IF(INDEX(貸出記録!$C$2:$C$5000,
MATCH($A91,貸出記録!$A$2:$A$5000,0))="","",
INDEX(貸出記録!$C$2:$C$5000,
MATCH($A91,貸出記録!$A$2:$A$5000,0))
),""))</f>
        <v/>
      </c>
      <c r="D91" s="34" t="str">
        <f t="array" ref="D91">IF($A91="","",
IFERROR(IF(INDEX(貸出記録!$D:$D,
MATCH($A91,貸出記録!$A:$A,0))="","",
INDEX(貸出記録!$D:$D,
MATCH($A91,貸出記録!$A:$A,0))
),""))</f>
        <v/>
      </c>
      <c r="E91" s="34" t="str">
        <f t="array" aca="1" ref="E91" ca="1">IF(D91="","",TODAY()-D91&amp;"日")</f>
        <v/>
      </c>
      <c r="F91" s="34" t="str">
        <f t="array" ref="F91">IF($A91="","",
IFERROR(IF(INDEX(貸出記録!$F:$F,
MATCH($A91,貸出記録!$A:$A,0))="","",
INDEX(貸出記録!$F:$F,
MATCH($A91,貸出記録!$A:$A,0))
),""))</f>
        <v/>
      </c>
    </row>
    <row r="92" spans="1:6" ht="15.6">
      <c r="A92" s="34" t="str">
        <f t="array" ref="A92">IFERROR(
INDEX(貸出記録!$A$2:$A$5000,
SMALL(
IF(貸出記録!$E$2:$E$5000="",
ROW(貸出記録!$A$2:$A$5000)-ROW(貸出記録!$A$2)+1),
ROW(A91)
)
),
"")</f>
        <v>BT-0091</v>
      </c>
      <c r="B92" s="34" t="str">
        <f t="array" ref="B92">IF($A92="","",
IFERROR(IF(INDEX(貸出記録!$B$2:$B$5000,
MATCH($A92,貸出記録!$A$2:$A$5000,0))="","",
INDEX(貸出記録!$B$2:$B$5000,
MATCH($A92,貸出記録!$A$2:$A$5000,0))
),""))</f>
        <v/>
      </c>
      <c r="C92" s="34" t="str">
        <f t="array" ref="C92">IF($A92="","",
IFERROR(IF(INDEX(貸出記録!$C$2:$C$5000,
MATCH($A92,貸出記録!$A$2:$A$5000,0))="","",
INDEX(貸出記録!$C$2:$C$5000,
MATCH($A92,貸出記録!$A$2:$A$5000,0))
),""))</f>
        <v/>
      </c>
      <c r="D92" s="34" t="str">
        <f t="array" ref="D92">IF($A92="","",
IFERROR(IF(INDEX(貸出記録!$D:$D,
MATCH($A92,貸出記録!$A:$A,0))="","",
INDEX(貸出記録!$D:$D,
MATCH($A92,貸出記録!$A:$A,0))
),""))</f>
        <v/>
      </c>
      <c r="E92" s="34" t="str">
        <f t="array" aca="1" ref="E92" ca="1">IF(D92="","",TODAY()-D92&amp;"日")</f>
        <v/>
      </c>
      <c r="F92" s="34" t="str">
        <f t="array" ref="F92">IF($A92="","",
IFERROR(IF(INDEX(貸出記録!$F:$F,
MATCH($A92,貸出記録!$A:$A,0))="","",
INDEX(貸出記録!$F:$F,
MATCH($A92,貸出記録!$A:$A,0))
),""))</f>
        <v/>
      </c>
    </row>
    <row r="93" spans="1:6" ht="15.6">
      <c r="A93" s="34" t="str">
        <f t="array" ref="A93">IFERROR(
INDEX(貸出記録!$A$2:$A$5000,
SMALL(
IF(貸出記録!$E$2:$E$5000="",
ROW(貸出記録!$A$2:$A$5000)-ROW(貸出記録!$A$2)+1),
ROW(A92)
)
),
"")</f>
        <v>BT-0092</v>
      </c>
      <c r="B93" s="34" t="str">
        <f t="array" ref="B93">IF($A93="","",
IFERROR(IF(INDEX(貸出記録!$B$2:$B$5000,
MATCH($A93,貸出記録!$A$2:$A$5000,0))="","",
INDEX(貸出記録!$B$2:$B$5000,
MATCH($A93,貸出記録!$A$2:$A$5000,0))
),""))</f>
        <v/>
      </c>
      <c r="C93" s="34" t="str">
        <f t="array" ref="C93">IF($A93="","",
IFERROR(IF(INDEX(貸出記録!$C$2:$C$5000,
MATCH($A93,貸出記録!$A$2:$A$5000,0))="","",
INDEX(貸出記録!$C$2:$C$5000,
MATCH($A93,貸出記録!$A$2:$A$5000,0))
),""))</f>
        <v/>
      </c>
      <c r="D93" s="34" t="str">
        <f t="array" ref="D93">IF($A93="","",
IFERROR(IF(INDEX(貸出記録!$D:$D,
MATCH($A93,貸出記録!$A:$A,0))="","",
INDEX(貸出記録!$D:$D,
MATCH($A93,貸出記録!$A:$A,0))
),""))</f>
        <v/>
      </c>
      <c r="E93" s="34" t="str">
        <f t="array" aca="1" ref="E93" ca="1">IF(D93="","",TODAY()-D93&amp;"日")</f>
        <v/>
      </c>
      <c r="F93" s="34" t="str">
        <f t="array" ref="F93">IF($A93="","",
IFERROR(IF(INDEX(貸出記録!$F:$F,
MATCH($A93,貸出記録!$A:$A,0))="","",
INDEX(貸出記録!$F:$F,
MATCH($A93,貸出記録!$A:$A,0))
),""))</f>
        <v/>
      </c>
    </row>
    <row r="94" spans="1:6" ht="15.6">
      <c r="A94" s="34" t="str">
        <f t="array" ref="A94">IFERROR(
INDEX(貸出記録!$A$2:$A$5000,
SMALL(
IF(貸出記録!$E$2:$E$5000="",
ROW(貸出記録!$A$2:$A$5000)-ROW(貸出記録!$A$2)+1),
ROW(A93)
)
),
"")</f>
        <v>BT-0093</v>
      </c>
      <c r="B94" s="34" t="str">
        <f t="array" ref="B94">IF($A94="","",
IFERROR(IF(INDEX(貸出記録!$B$2:$B$5000,
MATCH($A94,貸出記録!$A$2:$A$5000,0))="","",
INDEX(貸出記録!$B$2:$B$5000,
MATCH($A94,貸出記録!$A$2:$A$5000,0))
),""))</f>
        <v/>
      </c>
      <c r="C94" s="34" t="str">
        <f t="array" ref="C94">IF($A94="","",
IFERROR(IF(INDEX(貸出記録!$C$2:$C$5000,
MATCH($A94,貸出記録!$A$2:$A$5000,0))="","",
INDEX(貸出記録!$C$2:$C$5000,
MATCH($A94,貸出記録!$A$2:$A$5000,0))
),""))</f>
        <v/>
      </c>
      <c r="D94" s="34" t="str">
        <f t="array" ref="D94">IF($A94="","",
IFERROR(IF(INDEX(貸出記録!$D:$D,
MATCH($A94,貸出記録!$A:$A,0))="","",
INDEX(貸出記録!$D:$D,
MATCH($A94,貸出記録!$A:$A,0))
),""))</f>
        <v/>
      </c>
      <c r="E94" s="34" t="str">
        <f t="array" aca="1" ref="E94" ca="1">IF(D94="","",TODAY()-D94&amp;"日")</f>
        <v/>
      </c>
      <c r="F94" s="34" t="str">
        <f t="array" ref="F94">IF($A94="","",
IFERROR(IF(INDEX(貸出記録!$F:$F,
MATCH($A94,貸出記録!$A:$A,0))="","",
INDEX(貸出記録!$F:$F,
MATCH($A94,貸出記録!$A:$A,0))
),""))</f>
        <v/>
      </c>
    </row>
    <row r="95" spans="1:6" ht="15.6">
      <c r="A95" s="34" t="str">
        <f t="array" ref="A95">IFERROR(
INDEX(貸出記録!$A$2:$A$5000,
SMALL(
IF(貸出記録!$E$2:$E$5000="",
ROW(貸出記録!$A$2:$A$5000)-ROW(貸出記録!$A$2)+1),
ROW(A94)
)
),
"")</f>
        <v>BT-0094</v>
      </c>
      <c r="B95" s="34" t="str">
        <f t="array" ref="B95">IF($A95="","",
IFERROR(IF(INDEX(貸出記録!$B$2:$B$5000,
MATCH($A95,貸出記録!$A$2:$A$5000,0))="","",
INDEX(貸出記録!$B$2:$B$5000,
MATCH($A95,貸出記録!$A$2:$A$5000,0))
),""))</f>
        <v/>
      </c>
      <c r="C95" s="34" t="str">
        <f t="array" ref="C95">IF($A95="","",
IFERROR(IF(INDEX(貸出記録!$C$2:$C$5000,
MATCH($A95,貸出記録!$A$2:$A$5000,0))="","",
INDEX(貸出記録!$C$2:$C$5000,
MATCH($A95,貸出記録!$A$2:$A$5000,0))
),""))</f>
        <v/>
      </c>
      <c r="D95" s="34" t="str">
        <f t="array" ref="D95">IF($A95="","",
IFERROR(IF(INDEX(貸出記録!$D:$D,
MATCH($A95,貸出記録!$A:$A,0))="","",
INDEX(貸出記録!$D:$D,
MATCH($A95,貸出記録!$A:$A,0))
),""))</f>
        <v/>
      </c>
      <c r="E95" s="34" t="str">
        <f t="array" aca="1" ref="E95" ca="1">IF(D95="","",TODAY()-D95&amp;"日")</f>
        <v/>
      </c>
      <c r="F95" s="34" t="str">
        <f t="array" ref="F95">IF($A95="","",
IFERROR(IF(INDEX(貸出記録!$F:$F,
MATCH($A95,貸出記録!$A:$A,0))="","",
INDEX(貸出記録!$F:$F,
MATCH($A95,貸出記録!$A:$A,0))
),""))</f>
        <v/>
      </c>
    </row>
    <row r="96" spans="1:6" ht="15.6">
      <c r="A96" s="34" t="str">
        <f t="array" ref="A96">IFERROR(
INDEX(貸出記録!$A$2:$A$5000,
SMALL(
IF(貸出記録!$E$2:$E$5000="",
ROW(貸出記録!$A$2:$A$5000)-ROW(貸出記録!$A$2)+1),
ROW(A95)
)
),
"")</f>
        <v>BT-0095</v>
      </c>
      <c r="B96" s="34" t="str">
        <f t="array" ref="B96">IF($A96="","",
IFERROR(IF(INDEX(貸出記録!$B$2:$B$5000,
MATCH($A96,貸出記録!$A$2:$A$5000,0))="","",
INDEX(貸出記録!$B$2:$B$5000,
MATCH($A96,貸出記録!$A$2:$A$5000,0))
),""))</f>
        <v/>
      </c>
      <c r="C96" s="34" t="str">
        <f t="array" ref="C96">IF($A96="","",
IFERROR(IF(INDEX(貸出記録!$C$2:$C$5000,
MATCH($A96,貸出記録!$A$2:$A$5000,0))="","",
INDEX(貸出記録!$C$2:$C$5000,
MATCH($A96,貸出記録!$A$2:$A$5000,0))
),""))</f>
        <v/>
      </c>
      <c r="D96" s="34" t="str">
        <f t="array" ref="D96">IF($A96="","",
IFERROR(IF(INDEX(貸出記録!$D:$D,
MATCH($A96,貸出記録!$A:$A,0))="","",
INDEX(貸出記録!$D:$D,
MATCH($A96,貸出記録!$A:$A,0))
),""))</f>
        <v/>
      </c>
      <c r="E96" s="34" t="str">
        <f t="array" aca="1" ref="E96" ca="1">IF(D96="","",TODAY()-D96&amp;"日")</f>
        <v/>
      </c>
      <c r="F96" s="34" t="str">
        <f t="array" ref="F96">IF($A96="","",
IFERROR(IF(INDEX(貸出記録!$F:$F,
MATCH($A96,貸出記録!$A:$A,0))="","",
INDEX(貸出記録!$F:$F,
MATCH($A96,貸出記録!$A:$A,0))
),""))</f>
        <v/>
      </c>
    </row>
    <row r="97" spans="1:6" ht="15.6">
      <c r="A97" s="34" t="str">
        <f t="array" ref="A97">IFERROR(
INDEX(貸出記録!$A$2:$A$5000,
SMALL(
IF(貸出記録!$E$2:$E$5000="",
ROW(貸出記録!$A$2:$A$5000)-ROW(貸出記録!$A$2)+1),
ROW(A96)
)
),
"")</f>
        <v>BT-0096</v>
      </c>
      <c r="B97" s="34" t="str">
        <f t="array" ref="B97">IF($A97="","",
IFERROR(IF(INDEX(貸出記録!$B$2:$B$5000,
MATCH($A97,貸出記録!$A$2:$A$5000,0))="","",
INDEX(貸出記録!$B$2:$B$5000,
MATCH($A97,貸出記録!$A$2:$A$5000,0))
),""))</f>
        <v/>
      </c>
      <c r="C97" s="34" t="str">
        <f t="array" ref="C97">IF($A97="","",
IFERROR(IF(INDEX(貸出記録!$C$2:$C$5000,
MATCH($A97,貸出記録!$A$2:$A$5000,0))="","",
INDEX(貸出記録!$C$2:$C$5000,
MATCH($A97,貸出記録!$A$2:$A$5000,0))
),""))</f>
        <v/>
      </c>
      <c r="D97" s="34" t="str">
        <f t="array" ref="D97">IF($A97="","",
IFERROR(IF(INDEX(貸出記録!$D:$D,
MATCH($A97,貸出記録!$A:$A,0))="","",
INDEX(貸出記録!$D:$D,
MATCH($A97,貸出記録!$A:$A,0))
),""))</f>
        <v/>
      </c>
      <c r="E97" s="34" t="str">
        <f t="array" aca="1" ref="E97" ca="1">IF(D97="","",TODAY()-D97&amp;"日")</f>
        <v/>
      </c>
      <c r="F97" s="34" t="str">
        <f t="array" ref="F97">IF($A97="","",
IFERROR(IF(INDEX(貸出記録!$F:$F,
MATCH($A97,貸出記録!$A:$A,0))="","",
INDEX(貸出記録!$F:$F,
MATCH($A97,貸出記録!$A:$A,0))
),""))</f>
        <v/>
      </c>
    </row>
    <row r="98" spans="1:6" ht="15.6">
      <c r="A98" s="34" t="str">
        <f t="array" ref="A98">IFERROR(
INDEX(貸出記録!$A$2:$A$5000,
SMALL(
IF(貸出記録!$E$2:$E$5000="",
ROW(貸出記録!$A$2:$A$5000)-ROW(貸出記録!$A$2)+1),
ROW(A97)
)
),
"")</f>
        <v>BT-0097</v>
      </c>
      <c r="B98" s="34" t="str">
        <f t="array" ref="B98">IF($A98="","",
IFERROR(IF(INDEX(貸出記録!$B$2:$B$5000,
MATCH($A98,貸出記録!$A$2:$A$5000,0))="","",
INDEX(貸出記録!$B$2:$B$5000,
MATCH($A98,貸出記録!$A$2:$A$5000,0))
),""))</f>
        <v/>
      </c>
      <c r="C98" s="34" t="str">
        <f t="array" ref="C98">IF($A98="","",
IFERROR(IF(INDEX(貸出記録!$C$2:$C$5000,
MATCH($A98,貸出記録!$A$2:$A$5000,0))="","",
INDEX(貸出記録!$C$2:$C$5000,
MATCH($A98,貸出記録!$A$2:$A$5000,0))
),""))</f>
        <v/>
      </c>
      <c r="D98" s="34" t="str">
        <f t="array" ref="D98">IF($A98="","",
IFERROR(IF(INDEX(貸出記録!$D:$D,
MATCH($A98,貸出記録!$A:$A,0))="","",
INDEX(貸出記録!$D:$D,
MATCH($A98,貸出記録!$A:$A,0))
),""))</f>
        <v/>
      </c>
      <c r="E98" s="34" t="str">
        <f t="array" aca="1" ref="E98" ca="1">IF(D98="","",TODAY()-D98&amp;"日")</f>
        <v/>
      </c>
      <c r="F98" s="34" t="str">
        <f t="array" ref="F98">IF($A98="","",
IFERROR(IF(INDEX(貸出記録!$F:$F,
MATCH($A98,貸出記録!$A:$A,0))="","",
INDEX(貸出記録!$F:$F,
MATCH($A98,貸出記録!$A:$A,0))
),""))</f>
        <v/>
      </c>
    </row>
    <row r="99" spans="1:6" ht="15.6">
      <c r="A99" s="34" t="str">
        <f t="array" ref="A99">IFERROR(
INDEX(貸出記録!$A$2:$A$5000,
SMALL(
IF(貸出記録!$E$2:$E$5000="",
ROW(貸出記録!$A$2:$A$5000)-ROW(貸出記録!$A$2)+1),
ROW(A98)
)
),
"")</f>
        <v>BT-0098</v>
      </c>
      <c r="B99" s="34" t="str">
        <f t="array" ref="B99">IF($A99="","",
IFERROR(IF(INDEX(貸出記録!$B$2:$B$5000,
MATCH($A99,貸出記録!$A$2:$A$5000,0))="","",
INDEX(貸出記録!$B$2:$B$5000,
MATCH($A99,貸出記録!$A$2:$A$5000,0))
),""))</f>
        <v/>
      </c>
      <c r="C99" s="34" t="str">
        <f t="array" ref="C99">IF($A99="","",
IFERROR(IF(INDEX(貸出記録!$C$2:$C$5000,
MATCH($A99,貸出記録!$A$2:$A$5000,0))="","",
INDEX(貸出記録!$C$2:$C$5000,
MATCH($A99,貸出記録!$A$2:$A$5000,0))
),""))</f>
        <v/>
      </c>
      <c r="D99" s="34" t="str">
        <f t="array" ref="D99">IF($A99="","",
IFERROR(IF(INDEX(貸出記録!$D:$D,
MATCH($A99,貸出記録!$A:$A,0))="","",
INDEX(貸出記録!$D:$D,
MATCH($A99,貸出記録!$A:$A,0))
),""))</f>
        <v/>
      </c>
      <c r="E99" s="34" t="str">
        <f t="array" aca="1" ref="E99" ca="1">IF(D99="","",TODAY()-D99&amp;"日")</f>
        <v/>
      </c>
      <c r="F99" s="34" t="str">
        <f t="array" ref="F99">IF($A99="","",
IFERROR(IF(INDEX(貸出記録!$F:$F,
MATCH($A99,貸出記録!$A:$A,0))="","",
INDEX(貸出記録!$F:$F,
MATCH($A99,貸出記録!$A:$A,0))
),""))</f>
        <v/>
      </c>
    </row>
    <row r="100" spans="1:6" ht="15.6">
      <c r="A100" s="34" t="str">
        <f t="array" ref="A100">IFERROR(
INDEX(貸出記録!$A$2:$A$5000,
SMALL(
IF(貸出記録!$E$2:$E$5000="",
ROW(貸出記録!$A$2:$A$5000)-ROW(貸出記録!$A$2)+1),
ROW(A99)
)
),
"")</f>
        <v>BT-0099</v>
      </c>
      <c r="B100" s="34" t="str">
        <f t="array" ref="B100">IF($A100="","",
IFERROR(IF(INDEX(貸出記録!$B$2:$B$5000,
MATCH($A100,貸出記録!$A$2:$A$5000,0))="","",
INDEX(貸出記録!$B$2:$B$5000,
MATCH($A100,貸出記録!$A$2:$A$5000,0))
),""))</f>
        <v/>
      </c>
      <c r="C100" s="34" t="str">
        <f t="array" ref="C100">IF($A100="","",
IFERROR(IF(INDEX(貸出記録!$C$2:$C$5000,
MATCH($A100,貸出記録!$A$2:$A$5000,0))="","",
INDEX(貸出記録!$C$2:$C$5000,
MATCH($A100,貸出記録!$A$2:$A$5000,0))
),""))</f>
        <v/>
      </c>
      <c r="D100" s="34" t="str">
        <f t="array" ref="D100">IF($A100="","",
IFERROR(IF(INDEX(貸出記録!$D:$D,
MATCH($A100,貸出記録!$A:$A,0))="","",
INDEX(貸出記録!$D:$D,
MATCH($A100,貸出記録!$A:$A,0))
),""))</f>
        <v/>
      </c>
      <c r="E100" s="34" t="str">
        <f t="array" aca="1" ref="E100" ca="1">IF(D100="","",TODAY()-D100&amp;"日")</f>
        <v/>
      </c>
      <c r="F100" s="34" t="str">
        <f t="array" ref="F100">IF($A100="","",
IFERROR(IF(INDEX(貸出記録!$F:$F,
MATCH($A100,貸出記録!$A:$A,0))="","",
INDEX(貸出記録!$F:$F,
MATCH($A100,貸出記録!$A:$A,0))
),""))</f>
        <v/>
      </c>
    </row>
    <row r="101" spans="1:6" ht="15.6">
      <c r="A101" s="34" t="str">
        <f t="array" ref="A101">IFERROR(
INDEX(貸出記録!$A$2:$A$5000,
SMALL(
IF(貸出記録!$E$2:$E$5000="",
ROW(貸出記録!$A$2:$A$5000)-ROW(貸出記録!$A$2)+1),
ROW(A100)
)
),
"")</f>
        <v>BT-0100</v>
      </c>
      <c r="B101" s="34" t="str">
        <f t="array" ref="B101">IF($A101="","",
IFERROR(IF(INDEX(貸出記録!$B$2:$B$5000,
MATCH($A101,貸出記録!$A$2:$A$5000,0))="","",
INDEX(貸出記録!$B$2:$B$5000,
MATCH($A101,貸出記録!$A$2:$A$5000,0))
),""))</f>
        <v/>
      </c>
      <c r="C101" s="34" t="str">
        <f t="array" ref="C101">IF($A101="","",
IFERROR(IF(INDEX(貸出記録!$C$2:$C$5000,
MATCH($A101,貸出記録!$A$2:$A$5000,0))="","",
INDEX(貸出記録!$C$2:$C$5000,
MATCH($A101,貸出記録!$A$2:$A$5000,0))
),""))</f>
        <v/>
      </c>
      <c r="D101" s="34" t="str">
        <f t="array" ref="D101">IF($A101="","",
IFERROR(IF(INDEX(貸出記録!$D:$D,
MATCH($A101,貸出記録!$A:$A,0))="","",
INDEX(貸出記録!$D:$D,
MATCH($A101,貸出記録!$A:$A,0))
),""))</f>
        <v/>
      </c>
      <c r="E101" s="34" t="str">
        <f t="array" aca="1" ref="E101" ca="1">IF(D101="","",TODAY()-D101&amp;"日")</f>
        <v/>
      </c>
      <c r="F101" s="34" t="str">
        <f t="array" ref="F101">IF($A101="","",
IFERROR(IF(INDEX(貸出記録!$F:$F,
MATCH($A101,貸出記録!$A:$A,0))="","",
INDEX(貸出記録!$F:$F,
MATCH($A101,貸出記録!$A:$A,0))
),""))</f>
        <v/>
      </c>
    </row>
    <row r="102" spans="1:6" ht="15.6">
      <c r="A102" s="34" t="str">
        <f t="array" ref="A102">IFERROR(
INDEX(貸出記録!$A$2:$A$5000,
SMALL(
IF(貸出記録!$E$2:$E$5000="",
ROW(貸出記録!$A$2:$A$5000)-ROW(貸出記録!$A$2)+1),
ROW(A101)
)
),
"")</f>
        <v>BT-0101</v>
      </c>
      <c r="B102" s="34" t="str">
        <f t="array" ref="B102">IF($A102="","",
IFERROR(IF(INDEX(貸出記録!$B$2:$B$5000,
MATCH($A102,貸出記録!$A$2:$A$5000,0))="","",
INDEX(貸出記録!$B$2:$B$5000,
MATCH($A102,貸出記録!$A$2:$A$5000,0))
),""))</f>
        <v/>
      </c>
      <c r="C102" s="34" t="str">
        <f t="array" ref="C102">IF($A102="","",
IFERROR(IF(INDEX(貸出記録!$C$2:$C$5000,
MATCH($A102,貸出記録!$A$2:$A$5000,0))="","",
INDEX(貸出記録!$C$2:$C$5000,
MATCH($A102,貸出記録!$A$2:$A$5000,0))
),""))</f>
        <v/>
      </c>
      <c r="D102" s="34" t="str">
        <f t="array" ref="D102">IF($A102="","",
IFERROR(IF(INDEX(貸出記録!$D:$D,
MATCH($A102,貸出記録!$A:$A,0))="","",
INDEX(貸出記録!$D:$D,
MATCH($A102,貸出記録!$A:$A,0))
),""))</f>
        <v/>
      </c>
      <c r="E102" s="34" t="str">
        <f t="array" aca="1" ref="E102" ca="1">IF(D102="","",TODAY()-D102&amp;"日")</f>
        <v/>
      </c>
      <c r="F102" s="34" t="str">
        <f t="array" ref="F102">IF($A102="","",
IFERROR(IF(INDEX(貸出記録!$F:$F,
MATCH($A102,貸出記録!$A:$A,0))="","",
INDEX(貸出記録!$F:$F,
MATCH($A102,貸出記録!$A:$A,0))
),""))</f>
        <v/>
      </c>
    </row>
    <row r="103" spans="1:6" ht="15.6">
      <c r="A103" s="34" t="str">
        <f t="array" ref="A103">IFERROR(
INDEX(貸出記録!$A$2:$A$5000,
SMALL(
IF(貸出記録!$E$2:$E$5000="",
ROW(貸出記録!$A$2:$A$5000)-ROW(貸出記録!$A$2)+1),
ROW(A102)
)
),
"")</f>
        <v>BT-0102</v>
      </c>
      <c r="B103" s="34" t="str">
        <f t="array" ref="B103">IF($A103="","",
IFERROR(IF(INDEX(貸出記録!$B$2:$B$5000,
MATCH($A103,貸出記録!$A$2:$A$5000,0))="","",
INDEX(貸出記録!$B$2:$B$5000,
MATCH($A103,貸出記録!$A$2:$A$5000,0))
),""))</f>
        <v/>
      </c>
      <c r="C103" s="34" t="str">
        <f t="array" ref="C103">IF($A103="","",
IFERROR(IF(INDEX(貸出記録!$C$2:$C$5000,
MATCH($A103,貸出記録!$A$2:$A$5000,0))="","",
INDEX(貸出記録!$C$2:$C$5000,
MATCH($A103,貸出記録!$A$2:$A$5000,0))
),""))</f>
        <v/>
      </c>
      <c r="D103" s="34" t="str">
        <f t="array" ref="D103">IF($A103="","",
IFERROR(IF(INDEX(貸出記録!$D:$D,
MATCH($A103,貸出記録!$A:$A,0))="","",
INDEX(貸出記録!$D:$D,
MATCH($A103,貸出記録!$A:$A,0))
),""))</f>
        <v/>
      </c>
      <c r="E103" s="34" t="str">
        <f t="array" aca="1" ref="E103" ca="1">IF(D103="","",TODAY()-D103&amp;"日")</f>
        <v/>
      </c>
      <c r="F103" s="34" t="str">
        <f t="array" ref="F103">IF($A103="","",
IFERROR(IF(INDEX(貸出記録!$F:$F,
MATCH($A103,貸出記録!$A:$A,0))="","",
INDEX(貸出記録!$F:$F,
MATCH($A103,貸出記録!$A:$A,0))
),""))</f>
        <v/>
      </c>
    </row>
    <row r="104" spans="1:6" ht="15.6">
      <c r="A104" s="34" t="str">
        <f t="array" ref="A104">IFERROR(
INDEX(貸出記録!$A$2:$A$5000,
SMALL(
IF(貸出記録!$E$2:$E$5000="",
ROW(貸出記録!$A$2:$A$5000)-ROW(貸出記録!$A$2)+1),
ROW(A103)
)
),
"")</f>
        <v>BT-0103</v>
      </c>
      <c r="B104" s="34" t="str">
        <f t="array" ref="B104">IF($A104="","",
IFERROR(IF(INDEX(貸出記録!$B$2:$B$5000,
MATCH($A104,貸出記録!$A$2:$A$5000,0))="","",
INDEX(貸出記録!$B$2:$B$5000,
MATCH($A104,貸出記録!$A$2:$A$5000,0))
),""))</f>
        <v/>
      </c>
      <c r="C104" s="34" t="str">
        <f t="array" ref="C104">IF($A104="","",
IFERROR(IF(INDEX(貸出記録!$C$2:$C$5000,
MATCH($A104,貸出記録!$A$2:$A$5000,0))="","",
INDEX(貸出記録!$C$2:$C$5000,
MATCH($A104,貸出記録!$A$2:$A$5000,0))
),""))</f>
        <v/>
      </c>
      <c r="D104" s="34" t="str">
        <f t="array" ref="D104">IF($A104="","",
IFERROR(IF(INDEX(貸出記録!$D:$D,
MATCH($A104,貸出記録!$A:$A,0))="","",
INDEX(貸出記録!$D:$D,
MATCH($A104,貸出記録!$A:$A,0))
),""))</f>
        <v/>
      </c>
      <c r="E104" s="34" t="str">
        <f t="array" aca="1" ref="E104" ca="1">IF(D104="","",TODAY()-D104&amp;"日")</f>
        <v/>
      </c>
      <c r="F104" s="34" t="str">
        <f t="array" ref="F104">IF($A104="","",
IFERROR(IF(INDEX(貸出記録!$F:$F,
MATCH($A104,貸出記録!$A:$A,0))="","",
INDEX(貸出記録!$F:$F,
MATCH($A104,貸出記録!$A:$A,0))
),""))</f>
        <v/>
      </c>
    </row>
    <row r="105" spans="1:6" ht="15.6">
      <c r="A105" s="34" t="str">
        <f t="array" ref="A105">IFERROR(
INDEX(貸出記録!$A$2:$A$5000,
SMALL(
IF(貸出記録!$E$2:$E$5000="",
ROW(貸出記録!$A$2:$A$5000)-ROW(貸出記録!$A$2)+1),
ROW(A104)
)
),
"")</f>
        <v>BT-0104</v>
      </c>
      <c r="B105" s="34" t="str">
        <f t="array" ref="B105">IF($A105="","",
IFERROR(IF(INDEX(貸出記録!$B$2:$B$5000,
MATCH($A105,貸出記録!$A$2:$A$5000,0))="","",
INDEX(貸出記録!$B$2:$B$5000,
MATCH($A105,貸出記録!$A$2:$A$5000,0))
),""))</f>
        <v/>
      </c>
      <c r="C105" s="34" t="str">
        <f t="array" ref="C105">IF($A105="","",
IFERROR(IF(INDEX(貸出記録!$C$2:$C$5000,
MATCH($A105,貸出記録!$A$2:$A$5000,0))="","",
INDEX(貸出記録!$C$2:$C$5000,
MATCH($A105,貸出記録!$A$2:$A$5000,0))
),""))</f>
        <v/>
      </c>
      <c r="D105" s="34" t="str">
        <f t="array" ref="D105">IF($A105="","",
IFERROR(IF(INDEX(貸出記録!$D:$D,
MATCH($A105,貸出記録!$A:$A,0))="","",
INDEX(貸出記録!$D:$D,
MATCH($A105,貸出記録!$A:$A,0))
),""))</f>
        <v/>
      </c>
      <c r="E105" s="34" t="str">
        <f t="array" aca="1" ref="E105" ca="1">IF(D105="","",TODAY()-D105&amp;"日")</f>
        <v/>
      </c>
      <c r="F105" s="34" t="str">
        <f t="array" ref="F105">IF($A105="","",
IFERROR(IF(INDEX(貸出記録!$F:$F,
MATCH($A105,貸出記録!$A:$A,0))="","",
INDEX(貸出記録!$F:$F,
MATCH($A105,貸出記録!$A:$A,0))
),""))</f>
        <v/>
      </c>
    </row>
    <row r="106" spans="1:6" ht="15.6">
      <c r="A106" s="34" t="str">
        <f t="array" ref="A106">IFERROR(
INDEX(貸出記録!$A$2:$A$5000,
SMALL(
IF(貸出記録!$E$2:$E$5000="",
ROW(貸出記録!$A$2:$A$5000)-ROW(貸出記録!$A$2)+1),
ROW(A105)
)
),
"")</f>
        <v>BT-0105</v>
      </c>
      <c r="B106" s="34" t="str">
        <f t="array" ref="B106">IF($A106="","",
IFERROR(IF(INDEX(貸出記録!$B$2:$B$5000,
MATCH($A106,貸出記録!$A$2:$A$5000,0))="","",
INDEX(貸出記録!$B$2:$B$5000,
MATCH($A106,貸出記録!$A$2:$A$5000,0))
),""))</f>
        <v/>
      </c>
      <c r="C106" s="34" t="str">
        <f t="array" ref="C106">IF($A106="","",
IFERROR(IF(INDEX(貸出記録!$C$2:$C$5000,
MATCH($A106,貸出記録!$A$2:$A$5000,0))="","",
INDEX(貸出記録!$C$2:$C$5000,
MATCH($A106,貸出記録!$A$2:$A$5000,0))
),""))</f>
        <v/>
      </c>
      <c r="D106" s="34" t="str">
        <f t="array" ref="D106">IF($A106="","",
IFERROR(IF(INDEX(貸出記録!$D:$D,
MATCH($A106,貸出記録!$A:$A,0))="","",
INDEX(貸出記録!$D:$D,
MATCH($A106,貸出記録!$A:$A,0))
),""))</f>
        <v/>
      </c>
      <c r="E106" s="34" t="str">
        <f t="array" aca="1" ref="E106" ca="1">IF(D106="","",TODAY()-D106&amp;"日")</f>
        <v/>
      </c>
      <c r="F106" s="34" t="str">
        <f t="array" ref="F106">IF($A106="","",
IFERROR(IF(INDEX(貸出記録!$F:$F,
MATCH($A106,貸出記録!$A:$A,0))="","",
INDEX(貸出記録!$F:$F,
MATCH($A106,貸出記録!$A:$A,0))
),""))</f>
        <v/>
      </c>
    </row>
    <row r="107" spans="1:6" ht="15.6">
      <c r="A107" s="34" t="str">
        <f t="array" ref="A107">IFERROR(
INDEX(貸出記録!$A$2:$A$5000,
SMALL(
IF(貸出記録!$E$2:$E$5000="",
ROW(貸出記録!$A$2:$A$5000)-ROW(貸出記録!$A$2)+1),
ROW(A106)
)
),
"")</f>
        <v>BT-0106</v>
      </c>
      <c r="B107" s="34" t="str">
        <f t="array" ref="B107">IF($A107="","",
IFERROR(IF(INDEX(貸出記録!$B$2:$B$5000,
MATCH($A107,貸出記録!$A$2:$A$5000,0))="","",
INDEX(貸出記録!$B$2:$B$5000,
MATCH($A107,貸出記録!$A$2:$A$5000,0))
),""))</f>
        <v/>
      </c>
      <c r="C107" s="34" t="str">
        <f t="array" ref="C107">IF($A107="","",
IFERROR(IF(INDEX(貸出記録!$C$2:$C$5000,
MATCH($A107,貸出記録!$A$2:$A$5000,0))="","",
INDEX(貸出記録!$C$2:$C$5000,
MATCH($A107,貸出記録!$A$2:$A$5000,0))
),""))</f>
        <v/>
      </c>
      <c r="D107" s="34" t="str">
        <f t="array" ref="D107">IF($A107="","",
IFERROR(IF(INDEX(貸出記録!$D:$D,
MATCH($A107,貸出記録!$A:$A,0))="","",
INDEX(貸出記録!$D:$D,
MATCH($A107,貸出記録!$A:$A,0))
),""))</f>
        <v/>
      </c>
      <c r="E107" s="34" t="str">
        <f t="array" aca="1" ref="E107" ca="1">IF(D107="","",TODAY()-D107&amp;"日")</f>
        <v/>
      </c>
      <c r="F107" s="34" t="str">
        <f t="array" ref="F107">IF($A107="","",
IFERROR(IF(INDEX(貸出記録!$F:$F,
MATCH($A107,貸出記録!$A:$A,0))="","",
INDEX(貸出記録!$F:$F,
MATCH($A107,貸出記録!$A:$A,0))
),""))</f>
        <v/>
      </c>
    </row>
    <row r="108" spans="1:6" ht="15.6">
      <c r="A108" s="34" t="str">
        <f t="array" ref="A108">IFERROR(
INDEX(貸出記録!$A$2:$A$5000,
SMALL(
IF(貸出記録!$E$2:$E$5000="",
ROW(貸出記録!$A$2:$A$5000)-ROW(貸出記録!$A$2)+1),
ROW(A107)
)
),
"")</f>
        <v>BT-0107</v>
      </c>
      <c r="B108" s="34" t="str">
        <f t="array" ref="B108">IF($A108="","",
IFERROR(IF(INDEX(貸出記録!$B$2:$B$5000,
MATCH($A108,貸出記録!$A$2:$A$5000,0))="","",
INDEX(貸出記録!$B$2:$B$5000,
MATCH($A108,貸出記録!$A$2:$A$5000,0))
),""))</f>
        <v/>
      </c>
      <c r="C108" s="34" t="str">
        <f t="array" ref="C108">IF($A108="","",
IFERROR(IF(INDEX(貸出記録!$C$2:$C$5000,
MATCH($A108,貸出記録!$A$2:$A$5000,0))="","",
INDEX(貸出記録!$C$2:$C$5000,
MATCH($A108,貸出記録!$A$2:$A$5000,0))
),""))</f>
        <v/>
      </c>
      <c r="D108" s="34" t="str">
        <f t="array" ref="D108">IF($A108="","",
IFERROR(IF(INDEX(貸出記録!$D:$D,
MATCH($A108,貸出記録!$A:$A,0))="","",
INDEX(貸出記録!$D:$D,
MATCH($A108,貸出記録!$A:$A,0))
),""))</f>
        <v/>
      </c>
      <c r="E108" s="34" t="str">
        <f t="array" aca="1" ref="E108" ca="1">IF(D108="","",TODAY()-D108&amp;"日")</f>
        <v/>
      </c>
      <c r="F108" s="34" t="str">
        <f t="array" ref="F108">IF($A108="","",
IFERROR(IF(INDEX(貸出記録!$F:$F,
MATCH($A108,貸出記録!$A:$A,0))="","",
INDEX(貸出記録!$F:$F,
MATCH($A108,貸出記録!$A:$A,0))
),""))</f>
        <v/>
      </c>
    </row>
    <row r="109" spans="1:6" ht="15.6">
      <c r="A109" s="34" t="str">
        <f t="array" ref="A109">IFERROR(
INDEX(貸出記録!$A$2:$A$5000,
SMALL(
IF(貸出記録!$E$2:$E$5000="",
ROW(貸出記録!$A$2:$A$5000)-ROW(貸出記録!$A$2)+1),
ROW(A108)
)
),
"")</f>
        <v>BT-0108</v>
      </c>
      <c r="B109" s="34" t="str">
        <f t="array" ref="B109">IF($A109="","",
IFERROR(IF(INDEX(貸出記録!$B$2:$B$5000,
MATCH($A109,貸出記録!$A$2:$A$5000,0))="","",
INDEX(貸出記録!$B$2:$B$5000,
MATCH($A109,貸出記録!$A$2:$A$5000,0))
),""))</f>
        <v/>
      </c>
      <c r="C109" s="34" t="str">
        <f t="array" ref="C109">IF($A109="","",
IFERROR(IF(INDEX(貸出記録!$C$2:$C$5000,
MATCH($A109,貸出記録!$A$2:$A$5000,0))="","",
INDEX(貸出記録!$C$2:$C$5000,
MATCH($A109,貸出記録!$A$2:$A$5000,0))
),""))</f>
        <v/>
      </c>
      <c r="D109" s="34" t="str">
        <f t="array" ref="D109">IF($A109="","",
IFERROR(IF(INDEX(貸出記録!$D:$D,
MATCH($A109,貸出記録!$A:$A,0))="","",
INDEX(貸出記録!$D:$D,
MATCH($A109,貸出記録!$A:$A,0))
),""))</f>
        <v/>
      </c>
      <c r="E109" s="34" t="str">
        <f t="array" aca="1" ref="E109" ca="1">IF(D109="","",TODAY()-D109&amp;"日")</f>
        <v/>
      </c>
      <c r="F109" s="34" t="str">
        <f t="array" ref="F109">IF($A109="","",
IFERROR(IF(INDEX(貸出記録!$F:$F,
MATCH($A109,貸出記録!$A:$A,0))="","",
INDEX(貸出記録!$F:$F,
MATCH($A109,貸出記録!$A:$A,0))
),""))</f>
        <v/>
      </c>
    </row>
    <row r="110" spans="1:6" ht="15.6">
      <c r="A110" s="34" t="str">
        <f t="array" ref="A110">IFERROR(
INDEX(貸出記録!$A$2:$A$5000,
SMALL(
IF(貸出記録!$E$2:$E$5000="",
ROW(貸出記録!$A$2:$A$5000)-ROW(貸出記録!$A$2)+1),
ROW(A109)
)
),
"")</f>
        <v>BT-0109</v>
      </c>
      <c r="B110" s="34" t="str">
        <f t="array" ref="B110">IF($A110="","",
IFERROR(IF(INDEX(貸出記録!$B$2:$B$5000,
MATCH($A110,貸出記録!$A$2:$A$5000,0))="","",
INDEX(貸出記録!$B$2:$B$5000,
MATCH($A110,貸出記録!$A$2:$A$5000,0))
),""))</f>
        <v/>
      </c>
      <c r="C110" s="34" t="str">
        <f t="array" ref="C110">IF($A110="","",
IFERROR(IF(INDEX(貸出記録!$C$2:$C$5000,
MATCH($A110,貸出記録!$A$2:$A$5000,0))="","",
INDEX(貸出記録!$C$2:$C$5000,
MATCH($A110,貸出記録!$A$2:$A$5000,0))
),""))</f>
        <v/>
      </c>
      <c r="D110" s="34" t="str">
        <f t="array" ref="D110">IF($A110="","",
IFERROR(IF(INDEX(貸出記録!$D:$D,
MATCH($A110,貸出記録!$A:$A,0))="","",
INDEX(貸出記録!$D:$D,
MATCH($A110,貸出記録!$A:$A,0))
),""))</f>
        <v/>
      </c>
      <c r="E110" s="34" t="str">
        <f t="array" aca="1" ref="E110" ca="1">IF(D110="","",TODAY()-D110&amp;"日")</f>
        <v/>
      </c>
      <c r="F110" s="34" t="str">
        <f t="array" ref="F110">IF($A110="","",
IFERROR(IF(INDEX(貸出記録!$F:$F,
MATCH($A110,貸出記録!$A:$A,0))="","",
INDEX(貸出記録!$F:$F,
MATCH($A110,貸出記録!$A:$A,0))
),""))</f>
        <v/>
      </c>
    </row>
    <row r="111" spans="1:6" ht="15.6">
      <c r="A111" s="34" t="str">
        <f t="array" ref="A111">IFERROR(
INDEX(貸出記録!$A$2:$A$5000,
SMALL(
IF(貸出記録!$E$2:$E$5000="",
ROW(貸出記録!$A$2:$A$5000)-ROW(貸出記録!$A$2)+1),
ROW(A110)
)
),
"")</f>
        <v>BT-0110</v>
      </c>
      <c r="B111" s="34" t="str">
        <f t="array" ref="B111">IF($A111="","",
IFERROR(IF(INDEX(貸出記録!$B$2:$B$5000,
MATCH($A111,貸出記録!$A$2:$A$5000,0))="","",
INDEX(貸出記録!$B$2:$B$5000,
MATCH($A111,貸出記録!$A$2:$A$5000,0))
),""))</f>
        <v/>
      </c>
      <c r="C111" s="34" t="str">
        <f t="array" ref="C111">IF($A111="","",
IFERROR(IF(INDEX(貸出記録!$C$2:$C$5000,
MATCH($A111,貸出記録!$A$2:$A$5000,0))="","",
INDEX(貸出記録!$C$2:$C$5000,
MATCH($A111,貸出記録!$A$2:$A$5000,0))
),""))</f>
        <v/>
      </c>
      <c r="D111" s="34" t="str">
        <f t="array" ref="D111">IF($A111="","",
IFERROR(IF(INDEX(貸出記録!$D:$D,
MATCH($A111,貸出記録!$A:$A,0))="","",
INDEX(貸出記録!$D:$D,
MATCH($A111,貸出記録!$A:$A,0))
),""))</f>
        <v/>
      </c>
      <c r="E111" s="34" t="str">
        <f t="array" aca="1" ref="E111" ca="1">IF(D111="","",TODAY()-D111&amp;"日")</f>
        <v/>
      </c>
      <c r="F111" s="34" t="str">
        <f t="array" ref="F111">IF($A111="","",
IFERROR(IF(INDEX(貸出記録!$F:$F,
MATCH($A111,貸出記録!$A:$A,0))="","",
INDEX(貸出記録!$F:$F,
MATCH($A111,貸出記録!$A:$A,0))
),""))</f>
        <v/>
      </c>
    </row>
    <row r="112" spans="1:6" ht="15.6">
      <c r="A112" s="34" t="str">
        <f t="array" ref="A112">IFERROR(
INDEX(貸出記録!$A$2:$A$5000,
SMALL(
IF(貸出記録!$E$2:$E$5000="",
ROW(貸出記録!$A$2:$A$5000)-ROW(貸出記録!$A$2)+1),
ROW(A111)
)
),
"")</f>
        <v>BT-0111</v>
      </c>
      <c r="B112" s="34" t="str">
        <f t="array" ref="B112">IF($A112="","",
IFERROR(IF(INDEX(貸出記録!$B$2:$B$5000,
MATCH($A112,貸出記録!$A$2:$A$5000,0))="","",
INDEX(貸出記録!$B$2:$B$5000,
MATCH($A112,貸出記録!$A$2:$A$5000,0))
),""))</f>
        <v/>
      </c>
      <c r="C112" s="34" t="str">
        <f t="array" ref="C112">IF($A112="","",
IFERROR(IF(INDEX(貸出記録!$C$2:$C$5000,
MATCH($A112,貸出記録!$A$2:$A$5000,0))="","",
INDEX(貸出記録!$C$2:$C$5000,
MATCH($A112,貸出記録!$A$2:$A$5000,0))
),""))</f>
        <v/>
      </c>
      <c r="D112" s="34" t="str">
        <f t="array" ref="D112">IF($A112="","",
IFERROR(IF(INDEX(貸出記録!$D:$D,
MATCH($A112,貸出記録!$A:$A,0))="","",
INDEX(貸出記録!$D:$D,
MATCH($A112,貸出記録!$A:$A,0))
),""))</f>
        <v/>
      </c>
      <c r="E112" s="34" t="str">
        <f t="array" aca="1" ref="E112" ca="1">IF(D112="","",TODAY()-D112&amp;"日")</f>
        <v/>
      </c>
      <c r="F112" s="34" t="str">
        <f t="array" ref="F112">IF($A112="","",
IFERROR(IF(INDEX(貸出記録!$F:$F,
MATCH($A112,貸出記録!$A:$A,0))="","",
INDEX(貸出記録!$F:$F,
MATCH($A112,貸出記録!$A:$A,0))
),""))</f>
        <v/>
      </c>
    </row>
    <row r="113" spans="1:6" ht="15.6">
      <c r="A113" s="34" t="str">
        <f t="array" ref="A113">IFERROR(
INDEX(貸出記録!$A$2:$A$5000,
SMALL(
IF(貸出記録!$E$2:$E$5000="",
ROW(貸出記録!$A$2:$A$5000)-ROW(貸出記録!$A$2)+1),
ROW(A112)
)
),
"")</f>
        <v>BT-0112</v>
      </c>
      <c r="B113" s="34" t="str">
        <f t="array" ref="B113">IF($A113="","",
IFERROR(IF(INDEX(貸出記録!$B$2:$B$5000,
MATCH($A113,貸出記録!$A$2:$A$5000,0))="","",
INDEX(貸出記録!$B$2:$B$5000,
MATCH($A113,貸出記録!$A$2:$A$5000,0))
),""))</f>
        <v/>
      </c>
      <c r="C113" s="34" t="str">
        <f t="array" ref="C113">IF($A113="","",
IFERROR(IF(INDEX(貸出記録!$C$2:$C$5000,
MATCH($A113,貸出記録!$A$2:$A$5000,0))="","",
INDEX(貸出記録!$C$2:$C$5000,
MATCH($A113,貸出記録!$A$2:$A$5000,0))
),""))</f>
        <v/>
      </c>
      <c r="D113" s="34" t="str">
        <f t="array" ref="D113">IF($A113="","",
IFERROR(IF(INDEX(貸出記録!$D:$D,
MATCH($A113,貸出記録!$A:$A,0))="","",
INDEX(貸出記録!$D:$D,
MATCH($A113,貸出記録!$A:$A,0))
),""))</f>
        <v/>
      </c>
      <c r="E113" s="34" t="str">
        <f t="array" aca="1" ref="E113" ca="1">IF(D113="","",TODAY()-D113&amp;"日")</f>
        <v/>
      </c>
      <c r="F113" s="34" t="str">
        <f t="array" ref="F113">IF($A113="","",
IFERROR(IF(INDEX(貸出記録!$F:$F,
MATCH($A113,貸出記録!$A:$A,0))="","",
INDEX(貸出記録!$F:$F,
MATCH($A113,貸出記録!$A:$A,0))
),""))</f>
        <v/>
      </c>
    </row>
    <row r="114" spans="1:6" ht="15.6">
      <c r="A114" s="34" t="str">
        <f t="array" ref="A114">IFERROR(
INDEX(貸出記録!$A$2:$A$5000,
SMALL(
IF(貸出記録!$E$2:$E$5000="",
ROW(貸出記録!$A$2:$A$5000)-ROW(貸出記録!$A$2)+1),
ROW(A113)
)
),
"")</f>
        <v>BT-0113</v>
      </c>
      <c r="B114" s="34" t="str">
        <f t="array" ref="B114">IF($A114="","",
IFERROR(IF(INDEX(貸出記録!$B$2:$B$5000,
MATCH($A114,貸出記録!$A$2:$A$5000,0))="","",
INDEX(貸出記録!$B$2:$B$5000,
MATCH($A114,貸出記録!$A$2:$A$5000,0))
),""))</f>
        <v/>
      </c>
      <c r="C114" s="34" t="str">
        <f t="array" ref="C114">IF($A114="","",
IFERROR(IF(INDEX(貸出記録!$C$2:$C$5000,
MATCH($A114,貸出記録!$A$2:$A$5000,0))="","",
INDEX(貸出記録!$C$2:$C$5000,
MATCH($A114,貸出記録!$A$2:$A$5000,0))
),""))</f>
        <v/>
      </c>
      <c r="D114" s="34" t="str">
        <f t="array" ref="D114">IF($A114="","",
IFERROR(IF(INDEX(貸出記録!$D:$D,
MATCH($A114,貸出記録!$A:$A,0))="","",
INDEX(貸出記録!$D:$D,
MATCH($A114,貸出記録!$A:$A,0))
),""))</f>
        <v/>
      </c>
      <c r="E114" s="34" t="str">
        <f t="array" aca="1" ref="E114" ca="1">IF(D114="","",TODAY()-D114&amp;"日")</f>
        <v/>
      </c>
      <c r="F114" s="34" t="str">
        <f t="array" ref="F114">IF($A114="","",
IFERROR(IF(INDEX(貸出記録!$F:$F,
MATCH($A114,貸出記録!$A:$A,0))="","",
INDEX(貸出記録!$F:$F,
MATCH($A114,貸出記録!$A:$A,0))
),""))</f>
        <v/>
      </c>
    </row>
    <row r="115" spans="1:6" ht="15.6">
      <c r="A115" s="34" t="str">
        <f t="array" ref="A115">IFERROR(
INDEX(貸出記録!$A$2:$A$5000,
SMALL(
IF(貸出記録!$E$2:$E$5000="",
ROW(貸出記録!$A$2:$A$5000)-ROW(貸出記録!$A$2)+1),
ROW(A114)
)
),
"")</f>
        <v>BT-0114</v>
      </c>
      <c r="B115" s="34" t="str">
        <f t="array" ref="B115">IF($A115="","",
IFERROR(IF(INDEX(貸出記録!$B$2:$B$5000,
MATCH($A115,貸出記録!$A$2:$A$5000,0))="","",
INDEX(貸出記録!$B$2:$B$5000,
MATCH($A115,貸出記録!$A$2:$A$5000,0))
),""))</f>
        <v/>
      </c>
      <c r="C115" s="34" t="str">
        <f t="array" ref="C115">IF($A115="","",
IFERROR(IF(INDEX(貸出記録!$C$2:$C$5000,
MATCH($A115,貸出記録!$A$2:$A$5000,0))="","",
INDEX(貸出記録!$C$2:$C$5000,
MATCH($A115,貸出記録!$A$2:$A$5000,0))
),""))</f>
        <v/>
      </c>
      <c r="D115" s="34" t="str">
        <f t="array" ref="D115">IF($A115="","",
IFERROR(IF(INDEX(貸出記録!$D:$D,
MATCH($A115,貸出記録!$A:$A,0))="","",
INDEX(貸出記録!$D:$D,
MATCH($A115,貸出記録!$A:$A,0))
),""))</f>
        <v/>
      </c>
      <c r="E115" s="34" t="str">
        <f t="array" aca="1" ref="E115" ca="1">IF(D115="","",TODAY()-D115&amp;"日")</f>
        <v/>
      </c>
      <c r="F115" s="34" t="str">
        <f t="array" ref="F115">IF($A115="","",
IFERROR(IF(INDEX(貸出記録!$F:$F,
MATCH($A115,貸出記録!$A:$A,0))="","",
INDEX(貸出記録!$F:$F,
MATCH($A115,貸出記録!$A:$A,0))
),""))</f>
        <v/>
      </c>
    </row>
    <row r="116" spans="1:6" ht="15.6">
      <c r="A116" s="34" t="str">
        <f t="array" ref="A116">IFERROR(
INDEX(貸出記録!$A$2:$A$5000,
SMALL(
IF(貸出記録!$E$2:$E$5000="",
ROW(貸出記録!$A$2:$A$5000)-ROW(貸出記録!$A$2)+1),
ROW(A115)
)
),
"")</f>
        <v>BT-0115</v>
      </c>
      <c r="B116" s="34" t="str">
        <f t="array" ref="B116">IF($A116="","",
IFERROR(IF(INDEX(貸出記録!$B$2:$B$5000,
MATCH($A116,貸出記録!$A$2:$A$5000,0))="","",
INDEX(貸出記録!$B$2:$B$5000,
MATCH($A116,貸出記録!$A$2:$A$5000,0))
),""))</f>
        <v/>
      </c>
      <c r="C116" s="34" t="str">
        <f t="array" ref="C116">IF($A116="","",
IFERROR(IF(INDEX(貸出記録!$C$2:$C$5000,
MATCH($A116,貸出記録!$A$2:$A$5000,0))="","",
INDEX(貸出記録!$C$2:$C$5000,
MATCH($A116,貸出記録!$A$2:$A$5000,0))
),""))</f>
        <v/>
      </c>
      <c r="D116" s="34" t="str">
        <f t="array" ref="D116">IF($A116="","",
IFERROR(IF(INDEX(貸出記録!$D:$D,
MATCH($A116,貸出記録!$A:$A,0))="","",
INDEX(貸出記録!$D:$D,
MATCH($A116,貸出記録!$A:$A,0))
),""))</f>
        <v/>
      </c>
      <c r="E116" s="34" t="str">
        <f t="array" aca="1" ref="E116" ca="1">IF(D116="","",TODAY()-D116&amp;"日")</f>
        <v/>
      </c>
      <c r="F116" s="34" t="str">
        <f t="array" ref="F116">IF($A116="","",
IFERROR(IF(INDEX(貸出記録!$F:$F,
MATCH($A116,貸出記録!$A:$A,0))="","",
INDEX(貸出記録!$F:$F,
MATCH($A116,貸出記録!$A:$A,0))
),""))</f>
        <v/>
      </c>
    </row>
    <row r="117" spans="1:6" ht="15.6">
      <c r="A117" s="34" t="str">
        <f t="array" ref="A117">IFERROR(
INDEX(貸出記録!$A$2:$A$5000,
SMALL(
IF(貸出記録!$E$2:$E$5000="",
ROW(貸出記録!$A$2:$A$5000)-ROW(貸出記録!$A$2)+1),
ROW(A116)
)
),
"")</f>
        <v>BT-0116</v>
      </c>
      <c r="B117" s="34" t="str">
        <f t="array" ref="B117">IF($A117="","",
IFERROR(IF(INDEX(貸出記録!$B$2:$B$5000,
MATCH($A117,貸出記録!$A$2:$A$5000,0))="","",
INDEX(貸出記録!$B$2:$B$5000,
MATCH($A117,貸出記録!$A$2:$A$5000,0))
),""))</f>
        <v/>
      </c>
      <c r="C117" s="34" t="str">
        <f t="array" ref="C117">IF($A117="","",
IFERROR(IF(INDEX(貸出記録!$C$2:$C$5000,
MATCH($A117,貸出記録!$A$2:$A$5000,0))="","",
INDEX(貸出記録!$C$2:$C$5000,
MATCH($A117,貸出記録!$A$2:$A$5000,0))
),""))</f>
        <v/>
      </c>
      <c r="D117" s="34" t="str">
        <f t="array" ref="D117">IF($A117="","",
IFERROR(IF(INDEX(貸出記録!$D:$D,
MATCH($A117,貸出記録!$A:$A,0))="","",
INDEX(貸出記録!$D:$D,
MATCH($A117,貸出記録!$A:$A,0))
),""))</f>
        <v/>
      </c>
      <c r="E117" s="34" t="str">
        <f t="array" aca="1" ref="E117" ca="1">IF(D117="","",TODAY()-D117&amp;"日")</f>
        <v/>
      </c>
      <c r="F117" s="34" t="str">
        <f t="array" ref="F117">IF($A117="","",
IFERROR(IF(INDEX(貸出記録!$F:$F,
MATCH($A117,貸出記録!$A:$A,0))="","",
INDEX(貸出記録!$F:$F,
MATCH($A117,貸出記録!$A:$A,0))
),""))</f>
        <v/>
      </c>
    </row>
    <row r="118" spans="1:6" ht="15.6">
      <c r="A118" s="34" t="str">
        <f t="array" ref="A118">IFERROR(
INDEX(貸出記録!$A$2:$A$5000,
SMALL(
IF(貸出記録!$E$2:$E$5000="",
ROW(貸出記録!$A$2:$A$5000)-ROW(貸出記録!$A$2)+1),
ROW(A117)
)
),
"")</f>
        <v>BT-0117</v>
      </c>
      <c r="B118" s="34" t="str">
        <f t="array" ref="B118">IF($A118="","",
IFERROR(IF(INDEX(貸出記録!$B$2:$B$5000,
MATCH($A118,貸出記録!$A$2:$A$5000,0))="","",
INDEX(貸出記録!$B$2:$B$5000,
MATCH($A118,貸出記録!$A$2:$A$5000,0))
),""))</f>
        <v/>
      </c>
      <c r="C118" s="34" t="str">
        <f t="array" ref="C118">IF($A118="","",
IFERROR(IF(INDEX(貸出記録!$C$2:$C$5000,
MATCH($A118,貸出記録!$A$2:$A$5000,0))="","",
INDEX(貸出記録!$C$2:$C$5000,
MATCH($A118,貸出記録!$A$2:$A$5000,0))
),""))</f>
        <v/>
      </c>
      <c r="D118" s="34" t="str">
        <f t="array" ref="D118">IF($A118="","",
IFERROR(IF(INDEX(貸出記録!$D:$D,
MATCH($A118,貸出記録!$A:$A,0))="","",
INDEX(貸出記録!$D:$D,
MATCH($A118,貸出記録!$A:$A,0))
),""))</f>
        <v/>
      </c>
      <c r="E118" s="34" t="str">
        <f t="array" aca="1" ref="E118" ca="1">IF(D118="","",TODAY()-D118&amp;"日")</f>
        <v/>
      </c>
      <c r="F118" s="34" t="str">
        <f t="array" ref="F118">IF($A118="","",
IFERROR(IF(INDEX(貸出記録!$F:$F,
MATCH($A118,貸出記録!$A:$A,0))="","",
INDEX(貸出記録!$F:$F,
MATCH($A118,貸出記録!$A:$A,0))
),""))</f>
        <v/>
      </c>
    </row>
    <row r="119" spans="1:6" ht="15.6">
      <c r="A119" s="34" t="str">
        <f t="array" ref="A119">IFERROR(
INDEX(貸出記録!$A$2:$A$5000,
SMALL(
IF(貸出記録!$E$2:$E$5000="",
ROW(貸出記録!$A$2:$A$5000)-ROW(貸出記録!$A$2)+1),
ROW(A118)
)
),
"")</f>
        <v>BT-0118</v>
      </c>
      <c r="B119" s="34" t="str">
        <f t="array" ref="B119">IF($A119="","",
IFERROR(IF(INDEX(貸出記録!$B$2:$B$5000,
MATCH($A119,貸出記録!$A$2:$A$5000,0))="","",
INDEX(貸出記録!$B$2:$B$5000,
MATCH($A119,貸出記録!$A$2:$A$5000,0))
),""))</f>
        <v/>
      </c>
      <c r="C119" s="34" t="str">
        <f t="array" ref="C119">IF($A119="","",
IFERROR(IF(INDEX(貸出記録!$C$2:$C$5000,
MATCH($A119,貸出記録!$A$2:$A$5000,0))="","",
INDEX(貸出記録!$C$2:$C$5000,
MATCH($A119,貸出記録!$A$2:$A$5000,0))
),""))</f>
        <v/>
      </c>
      <c r="D119" s="34" t="str">
        <f t="array" ref="D119">IF($A119="","",
IFERROR(IF(INDEX(貸出記録!$D:$D,
MATCH($A119,貸出記録!$A:$A,0))="","",
INDEX(貸出記録!$D:$D,
MATCH($A119,貸出記録!$A:$A,0))
),""))</f>
        <v/>
      </c>
      <c r="E119" s="34" t="str">
        <f t="array" aca="1" ref="E119" ca="1">IF(D119="","",TODAY()-D119&amp;"日")</f>
        <v/>
      </c>
      <c r="F119" s="34" t="str">
        <f t="array" ref="F119">IF($A119="","",
IFERROR(IF(INDEX(貸出記録!$F:$F,
MATCH($A119,貸出記録!$A:$A,0))="","",
INDEX(貸出記録!$F:$F,
MATCH($A119,貸出記録!$A:$A,0))
),""))</f>
        <v/>
      </c>
    </row>
    <row r="120" spans="1:6" ht="15.6">
      <c r="A120" s="34" t="str">
        <f t="array" ref="A120">IFERROR(
INDEX(貸出記録!$A$2:$A$5000,
SMALL(
IF(貸出記録!$E$2:$E$5000="",
ROW(貸出記録!$A$2:$A$5000)-ROW(貸出記録!$A$2)+1),
ROW(A119)
)
),
"")</f>
        <v>BT-0119</v>
      </c>
      <c r="B120" s="34" t="str">
        <f t="array" ref="B120">IF($A120="","",
IFERROR(IF(INDEX(貸出記録!$B$2:$B$5000,
MATCH($A120,貸出記録!$A$2:$A$5000,0))="","",
INDEX(貸出記録!$B$2:$B$5000,
MATCH($A120,貸出記録!$A$2:$A$5000,0))
),""))</f>
        <v/>
      </c>
      <c r="C120" s="34" t="str">
        <f t="array" ref="C120">IF($A120="","",
IFERROR(IF(INDEX(貸出記録!$C$2:$C$5000,
MATCH($A120,貸出記録!$A$2:$A$5000,0))="","",
INDEX(貸出記録!$C$2:$C$5000,
MATCH($A120,貸出記録!$A$2:$A$5000,0))
),""))</f>
        <v/>
      </c>
      <c r="D120" s="34" t="str">
        <f t="array" ref="D120">IF($A120="","",
IFERROR(IF(INDEX(貸出記録!$D:$D,
MATCH($A120,貸出記録!$A:$A,0))="","",
INDEX(貸出記録!$D:$D,
MATCH($A120,貸出記録!$A:$A,0))
),""))</f>
        <v/>
      </c>
      <c r="E120" s="34" t="str">
        <f t="array" aca="1" ref="E120" ca="1">IF(D120="","",TODAY()-D120&amp;"日")</f>
        <v/>
      </c>
      <c r="F120" s="34" t="str">
        <f t="array" ref="F120">IF($A120="","",
IFERROR(IF(INDEX(貸出記録!$F:$F,
MATCH($A120,貸出記録!$A:$A,0))="","",
INDEX(貸出記録!$F:$F,
MATCH($A120,貸出記録!$A:$A,0))
),""))</f>
        <v/>
      </c>
    </row>
    <row r="121" spans="1:6" ht="15.6">
      <c r="A121" s="34" t="str">
        <f t="array" ref="A121">IFERROR(
INDEX(貸出記録!$A$2:$A$5000,
SMALL(
IF(貸出記録!$E$2:$E$5000="",
ROW(貸出記録!$A$2:$A$5000)-ROW(貸出記録!$A$2)+1),
ROW(A120)
)
),
"")</f>
        <v>BT-0120</v>
      </c>
      <c r="B121" s="34" t="str">
        <f t="array" ref="B121">IF($A121="","",
IFERROR(IF(INDEX(貸出記録!$B$2:$B$5000,
MATCH($A121,貸出記録!$A$2:$A$5000,0))="","",
INDEX(貸出記録!$B$2:$B$5000,
MATCH($A121,貸出記録!$A$2:$A$5000,0))
),""))</f>
        <v/>
      </c>
      <c r="C121" s="34" t="str">
        <f t="array" ref="C121">IF($A121="","",
IFERROR(IF(INDEX(貸出記録!$C$2:$C$5000,
MATCH($A121,貸出記録!$A$2:$A$5000,0))="","",
INDEX(貸出記録!$C$2:$C$5000,
MATCH($A121,貸出記録!$A$2:$A$5000,0))
),""))</f>
        <v/>
      </c>
      <c r="D121" s="34" t="str">
        <f t="array" ref="D121">IF($A121="","",
IFERROR(IF(INDEX(貸出記録!$D:$D,
MATCH($A121,貸出記録!$A:$A,0))="","",
INDEX(貸出記録!$D:$D,
MATCH($A121,貸出記録!$A:$A,0))
),""))</f>
        <v/>
      </c>
      <c r="E121" s="34" t="str">
        <f t="array" aca="1" ref="E121" ca="1">IF(D121="","",TODAY()-D121&amp;"日")</f>
        <v/>
      </c>
      <c r="F121" s="34" t="str">
        <f t="array" ref="F121">IF($A121="","",
IFERROR(IF(INDEX(貸出記録!$F:$F,
MATCH($A121,貸出記録!$A:$A,0))="","",
INDEX(貸出記録!$F:$F,
MATCH($A121,貸出記録!$A:$A,0))
),""))</f>
        <v/>
      </c>
    </row>
    <row r="122" spans="1:6" ht="15.6">
      <c r="A122" s="34" t="str">
        <f t="array" ref="A122">IFERROR(
INDEX(貸出記録!$A$2:$A$5000,
SMALL(
IF(貸出記録!$E$2:$E$5000="",
ROW(貸出記録!$A$2:$A$5000)-ROW(貸出記録!$A$2)+1),
ROW(A121)
)
),
"")</f>
        <v>BT-0121</v>
      </c>
      <c r="B122" s="34" t="str">
        <f t="array" ref="B122">IF($A122="","",
IFERROR(IF(INDEX(貸出記録!$B$2:$B$5000,
MATCH($A122,貸出記録!$A$2:$A$5000,0))="","",
INDEX(貸出記録!$B$2:$B$5000,
MATCH($A122,貸出記録!$A$2:$A$5000,0))
),""))</f>
        <v/>
      </c>
      <c r="C122" s="34" t="str">
        <f t="array" ref="C122">IF($A122="","",
IFERROR(IF(INDEX(貸出記録!$C$2:$C$5000,
MATCH($A122,貸出記録!$A$2:$A$5000,0))="","",
INDEX(貸出記録!$C$2:$C$5000,
MATCH($A122,貸出記録!$A$2:$A$5000,0))
),""))</f>
        <v/>
      </c>
      <c r="D122" s="34" t="str">
        <f t="array" ref="D122">IF($A122="","",
IFERROR(IF(INDEX(貸出記録!$D:$D,
MATCH($A122,貸出記録!$A:$A,0))="","",
INDEX(貸出記録!$D:$D,
MATCH($A122,貸出記録!$A:$A,0))
),""))</f>
        <v/>
      </c>
      <c r="E122" s="34" t="str">
        <f t="array" aca="1" ref="E122" ca="1">IF(D122="","",TODAY()-D122&amp;"日")</f>
        <v/>
      </c>
      <c r="F122" s="34" t="str">
        <f t="array" ref="F122">IF($A122="","",
IFERROR(IF(INDEX(貸出記録!$F:$F,
MATCH($A122,貸出記録!$A:$A,0))="","",
INDEX(貸出記録!$F:$F,
MATCH($A122,貸出記録!$A:$A,0))
),""))</f>
        <v/>
      </c>
    </row>
    <row r="123" spans="1:6" ht="15.6">
      <c r="A123" s="34" t="str">
        <f t="array" ref="A123">IFERROR(
INDEX(貸出記録!$A$2:$A$5000,
SMALL(
IF(貸出記録!$E$2:$E$5000="",
ROW(貸出記録!$A$2:$A$5000)-ROW(貸出記録!$A$2)+1),
ROW(A122)
)
),
"")</f>
        <v>BT-0122</v>
      </c>
      <c r="B123" s="34" t="str">
        <f t="array" ref="B123">IF($A123="","",
IFERROR(IF(INDEX(貸出記録!$B$2:$B$5000,
MATCH($A123,貸出記録!$A$2:$A$5000,0))="","",
INDEX(貸出記録!$B$2:$B$5000,
MATCH($A123,貸出記録!$A$2:$A$5000,0))
),""))</f>
        <v/>
      </c>
      <c r="C123" s="34" t="str">
        <f t="array" ref="C123">IF($A123="","",
IFERROR(IF(INDEX(貸出記録!$C$2:$C$5000,
MATCH($A123,貸出記録!$A$2:$A$5000,0))="","",
INDEX(貸出記録!$C$2:$C$5000,
MATCH($A123,貸出記録!$A$2:$A$5000,0))
),""))</f>
        <v/>
      </c>
      <c r="D123" s="34" t="str">
        <f t="array" ref="D123">IF($A123="","",
IFERROR(IF(INDEX(貸出記録!$D:$D,
MATCH($A123,貸出記録!$A:$A,0))="","",
INDEX(貸出記録!$D:$D,
MATCH($A123,貸出記録!$A:$A,0))
),""))</f>
        <v/>
      </c>
      <c r="E123" s="34" t="str">
        <f t="array" aca="1" ref="E123" ca="1">IF(D123="","",TODAY()-D123&amp;"日")</f>
        <v/>
      </c>
      <c r="F123" s="34" t="str">
        <f t="array" ref="F123">IF($A123="","",
IFERROR(IF(INDEX(貸出記録!$F:$F,
MATCH($A123,貸出記録!$A:$A,0))="","",
INDEX(貸出記録!$F:$F,
MATCH($A123,貸出記録!$A:$A,0))
),""))</f>
        <v/>
      </c>
    </row>
    <row r="124" spans="1:6" ht="15.6">
      <c r="A124" s="34" t="str">
        <f t="array" ref="A124">IFERROR(
INDEX(貸出記録!$A$2:$A$5000,
SMALL(
IF(貸出記録!$E$2:$E$5000="",
ROW(貸出記録!$A$2:$A$5000)-ROW(貸出記録!$A$2)+1),
ROW(A123)
)
),
"")</f>
        <v>BT-0123</v>
      </c>
      <c r="B124" s="34" t="str">
        <f t="array" ref="B124">IF($A124="","",
IFERROR(IF(INDEX(貸出記録!$B$2:$B$5000,
MATCH($A124,貸出記録!$A$2:$A$5000,0))="","",
INDEX(貸出記録!$B$2:$B$5000,
MATCH($A124,貸出記録!$A$2:$A$5000,0))
),""))</f>
        <v/>
      </c>
      <c r="C124" s="34" t="str">
        <f t="array" ref="C124">IF($A124="","",
IFERROR(IF(INDEX(貸出記録!$C$2:$C$5000,
MATCH($A124,貸出記録!$A$2:$A$5000,0))="","",
INDEX(貸出記録!$C$2:$C$5000,
MATCH($A124,貸出記録!$A$2:$A$5000,0))
),""))</f>
        <v/>
      </c>
      <c r="D124" s="34" t="str">
        <f t="array" ref="D124">IF($A124="","",
IFERROR(IF(INDEX(貸出記録!$D:$D,
MATCH($A124,貸出記録!$A:$A,0))="","",
INDEX(貸出記録!$D:$D,
MATCH($A124,貸出記録!$A:$A,0))
),""))</f>
        <v/>
      </c>
      <c r="E124" s="34" t="str">
        <f t="array" aca="1" ref="E124" ca="1">IF(D124="","",TODAY()-D124&amp;"日")</f>
        <v/>
      </c>
      <c r="F124" s="34" t="str">
        <f t="array" ref="F124">IF($A124="","",
IFERROR(IF(INDEX(貸出記録!$F:$F,
MATCH($A124,貸出記録!$A:$A,0))="","",
INDEX(貸出記録!$F:$F,
MATCH($A124,貸出記録!$A:$A,0))
),""))</f>
        <v/>
      </c>
    </row>
    <row r="125" spans="1:6" ht="15.6">
      <c r="A125" s="34" t="str">
        <f t="array" ref="A125">IFERROR(
INDEX(貸出記録!$A$2:$A$5000,
SMALL(
IF(貸出記録!$E$2:$E$5000="",
ROW(貸出記録!$A$2:$A$5000)-ROW(貸出記録!$A$2)+1),
ROW(A124)
)
),
"")</f>
        <v>BT-0124</v>
      </c>
      <c r="B125" s="34" t="str">
        <f t="array" ref="B125">IF($A125="","",
IFERROR(IF(INDEX(貸出記録!$B$2:$B$5000,
MATCH($A125,貸出記録!$A$2:$A$5000,0))="","",
INDEX(貸出記録!$B$2:$B$5000,
MATCH($A125,貸出記録!$A$2:$A$5000,0))
),""))</f>
        <v/>
      </c>
      <c r="C125" s="34" t="str">
        <f t="array" ref="C125">IF($A125="","",
IFERROR(IF(INDEX(貸出記録!$C$2:$C$5000,
MATCH($A125,貸出記録!$A$2:$A$5000,0))="","",
INDEX(貸出記録!$C$2:$C$5000,
MATCH($A125,貸出記録!$A$2:$A$5000,0))
),""))</f>
        <v/>
      </c>
      <c r="D125" s="34" t="str">
        <f t="array" ref="D125">IF($A125="","",
IFERROR(IF(INDEX(貸出記録!$D:$D,
MATCH($A125,貸出記録!$A:$A,0))="","",
INDEX(貸出記録!$D:$D,
MATCH($A125,貸出記録!$A:$A,0))
),""))</f>
        <v/>
      </c>
      <c r="E125" s="34" t="str">
        <f t="array" aca="1" ref="E125" ca="1">IF(D125="","",TODAY()-D125&amp;"日")</f>
        <v/>
      </c>
      <c r="F125" s="34" t="str">
        <f t="array" ref="F125">IF($A125="","",
IFERROR(IF(INDEX(貸出記録!$F:$F,
MATCH($A125,貸出記録!$A:$A,0))="","",
INDEX(貸出記録!$F:$F,
MATCH($A125,貸出記録!$A:$A,0))
),""))</f>
        <v/>
      </c>
    </row>
    <row r="126" spans="1:6" ht="15.6">
      <c r="A126" s="34" t="str">
        <f t="array" ref="A126">IFERROR(
INDEX(貸出記録!$A$2:$A$5000,
SMALL(
IF(貸出記録!$E$2:$E$5000="",
ROW(貸出記録!$A$2:$A$5000)-ROW(貸出記録!$A$2)+1),
ROW(A125)
)
),
"")</f>
        <v>BT-0125</v>
      </c>
      <c r="B126" s="34" t="str">
        <f t="array" ref="B126">IF($A126="","",
IFERROR(IF(INDEX(貸出記録!$B$2:$B$5000,
MATCH($A126,貸出記録!$A$2:$A$5000,0))="","",
INDEX(貸出記録!$B$2:$B$5000,
MATCH($A126,貸出記録!$A$2:$A$5000,0))
),""))</f>
        <v/>
      </c>
      <c r="C126" s="34" t="str">
        <f t="array" ref="C126">IF($A126="","",
IFERROR(IF(INDEX(貸出記録!$C$2:$C$5000,
MATCH($A126,貸出記録!$A$2:$A$5000,0))="","",
INDEX(貸出記録!$C$2:$C$5000,
MATCH($A126,貸出記録!$A$2:$A$5000,0))
),""))</f>
        <v/>
      </c>
      <c r="D126" s="34" t="str">
        <f t="array" ref="D126">IF($A126="","",
IFERROR(IF(INDEX(貸出記録!$D:$D,
MATCH($A126,貸出記録!$A:$A,0))="","",
INDEX(貸出記録!$D:$D,
MATCH($A126,貸出記録!$A:$A,0))
),""))</f>
        <v/>
      </c>
      <c r="E126" s="34" t="str">
        <f t="array" aca="1" ref="E126" ca="1">IF(D126="","",TODAY()-D126&amp;"日")</f>
        <v/>
      </c>
      <c r="F126" s="34" t="str">
        <f t="array" ref="F126">IF($A126="","",
IFERROR(IF(INDEX(貸出記録!$F:$F,
MATCH($A126,貸出記録!$A:$A,0))="","",
INDEX(貸出記録!$F:$F,
MATCH($A126,貸出記録!$A:$A,0))
),""))</f>
        <v/>
      </c>
    </row>
    <row r="127" spans="1:6" ht="15.6">
      <c r="A127" s="34" t="str">
        <f t="array" ref="A127">IFERROR(
INDEX(貸出記録!$A$2:$A$5000,
SMALL(
IF(貸出記録!$E$2:$E$5000="",
ROW(貸出記録!$A$2:$A$5000)-ROW(貸出記録!$A$2)+1),
ROW(A126)
)
),
"")</f>
        <v>BT-0126</v>
      </c>
      <c r="B127" s="34" t="str">
        <f t="array" ref="B127">IF($A127="","",
IFERROR(IF(INDEX(貸出記録!$B$2:$B$5000,
MATCH($A127,貸出記録!$A$2:$A$5000,0))="","",
INDEX(貸出記録!$B$2:$B$5000,
MATCH($A127,貸出記録!$A$2:$A$5000,0))
),""))</f>
        <v/>
      </c>
      <c r="C127" s="34" t="str">
        <f t="array" ref="C127">IF($A127="","",
IFERROR(IF(INDEX(貸出記録!$C$2:$C$5000,
MATCH($A127,貸出記録!$A$2:$A$5000,0))="","",
INDEX(貸出記録!$C$2:$C$5000,
MATCH($A127,貸出記録!$A$2:$A$5000,0))
),""))</f>
        <v/>
      </c>
      <c r="D127" s="34" t="str">
        <f t="array" ref="D127">IF($A127="","",
IFERROR(IF(INDEX(貸出記録!$D:$D,
MATCH($A127,貸出記録!$A:$A,0))="","",
INDEX(貸出記録!$D:$D,
MATCH($A127,貸出記録!$A:$A,0))
),""))</f>
        <v/>
      </c>
      <c r="E127" s="34" t="str">
        <f t="array" aca="1" ref="E127" ca="1">IF(D127="","",TODAY()-D127&amp;"日")</f>
        <v/>
      </c>
      <c r="F127" s="34" t="str">
        <f t="array" ref="F127">IF($A127="","",
IFERROR(IF(INDEX(貸出記録!$F:$F,
MATCH($A127,貸出記録!$A:$A,0))="","",
INDEX(貸出記録!$F:$F,
MATCH($A127,貸出記録!$A:$A,0))
),""))</f>
        <v/>
      </c>
    </row>
    <row r="128" spans="1:6" ht="15.6">
      <c r="A128" s="34" t="str">
        <f t="array" ref="A128">IFERROR(
INDEX(貸出記録!$A$2:$A$5000,
SMALL(
IF(貸出記録!$E$2:$E$5000="",
ROW(貸出記録!$A$2:$A$5000)-ROW(貸出記録!$A$2)+1),
ROW(A127)
)
),
"")</f>
        <v>BT-0127</v>
      </c>
      <c r="B128" s="34" t="str">
        <f t="array" ref="B128">IF($A128="","",
IFERROR(IF(INDEX(貸出記録!$B$2:$B$5000,
MATCH($A128,貸出記録!$A$2:$A$5000,0))="","",
INDEX(貸出記録!$B$2:$B$5000,
MATCH($A128,貸出記録!$A$2:$A$5000,0))
),""))</f>
        <v/>
      </c>
      <c r="C128" s="34" t="str">
        <f t="array" ref="C128">IF($A128="","",
IFERROR(IF(INDEX(貸出記録!$C$2:$C$5000,
MATCH($A128,貸出記録!$A$2:$A$5000,0))="","",
INDEX(貸出記録!$C$2:$C$5000,
MATCH($A128,貸出記録!$A$2:$A$5000,0))
),""))</f>
        <v/>
      </c>
      <c r="D128" s="34" t="str">
        <f t="array" ref="D128">IF($A128="","",
IFERROR(IF(INDEX(貸出記録!$D:$D,
MATCH($A128,貸出記録!$A:$A,0))="","",
INDEX(貸出記録!$D:$D,
MATCH($A128,貸出記録!$A:$A,0))
),""))</f>
        <v/>
      </c>
      <c r="E128" s="34" t="str">
        <f t="array" aca="1" ref="E128" ca="1">IF(D128="","",TODAY()-D128&amp;"日")</f>
        <v/>
      </c>
      <c r="F128" s="34" t="str">
        <f t="array" ref="F128">IF($A128="","",
IFERROR(IF(INDEX(貸出記録!$F:$F,
MATCH($A128,貸出記録!$A:$A,0))="","",
INDEX(貸出記録!$F:$F,
MATCH($A128,貸出記録!$A:$A,0))
),""))</f>
        <v/>
      </c>
    </row>
    <row r="129" spans="1:6" ht="15.6">
      <c r="A129" s="34" t="str">
        <f t="array" ref="A129">IFERROR(
INDEX(貸出記録!$A$2:$A$5000,
SMALL(
IF(貸出記録!$E$2:$E$5000="",
ROW(貸出記録!$A$2:$A$5000)-ROW(貸出記録!$A$2)+1),
ROW(A128)
)
),
"")</f>
        <v>BT-0128</v>
      </c>
      <c r="B129" s="34" t="str">
        <f t="array" ref="B129">IF($A129="","",
IFERROR(IF(INDEX(貸出記録!$B$2:$B$5000,
MATCH($A129,貸出記録!$A$2:$A$5000,0))="","",
INDEX(貸出記録!$B$2:$B$5000,
MATCH($A129,貸出記録!$A$2:$A$5000,0))
),""))</f>
        <v/>
      </c>
      <c r="C129" s="34" t="str">
        <f t="array" ref="C129">IF($A129="","",
IFERROR(IF(INDEX(貸出記録!$C$2:$C$5000,
MATCH($A129,貸出記録!$A$2:$A$5000,0))="","",
INDEX(貸出記録!$C$2:$C$5000,
MATCH($A129,貸出記録!$A$2:$A$5000,0))
),""))</f>
        <v/>
      </c>
      <c r="D129" s="34" t="str">
        <f t="array" ref="D129">IF($A129="","",
IFERROR(IF(INDEX(貸出記録!$D:$D,
MATCH($A129,貸出記録!$A:$A,0))="","",
INDEX(貸出記録!$D:$D,
MATCH($A129,貸出記録!$A:$A,0))
),""))</f>
        <v/>
      </c>
      <c r="E129" s="34" t="str">
        <f t="array" aca="1" ref="E129" ca="1">IF(D129="","",TODAY()-D129&amp;"日")</f>
        <v/>
      </c>
      <c r="F129" s="34" t="str">
        <f t="array" ref="F129">IF($A129="","",
IFERROR(IF(INDEX(貸出記録!$F:$F,
MATCH($A129,貸出記録!$A:$A,0))="","",
INDEX(貸出記録!$F:$F,
MATCH($A129,貸出記録!$A:$A,0))
),""))</f>
        <v/>
      </c>
    </row>
    <row r="130" spans="1:6" ht="15.6">
      <c r="A130" s="34" t="str">
        <f t="array" ref="A130">IFERROR(
INDEX(貸出記録!$A$2:$A$5000,
SMALL(
IF(貸出記録!$E$2:$E$5000="",
ROW(貸出記録!$A$2:$A$5000)-ROW(貸出記録!$A$2)+1),
ROW(A129)
)
),
"")</f>
        <v>BT-0129</v>
      </c>
      <c r="B130" s="34" t="str">
        <f t="array" ref="B130">IF($A130="","",
IFERROR(IF(INDEX(貸出記録!$B$2:$B$5000,
MATCH($A130,貸出記録!$A$2:$A$5000,0))="","",
INDEX(貸出記録!$B$2:$B$5000,
MATCH($A130,貸出記録!$A$2:$A$5000,0))
),""))</f>
        <v/>
      </c>
      <c r="C130" s="34" t="str">
        <f t="array" ref="C130">IF($A130="","",
IFERROR(IF(INDEX(貸出記録!$C$2:$C$5000,
MATCH($A130,貸出記録!$A$2:$A$5000,0))="","",
INDEX(貸出記録!$C$2:$C$5000,
MATCH($A130,貸出記録!$A$2:$A$5000,0))
),""))</f>
        <v/>
      </c>
      <c r="D130" s="34" t="str">
        <f t="array" ref="D130">IF($A130="","",
IFERROR(IF(INDEX(貸出記録!$D:$D,
MATCH($A130,貸出記録!$A:$A,0))="","",
INDEX(貸出記録!$D:$D,
MATCH($A130,貸出記録!$A:$A,0))
),""))</f>
        <v/>
      </c>
      <c r="E130" s="34" t="str">
        <f t="array" aca="1" ref="E130" ca="1">IF(D130="","",TODAY()-D130&amp;"日")</f>
        <v/>
      </c>
      <c r="F130" s="34" t="str">
        <f t="array" ref="F130">IF($A130="","",
IFERROR(IF(INDEX(貸出記録!$F:$F,
MATCH($A130,貸出記録!$A:$A,0))="","",
INDEX(貸出記録!$F:$F,
MATCH($A130,貸出記録!$A:$A,0))
),""))</f>
        <v/>
      </c>
    </row>
    <row r="131" spans="1:6" ht="15.6">
      <c r="A131" s="34" t="str">
        <f t="array" ref="A131">IFERROR(
INDEX(貸出記録!$A$2:$A$5000,
SMALL(
IF(貸出記録!$E$2:$E$5000="",
ROW(貸出記録!$A$2:$A$5000)-ROW(貸出記録!$A$2)+1),
ROW(A130)
)
),
"")</f>
        <v>BT-0130</v>
      </c>
      <c r="B131" s="34" t="str">
        <f t="array" ref="B131">IF($A131="","",
IFERROR(IF(INDEX(貸出記録!$B$2:$B$5000,
MATCH($A131,貸出記録!$A$2:$A$5000,0))="","",
INDEX(貸出記録!$B$2:$B$5000,
MATCH($A131,貸出記録!$A$2:$A$5000,0))
),""))</f>
        <v/>
      </c>
      <c r="C131" s="34" t="str">
        <f t="array" ref="C131">IF($A131="","",
IFERROR(IF(INDEX(貸出記録!$C$2:$C$5000,
MATCH($A131,貸出記録!$A$2:$A$5000,0))="","",
INDEX(貸出記録!$C$2:$C$5000,
MATCH($A131,貸出記録!$A$2:$A$5000,0))
),""))</f>
        <v/>
      </c>
      <c r="D131" s="34" t="str">
        <f t="array" ref="D131">IF($A131="","",
IFERROR(IF(INDEX(貸出記録!$D:$D,
MATCH($A131,貸出記録!$A:$A,0))="","",
INDEX(貸出記録!$D:$D,
MATCH($A131,貸出記録!$A:$A,0))
),""))</f>
        <v/>
      </c>
      <c r="E131" s="34" t="str">
        <f t="array" aca="1" ref="E131" ca="1">IF(D131="","",TODAY()-D131&amp;"日")</f>
        <v/>
      </c>
      <c r="F131" s="34" t="str">
        <f t="array" ref="F131">IF($A131="","",
IFERROR(IF(INDEX(貸出記録!$F:$F,
MATCH($A131,貸出記録!$A:$A,0))="","",
INDEX(貸出記録!$F:$F,
MATCH($A131,貸出記録!$A:$A,0))
),""))</f>
        <v/>
      </c>
    </row>
    <row r="132" spans="1:6" ht="15.6">
      <c r="A132" s="34" t="str">
        <f t="array" ref="A132">IFERROR(
INDEX(貸出記録!$A$2:$A$5000,
SMALL(
IF(貸出記録!$E$2:$E$5000="",
ROW(貸出記録!$A$2:$A$5000)-ROW(貸出記録!$A$2)+1),
ROW(A131)
)
),
"")</f>
        <v>BT-0131</v>
      </c>
      <c r="B132" s="34" t="str">
        <f t="array" ref="B132">IF($A132="","",
IFERROR(IF(INDEX(貸出記録!$B$2:$B$5000,
MATCH($A132,貸出記録!$A$2:$A$5000,0))="","",
INDEX(貸出記録!$B$2:$B$5000,
MATCH($A132,貸出記録!$A$2:$A$5000,0))
),""))</f>
        <v/>
      </c>
      <c r="C132" s="34" t="str">
        <f t="array" ref="C132">IF($A132="","",
IFERROR(IF(INDEX(貸出記録!$C$2:$C$5000,
MATCH($A132,貸出記録!$A$2:$A$5000,0))="","",
INDEX(貸出記録!$C$2:$C$5000,
MATCH($A132,貸出記録!$A$2:$A$5000,0))
),""))</f>
        <v/>
      </c>
      <c r="D132" s="34" t="str">
        <f t="array" ref="D132">IF($A132="","",
IFERROR(IF(INDEX(貸出記録!$D:$D,
MATCH($A132,貸出記録!$A:$A,0))="","",
INDEX(貸出記録!$D:$D,
MATCH($A132,貸出記録!$A:$A,0))
),""))</f>
        <v/>
      </c>
      <c r="E132" s="34" t="str">
        <f t="array" aca="1" ref="E132" ca="1">IF(D132="","",TODAY()-D132&amp;"日")</f>
        <v/>
      </c>
      <c r="F132" s="34" t="str">
        <f t="array" ref="F132">IF($A132="","",
IFERROR(IF(INDEX(貸出記録!$F:$F,
MATCH($A132,貸出記録!$A:$A,0))="","",
INDEX(貸出記録!$F:$F,
MATCH($A132,貸出記録!$A:$A,0))
),""))</f>
        <v/>
      </c>
    </row>
    <row r="133" spans="1:6" ht="15.6">
      <c r="A133" s="34" t="str">
        <f t="array" ref="A133">IFERROR(
INDEX(貸出記録!$A$2:$A$5000,
SMALL(
IF(貸出記録!$E$2:$E$5000="",
ROW(貸出記録!$A$2:$A$5000)-ROW(貸出記録!$A$2)+1),
ROW(A132)
)
),
"")</f>
        <v>BT-0132</v>
      </c>
      <c r="B133" s="34" t="str">
        <f t="array" ref="B133">IF($A133="","",
IFERROR(IF(INDEX(貸出記録!$B$2:$B$5000,
MATCH($A133,貸出記録!$A$2:$A$5000,0))="","",
INDEX(貸出記録!$B$2:$B$5000,
MATCH($A133,貸出記録!$A$2:$A$5000,0))
),""))</f>
        <v/>
      </c>
      <c r="C133" s="34" t="str">
        <f t="array" ref="C133">IF($A133="","",
IFERROR(IF(INDEX(貸出記録!$C$2:$C$5000,
MATCH($A133,貸出記録!$A$2:$A$5000,0))="","",
INDEX(貸出記録!$C$2:$C$5000,
MATCH($A133,貸出記録!$A$2:$A$5000,0))
),""))</f>
        <v/>
      </c>
      <c r="D133" s="34" t="str">
        <f t="array" ref="D133">IF($A133="","",
IFERROR(IF(INDEX(貸出記録!$D:$D,
MATCH($A133,貸出記録!$A:$A,0))="","",
INDEX(貸出記録!$D:$D,
MATCH($A133,貸出記録!$A:$A,0))
),""))</f>
        <v/>
      </c>
      <c r="E133" s="34" t="str">
        <f t="array" aca="1" ref="E133" ca="1">IF(D133="","",TODAY()-D133&amp;"日")</f>
        <v/>
      </c>
      <c r="F133" s="34" t="str">
        <f t="array" ref="F133">IF($A133="","",
IFERROR(IF(INDEX(貸出記録!$F:$F,
MATCH($A133,貸出記録!$A:$A,0))="","",
INDEX(貸出記録!$F:$F,
MATCH($A133,貸出記録!$A:$A,0))
),""))</f>
        <v/>
      </c>
    </row>
    <row r="134" spans="1:6" ht="15.6">
      <c r="A134" s="34" t="str">
        <f t="array" ref="A134">IFERROR(
INDEX(貸出記録!$A$2:$A$5000,
SMALL(
IF(貸出記録!$E$2:$E$5000="",
ROW(貸出記録!$A$2:$A$5000)-ROW(貸出記録!$A$2)+1),
ROW(A133)
)
),
"")</f>
        <v>BT-0133</v>
      </c>
      <c r="B134" s="34" t="str">
        <f t="array" ref="B134">IF($A134="","",
IFERROR(IF(INDEX(貸出記録!$B$2:$B$5000,
MATCH($A134,貸出記録!$A$2:$A$5000,0))="","",
INDEX(貸出記録!$B$2:$B$5000,
MATCH($A134,貸出記録!$A$2:$A$5000,0))
),""))</f>
        <v/>
      </c>
      <c r="C134" s="34" t="str">
        <f t="array" ref="C134">IF($A134="","",
IFERROR(IF(INDEX(貸出記録!$C$2:$C$5000,
MATCH($A134,貸出記録!$A$2:$A$5000,0))="","",
INDEX(貸出記録!$C$2:$C$5000,
MATCH($A134,貸出記録!$A$2:$A$5000,0))
),""))</f>
        <v/>
      </c>
      <c r="D134" s="34" t="str">
        <f t="array" ref="D134">IF($A134="","",
IFERROR(IF(INDEX(貸出記録!$D:$D,
MATCH($A134,貸出記録!$A:$A,0))="","",
INDEX(貸出記録!$D:$D,
MATCH($A134,貸出記録!$A:$A,0))
),""))</f>
        <v/>
      </c>
      <c r="E134" s="34" t="str">
        <f t="array" aca="1" ref="E134" ca="1">IF(D134="","",TODAY()-D134&amp;"日")</f>
        <v/>
      </c>
      <c r="F134" s="34" t="str">
        <f t="array" ref="F134">IF($A134="","",
IFERROR(IF(INDEX(貸出記録!$F:$F,
MATCH($A134,貸出記録!$A:$A,0))="","",
INDEX(貸出記録!$F:$F,
MATCH($A134,貸出記録!$A:$A,0))
),""))</f>
        <v/>
      </c>
    </row>
    <row r="135" spans="1:6" ht="15.6">
      <c r="A135" s="34" t="str">
        <f t="array" ref="A135">IFERROR(
INDEX(貸出記録!$A$2:$A$5000,
SMALL(
IF(貸出記録!$E$2:$E$5000="",
ROW(貸出記録!$A$2:$A$5000)-ROW(貸出記録!$A$2)+1),
ROW(A134)
)
),
"")</f>
        <v>BT-0134</v>
      </c>
      <c r="B135" s="34" t="str">
        <f t="array" ref="B135">IF($A135="","",
IFERROR(IF(INDEX(貸出記録!$B$2:$B$5000,
MATCH($A135,貸出記録!$A$2:$A$5000,0))="","",
INDEX(貸出記録!$B$2:$B$5000,
MATCH($A135,貸出記録!$A$2:$A$5000,0))
),""))</f>
        <v/>
      </c>
      <c r="C135" s="34" t="str">
        <f t="array" ref="C135">IF($A135="","",
IFERROR(IF(INDEX(貸出記録!$C$2:$C$5000,
MATCH($A135,貸出記録!$A$2:$A$5000,0))="","",
INDEX(貸出記録!$C$2:$C$5000,
MATCH($A135,貸出記録!$A$2:$A$5000,0))
),""))</f>
        <v/>
      </c>
      <c r="D135" s="34" t="str">
        <f t="array" ref="D135">IF($A135="","",
IFERROR(IF(INDEX(貸出記録!$D:$D,
MATCH($A135,貸出記録!$A:$A,0))="","",
INDEX(貸出記録!$D:$D,
MATCH($A135,貸出記録!$A:$A,0))
),""))</f>
        <v/>
      </c>
      <c r="E135" s="34" t="str">
        <f t="array" aca="1" ref="E135" ca="1">IF(D135="","",TODAY()-D135&amp;"日")</f>
        <v/>
      </c>
      <c r="F135" s="34" t="str">
        <f t="array" ref="F135">IF($A135="","",
IFERROR(IF(INDEX(貸出記録!$F:$F,
MATCH($A135,貸出記録!$A:$A,0))="","",
INDEX(貸出記録!$F:$F,
MATCH($A135,貸出記録!$A:$A,0))
),""))</f>
        <v/>
      </c>
    </row>
    <row r="136" spans="1:6" ht="15.6">
      <c r="A136" s="34" t="str">
        <f t="array" ref="A136">IFERROR(
INDEX(貸出記録!$A$2:$A$5000,
SMALL(
IF(貸出記録!$E$2:$E$5000="",
ROW(貸出記録!$A$2:$A$5000)-ROW(貸出記録!$A$2)+1),
ROW(A135)
)
),
"")</f>
        <v>BT-0135</v>
      </c>
      <c r="B136" s="34" t="str">
        <f t="array" ref="B136">IF($A136="","",
IFERROR(IF(INDEX(貸出記録!$B$2:$B$5000,
MATCH($A136,貸出記録!$A$2:$A$5000,0))="","",
INDEX(貸出記録!$B$2:$B$5000,
MATCH($A136,貸出記録!$A$2:$A$5000,0))
),""))</f>
        <v/>
      </c>
      <c r="C136" s="34" t="str">
        <f t="array" ref="C136">IF($A136="","",
IFERROR(IF(INDEX(貸出記録!$C$2:$C$5000,
MATCH($A136,貸出記録!$A$2:$A$5000,0))="","",
INDEX(貸出記録!$C$2:$C$5000,
MATCH($A136,貸出記録!$A$2:$A$5000,0))
),""))</f>
        <v/>
      </c>
      <c r="D136" s="34" t="str">
        <f t="array" ref="D136">IF($A136="","",
IFERROR(IF(INDEX(貸出記録!$D:$D,
MATCH($A136,貸出記録!$A:$A,0))="","",
INDEX(貸出記録!$D:$D,
MATCH($A136,貸出記録!$A:$A,0))
),""))</f>
        <v/>
      </c>
      <c r="E136" s="34" t="str">
        <f t="array" aca="1" ref="E136" ca="1">IF(D136="","",TODAY()-D136&amp;"日")</f>
        <v/>
      </c>
      <c r="F136" s="34" t="str">
        <f t="array" ref="F136">IF($A136="","",
IFERROR(IF(INDEX(貸出記録!$F:$F,
MATCH($A136,貸出記録!$A:$A,0))="","",
INDEX(貸出記録!$F:$F,
MATCH($A136,貸出記録!$A:$A,0))
),""))</f>
        <v/>
      </c>
    </row>
    <row r="137" spans="1:6" ht="15.6">
      <c r="A137" s="34" t="str">
        <f t="array" ref="A137">IFERROR(
INDEX(貸出記録!$A$2:$A$5000,
SMALL(
IF(貸出記録!$E$2:$E$5000="",
ROW(貸出記録!$A$2:$A$5000)-ROW(貸出記録!$A$2)+1),
ROW(A136)
)
),
"")</f>
        <v>BT-0136</v>
      </c>
      <c r="B137" s="34" t="str">
        <f t="array" ref="B137">IF($A137="","",
IFERROR(IF(INDEX(貸出記録!$B$2:$B$5000,
MATCH($A137,貸出記録!$A$2:$A$5000,0))="","",
INDEX(貸出記録!$B$2:$B$5000,
MATCH($A137,貸出記録!$A$2:$A$5000,0))
),""))</f>
        <v/>
      </c>
      <c r="C137" s="34" t="str">
        <f t="array" ref="C137">IF($A137="","",
IFERROR(IF(INDEX(貸出記録!$C$2:$C$5000,
MATCH($A137,貸出記録!$A$2:$A$5000,0))="","",
INDEX(貸出記録!$C$2:$C$5000,
MATCH($A137,貸出記録!$A$2:$A$5000,0))
),""))</f>
        <v/>
      </c>
      <c r="D137" s="34" t="str">
        <f t="array" ref="D137">IF($A137="","",
IFERROR(IF(INDEX(貸出記録!$D:$D,
MATCH($A137,貸出記録!$A:$A,0))="","",
INDEX(貸出記録!$D:$D,
MATCH($A137,貸出記録!$A:$A,0))
),""))</f>
        <v/>
      </c>
      <c r="E137" s="34" t="str">
        <f t="array" aca="1" ref="E137" ca="1">IF(D137="","",TODAY()-D137&amp;"日")</f>
        <v/>
      </c>
      <c r="F137" s="34" t="str">
        <f t="array" ref="F137">IF($A137="","",
IFERROR(IF(INDEX(貸出記録!$F:$F,
MATCH($A137,貸出記録!$A:$A,0))="","",
INDEX(貸出記録!$F:$F,
MATCH($A137,貸出記録!$A:$A,0))
),""))</f>
        <v/>
      </c>
    </row>
    <row r="138" spans="1:6" ht="15.6">
      <c r="A138" s="34" t="str">
        <f t="array" ref="A138">IFERROR(
INDEX(貸出記録!$A$2:$A$5000,
SMALL(
IF(貸出記録!$E$2:$E$5000="",
ROW(貸出記録!$A$2:$A$5000)-ROW(貸出記録!$A$2)+1),
ROW(A137)
)
),
"")</f>
        <v>BT-0137</v>
      </c>
      <c r="B138" s="34" t="str">
        <f t="array" ref="B138">IF($A138="","",
IFERROR(IF(INDEX(貸出記録!$B$2:$B$5000,
MATCH($A138,貸出記録!$A$2:$A$5000,0))="","",
INDEX(貸出記録!$B$2:$B$5000,
MATCH($A138,貸出記録!$A$2:$A$5000,0))
),""))</f>
        <v/>
      </c>
      <c r="C138" s="34" t="str">
        <f t="array" ref="C138">IF($A138="","",
IFERROR(IF(INDEX(貸出記録!$C$2:$C$5000,
MATCH($A138,貸出記録!$A$2:$A$5000,0))="","",
INDEX(貸出記録!$C$2:$C$5000,
MATCH($A138,貸出記録!$A$2:$A$5000,0))
),""))</f>
        <v/>
      </c>
      <c r="D138" s="34" t="str">
        <f t="array" ref="D138">IF($A138="","",
IFERROR(IF(INDEX(貸出記録!$D:$D,
MATCH($A138,貸出記録!$A:$A,0))="","",
INDEX(貸出記録!$D:$D,
MATCH($A138,貸出記録!$A:$A,0))
),""))</f>
        <v/>
      </c>
      <c r="E138" s="34" t="str">
        <f t="array" aca="1" ref="E138" ca="1">IF(D138="","",TODAY()-D138&amp;"日")</f>
        <v/>
      </c>
      <c r="F138" s="34" t="str">
        <f t="array" ref="F138">IF($A138="","",
IFERROR(IF(INDEX(貸出記録!$F:$F,
MATCH($A138,貸出記録!$A:$A,0))="","",
INDEX(貸出記録!$F:$F,
MATCH($A138,貸出記録!$A:$A,0))
),""))</f>
        <v/>
      </c>
    </row>
    <row r="139" spans="1:6" ht="15.6">
      <c r="A139" s="34" t="str">
        <f t="array" ref="A139">IFERROR(
INDEX(貸出記録!$A$2:$A$5000,
SMALL(
IF(貸出記録!$E$2:$E$5000="",
ROW(貸出記録!$A$2:$A$5000)-ROW(貸出記録!$A$2)+1),
ROW(A138)
)
),
"")</f>
        <v>BT-0138</v>
      </c>
      <c r="B139" s="34" t="str">
        <f t="array" ref="B139">IF($A139="","",
IFERROR(IF(INDEX(貸出記録!$B$2:$B$5000,
MATCH($A139,貸出記録!$A$2:$A$5000,0))="","",
INDEX(貸出記録!$B$2:$B$5000,
MATCH($A139,貸出記録!$A$2:$A$5000,0))
),""))</f>
        <v/>
      </c>
      <c r="C139" s="34" t="str">
        <f t="array" ref="C139">IF($A139="","",
IFERROR(IF(INDEX(貸出記録!$C$2:$C$5000,
MATCH($A139,貸出記録!$A$2:$A$5000,0))="","",
INDEX(貸出記録!$C$2:$C$5000,
MATCH($A139,貸出記録!$A$2:$A$5000,0))
),""))</f>
        <v/>
      </c>
      <c r="D139" s="34" t="str">
        <f t="array" ref="D139">IF($A139="","",
IFERROR(IF(INDEX(貸出記録!$D:$D,
MATCH($A139,貸出記録!$A:$A,0))="","",
INDEX(貸出記録!$D:$D,
MATCH($A139,貸出記録!$A:$A,0))
),""))</f>
        <v/>
      </c>
      <c r="E139" s="34" t="str">
        <f t="array" aca="1" ref="E139" ca="1">IF(D139="","",TODAY()-D139&amp;"日")</f>
        <v/>
      </c>
      <c r="F139" s="34" t="str">
        <f t="array" ref="F139">IF($A139="","",
IFERROR(IF(INDEX(貸出記録!$F:$F,
MATCH($A139,貸出記録!$A:$A,0))="","",
INDEX(貸出記録!$F:$F,
MATCH($A139,貸出記録!$A:$A,0))
),""))</f>
        <v/>
      </c>
    </row>
    <row r="140" spans="1:6" ht="15.6">
      <c r="A140" s="34" t="str">
        <f t="array" ref="A140">IFERROR(
INDEX(貸出記録!$A$2:$A$5000,
SMALL(
IF(貸出記録!$E$2:$E$5000="",
ROW(貸出記録!$A$2:$A$5000)-ROW(貸出記録!$A$2)+1),
ROW(A139)
)
),
"")</f>
        <v>BT-0139</v>
      </c>
      <c r="B140" s="34" t="str">
        <f t="array" ref="B140">IF($A140="","",
IFERROR(IF(INDEX(貸出記録!$B$2:$B$5000,
MATCH($A140,貸出記録!$A$2:$A$5000,0))="","",
INDEX(貸出記録!$B$2:$B$5000,
MATCH($A140,貸出記録!$A$2:$A$5000,0))
),""))</f>
        <v/>
      </c>
      <c r="C140" s="34" t="str">
        <f t="array" ref="C140">IF($A140="","",
IFERROR(IF(INDEX(貸出記録!$C$2:$C$5000,
MATCH($A140,貸出記録!$A$2:$A$5000,0))="","",
INDEX(貸出記録!$C$2:$C$5000,
MATCH($A140,貸出記録!$A$2:$A$5000,0))
),""))</f>
        <v/>
      </c>
      <c r="D140" s="34" t="str">
        <f t="array" ref="D140">IF($A140="","",
IFERROR(IF(INDEX(貸出記録!$D:$D,
MATCH($A140,貸出記録!$A:$A,0))="","",
INDEX(貸出記録!$D:$D,
MATCH($A140,貸出記録!$A:$A,0))
),""))</f>
        <v/>
      </c>
      <c r="E140" s="34" t="str">
        <f t="array" aca="1" ref="E140" ca="1">IF(D140="","",TODAY()-D140&amp;"日")</f>
        <v/>
      </c>
      <c r="F140" s="34" t="str">
        <f t="array" ref="F140">IF($A140="","",
IFERROR(IF(INDEX(貸出記録!$F:$F,
MATCH($A140,貸出記録!$A:$A,0))="","",
INDEX(貸出記録!$F:$F,
MATCH($A140,貸出記録!$A:$A,0))
),""))</f>
        <v/>
      </c>
    </row>
    <row r="141" spans="1:6" ht="15.6">
      <c r="A141" s="34" t="str">
        <f t="array" ref="A141">IFERROR(
INDEX(貸出記録!$A$2:$A$5000,
SMALL(
IF(貸出記録!$E$2:$E$5000="",
ROW(貸出記録!$A$2:$A$5000)-ROW(貸出記録!$A$2)+1),
ROW(A140)
)
),
"")</f>
        <v>BT-0140</v>
      </c>
      <c r="B141" s="34" t="str">
        <f t="array" ref="B141">IF($A141="","",
IFERROR(IF(INDEX(貸出記録!$B$2:$B$5000,
MATCH($A141,貸出記録!$A$2:$A$5000,0))="","",
INDEX(貸出記録!$B$2:$B$5000,
MATCH($A141,貸出記録!$A$2:$A$5000,0))
),""))</f>
        <v/>
      </c>
      <c r="C141" s="34" t="str">
        <f t="array" ref="C141">IF($A141="","",
IFERROR(IF(INDEX(貸出記録!$C$2:$C$5000,
MATCH($A141,貸出記録!$A$2:$A$5000,0))="","",
INDEX(貸出記録!$C$2:$C$5000,
MATCH($A141,貸出記録!$A$2:$A$5000,0))
),""))</f>
        <v/>
      </c>
      <c r="D141" s="34" t="str">
        <f t="array" ref="D141">IF($A141="","",
IFERROR(IF(INDEX(貸出記録!$D:$D,
MATCH($A141,貸出記録!$A:$A,0))="","",
INDEX(貸出記録!$D:$D,
MATCH($A141,貸出記録!$A:$A,0))
),""))</f>
        <v/>
      </c>
      <c r="E141" s="34" t="str">
        <f t="array" aca="1" ref="E141" ca="1">IF(D141="","",TODAY()-D141&amp;"日")</f>
        <v/>
      </c>
      <c r="F141" s="34" t="str">
        <f t="array" ref="F141">IF($A141="","",
IFERROR(IF(INDEX(貸出記録!$F:$F,
MATCH($A141,貸出記録!$A:$A,0))="","",
INDEX(貸出記録!$F:$F,
MATCH($A141,貸出記録!$A:$A,0))
),""))</f>
        <v/>
      </c>
    </row>
    <row r="142" spans="1:6" ht="15.6">
      <c r="A142" s="34" t="str">
        <f t="array" ref="A142">IFERROR(
INDEX(貸出記録!$A$2:$A$5000,
SMALL(
IF(貸出記録!$E$2:$E$5000="",
ROW(貸出記録!$A$2:$A$5000)-ROW(貸出記録!$A$2)+1),
ROW(A141)
)
),
"")</f>
        <v>BT-0141</v>
      </c>
      <c r="B142" s="34" t="str">
        <f t="array" ref="B142">IF($A142="","",
IFERROR(IF(INDEX(貸出記録!$B$2:$B$5000,
MATCH($A142,貸出記録!$A$2:$A$5000,0))="","",
INDEX(貸出記録!$B$2:$B$5000,
MATCH($A142,貸出記録!$A$2:$A$5000,0))
),""))</f>
        <v/>
      </c>
      <c r="C142" s="34" t="str">
        <f t="array" ref="C142">IF($A142="","",
IFERROR(IF(INDEX(貸出記録!$C$2:$C$5000,
MATCH($A142,貸出記録!$A$2:$A$5000,0))="","",
INDEX(貸出記録!$C$2:$C$5000,
MATCH($A142,貸出記録!$A$2:$A$5000,0))
),""))</f>
        <v/>
      </c>
      <c r="D142" s="34" t="str">
        <f t="array" ref="D142">IF($A142="","",
IFERROR(IF(INDEX(貸出記録!$D:$D,
MATCH($A142,貸出記録!$A:$A,0))="","",
INDEX(貸出記録!$D:$D,
MATCH($A142,貸出記録!$A:$A,0))
),""))</f>
        <v/>
      </c>
      <c r="E142" s="34" t="str">
        <f t="array" aca="1" ref="E142" ca="1">IF(D142="","",TODAY()-D142&amp;"日")</f>
        <v/>
      </c>
      <c r="F142" s="34" t="str">
        <f t="array" ref="F142">IF($A142="","",
IFERROR(IF(INDEX(貸出記録!$F:$F,
MATCH($A142,貸出記録!$A:$A,0))="","",
INDEX(貸出記録!$F:$F,
MATCH($A142,貸出記録!$A:$A,0))
),""))</f>
        <v/>
      </c>
    </row>
    <row r="143" spans="1:6" ht="15.6">
      <c r="A143" s="34" t="str">
        <f t="array" ref="A143">IFERROR(
INDEX(貸出記録!$A$2:$A$5000,
SMALL(
IF(貸出記録!$E$2:$E$5000="",
ROW(貸出記録!$A$2:$A$5000)-ROW(貸出記録!$A$2)+1),
ROW(A142)
)
),
"")</f>
        <v>BT-0142</v>
      </c>
      <c r="B143" s="34" t="str">
        <f t="array" ref="B143">IF($A143="","",
IFERROR(IF(INDEX(貸出記録!$B$2:$B$5000,
MATCH($A143,貸出記録!$A$2:$A$5000,0))="","",
INDEX(貸出記録!$B$2:$B$5000,
MATCH($A143,貸出記録!$A$2:$A$5000,0))
),""))</f>
        <v/>
      </c>
      <c r="C143" s="34" t="str">
        <f t="array" ref="C143">IF($A143="","",
IFERROR(IF(INDEX(貸出記録!$C$2:$C$5000,
MATCH($A143,貸出記録!$A$2:$A$5000,0))="","",
INDEX(貸出記録!$C$2:$C$5000,
MATCH($A143,貸出記録!$A$2:$A$5000,0))
),""))</f>
        <v/>
      </c>
      <c r="D143" s="34" t="str">
        <f t="array" ref="D143">IF($A143="","",
IFERROR(IF(INDEX(貸出記録!$D:$D,
MATCH($A143,貸出記録!$A:$A,0))="","",
INDEX(貸出記録!$D:$D,
MATCH($A143,貸出記録!$A:$A,0))
),""))</f>
        <v/>
      </c>
      <c r="E143" s="34" t="str">
        <f t="array" aca="1" ref="E143" ca="1">IF(D143="","",TODAY()-D143&amp;"日")</f>
        <v/>
      </c>
      <c r="F143" s="34" t="str">
        <f t="array" ref="F143">IF($A143="","",
IFERROR(IF(INDEX(貸出記録!$F:$F,
MATCH($A143,貸出記録!$A:$A,0))="","",
INDEX(貸出記録!$F:$F,
MATCH($A143,貸出記録!$A:$A,0))
),""))</f>
        <v/>
      </c>
    </row>
    <row r="144" spans="1:6" ht="15.6">
      <c r="A144" s="34" t="str">
        <f t="array" ref="A144">IFERROR(
INDEX(貸出記録!$A$2:$A$5000,
SMALL(
IF(貸出記録!$E$2:$E$5000="",
ROW(貸出記録!$A$2:$A$5000)-ROW(貸出記録!$A$2)+1),
ROW(A143)
)
),
"")</f>
        <v>BT-0143</v>
      </c>
      <c r="B144" s="34" t="str">
        <f t="array" ref="B144">IF($A144="","",
IFERROR(IF(INDEX(貸出記録!$B$2:$B$5000,
MATCH($A144,貸出記録!$A$2:$A$5000,0))="","",
INDEX(貸出記録!$B$2:$B$5000,
MATCH($A144,貸出記録!$A$2:$A$5000,0))
),""))</f>
        <v/>
      </c>
      <c r="C144" s="34" t="str">
        <f t="array" ref="C144">IF($A144="","",
IFERROR(IF(INDEX(貸出記録!$C$2:$C$5000,
MATCH($A144,貸出記録!$A$2:$A$5000,0))="","",
INDEX(貸出記録!$C$2:$C$5000,
MATCH($A144,貸出記録!$A$2:$A$5000,0))
),""))</f>
        <v/>
      </c>
      <c r="D144" s="34" t="str">
        <f t="array" ref="D144">IF($A144="","",
IFERROR(IF(INDEX(貸出記録!$D:$D,
MATCH($A144,貸出記録!$A:$A,0))="","",
INDEX(貸出記録!$D:$D,
MATCH($A144,貸出記録!$A:$A,0))
),""))</f>
        <v/>
      </c>
      <c r="E144" s="34" t="str">
        <f t="array" aca="1" ref="E144" ca="1">IF(D144="","",TODAY()-D144&amp;"日")</f>
        <v/>
      </c>
      <c r="F144" s="34" t="str">
        <f t="array" ref="F144">IF($A144="","",
IFERROR(IF(INDEX(貸出記録!$F:$F,
MATCH($A144,貸出記録!$A:$A,0))="","",
INDEX(貸出記録!$F:$F,
MATCH($A144,貸出記録!$A:$A,0))
),""))</f>
        <v/>
      </c>
    </row>
    <row r="145" spans="1:6" ht="15.6">
      <c r="A145" s="34" t="str">
        <f t="array" ref="A145">IFERROR(
INDEX(貸出記録!$A$2:$A$5000,
SMALL(
IF(貸出記録!$E$2:$E$5000="",
ROW(貸出記録!$A$2:$A$5000)-ROW(貸出記録!$A$2)+1),
ROW(A144)
)
),
"")</f>
        <v>BT-0144</v>
      </c>
      <c r="B145" s="34" t="str">
        <f t="array" ref="B145">IF($A145="","",
IFERROR(IF(INDEX(貸出記録!$B$2:$B$5000,
MATCH($A145,貸出記録!$A$2:$A$5000,0))="","",
INDEX(貸出記録!$B$2:$B$5000,
MATCH($A145,貸出記録!$A$2:$A$5000,0))
),""))</f>
        <v/>
      </c>
      <c r="C145" s="34" t="str">
        <f t="array" ref="C145">IF($A145="","",
IFERROR(IF(INDEX(貸出記録!$C$2:$C$5000,
MATCH($A145,貸出記録!$A$2:$A$5000,0))="","",
INDEX(貸出記録!$C$2:$C$5000,
MATCH($A145,貸出記録!$A$2:$A$5000,0))
),""))</f>
        <v/>
      </c>
      <c r="D145" s="34" t="str">
        <f t="array" ref="D145">IF($A145="","",
IFERROR(IF(INDEX(貸出記録!$D:$D,
MATCH($A145,貸出記録!$A:$A,0))="","",
INDEX(貸出記録!$D:$D,
MATCH($A145,貸出記録!$A:$A,0))
),""))</f>
        <v/>
      </c>
      <c r="E145" s="34" t="str">
        <f t="array" aca="1" ref="E145" ca="1">IF(D145="","",TODAY()-D145&amp;"日")</f>
        <v/>
      </c>
      <c r="F145" s="34" t="str">
        <f t="array" ref="F145">IF($A145="","",
IFERROR(IF(INDEX(貸出記録!$F:$F,
MATCH($A145,貸出記録!$A:$A,0))="","",
INDEX(貸出記録!$F:$F,
MATCH($A145,貸出記録!$A:$A,0))
),""))</f>
        <v/>
      </c>
    </row>
    <row r="146" spans="1:6" ht="15.6">
      <c r="A146" s="34" t="str">
        <f t="array" ref="A146">IFERROR(
INDEX(貸出記録!$A$2:$A$5000,
SMALL(
IF(貸出記録!$E$2:$E$5000="",
ROW(貸出記録!$A$2:$A$5000)-ROW(貸出記録!$A$2)+1),
ROW(A145)
)
),
"")</f>
        <v>BT-0145</v>
      </c>
      <c r="B146" s="34" t="str">
        <f t="array" ref="B146">IF($A146="","",
IFERROR(IF(INDEX(貸出記録!$B$2:$B$5000,
MATCH($A146,貸出記録!$A$2:$A$5000,0))="","",
INDEX(貸出記録!$B$2:$B$5000,
MATCH($A146,貸出記録!$A$2:$A$5000,0))
),""))</f>
        <v/>
      </c>
      <c r="C146" s="34" t="str">
        <f t="array" ref="C146">IF($A146="","",
IFERROR(IF(INDEX(貸出記録!$C$2:$C$5000,
MATCH($A146,貸出記録!$A$2:$A$5000,0))="","",
INDEX(貸出記録!$C$2:$C$5000,
MATCH($A146,貸出記録!$A$2:$A$5000,0))
),""))</f>
        <v/>
      </c>
      <c r="D146" s="34" t="str">
        <f t="array" ref="D146">IF($A146="","",
IFERROR(IF(INDEX(貸出記録!$D:$D,
MATCH($A146,貸出記録!$A:$A,0))="","",
INDEX(貸出記録!$D:$D,
MATCH($A146,貸出記録!$A:$A,0))
),""))</f>
        <v/>
      </c>
      <c r="E146" s="34" t="str">
        <f t="array" aca="1" ref="E146" ca="1">IF(D146="","",TODAY()-D146&amp;"日")</f>
        <v/>
      </c>
      <c r="F146" s="34" t="str">
        <f t="array" ref="F146">IF($A146="","",
IFERROR(IF(INDEX(貸出記録!$F:$F,
MATCH($A146,貸出記録!$A:$A,0))="","",
INDEX(貸出記録!$F:$F,
MATCH($A146,貸出記録!$A:$A,0))
),""))</f>
        <v/>
      </c>
    </row>
    <row r="147" spans="1:6" ht="15.6">
      <c r="A147" s="34" t="str">
        <f t="array" ref="A147">IFERROR(
INDEX(貸出記録!$A$2:$A$5000,
SMALL(
IF(貸出記録!$E$2:$E$5000="",
ROW(貸出記録!$A$2:$A$5000)-ROW(貸出記録!$A$2)+1),
ROW(A146)
)
),
"")</f>
        <v>BT-0146</v>
      </c>
      <c r="B147" s="34" t="str">
        <f t="array" ref="B147">IF($A147="","",
IFERROR(IF(INDEX(貸出記録!$B$2:$B$5000,
MATCH($A147,貸出記録!$A$2:$A$5000,0))="","",
INDEX(貸出記録!$B$2:$B$5000,
MATCH($A147,貸出記録!$A$2:$A$5000,0))
),""))</f>
        <v/>
      </c>
      <c r="C147" s="34" t="str">
        <f t="array" ref="C147">IF($A147="","",
IFERROR(IF(INDEX(貸出記録!$C$2:$C$5000,
MATCH($A147,貸出記録!$A$2:$A$5000,0))="","",
INDEX(貸出記録!$C$2:$C$5000,
MATCH($A147,貸出記録!$A$2:$A$5000,0))
),""))</f>
        <v/>
      </c>
      <c r="D147" s="34" t="str">
        <f t="array" ref="D147">IF($A147="","",
IFERROR(IF(INDEX(貸出記録!$D:$D,
MATCH($A147,貸出記録!$A:$A,0))="","",
INDEX(貸出記録!$D:$D,
MATCH($A147,貸出記録!$A:$A,0))
),""))</f>
        <v/>
      </c>
      <c r="E147" s="34" t="str">
        <f t="array" aca="1" ref="E147" ca="1">IF(D147="","",TODAY()-D147&amp;"日")</f>
        <v/>
      </c>
      <c r="F147" s="34" t="str">
        <f t="array" ref="F147">IF($A147="","",
IFERROR(IF(INDEX(貸出記録!$F:$F,
MATCH($A147,貸出記録!$A:$A,0))="","",
INDEX(貸出記録!$F:$F,
MATCH($A147,貸出記録!$A:$A,0))
),""))</f>
        <v/>
      </c>
    </row>
    <row r="148" spans="1:6" ht="15.6">
      <c r="A148" s="34" t="str">
        <f t="array" ref="A148">IFERROR(
INDEX(貸出記録!$A$2:$A$5000,
SMALL(
IF(貸出記録!$E$2:$E$5000="",
ROW(貸出記録!$A$2:$A$5000)-ROW(貸出記録!$A$2)+1),
ROW(A147)
)
),
"")</f>
        <v>BT-0147</v>
      </c>
      <c r="B148" s="34" t="str">
        <f t="array" ref="B148">IF($A148="","",
IFERROR(IF(INDEX(貸出記録!$B$2:$B$5000,
MATCH($A148,貸出記録!$A$2:$A$5000,0))="","",
INDEX(貸出記録!$B$2:$B$5000,
MATCH($A148,貸出記録!$A$2:$A$5000,0))
),""))</f>
        <v/>
      </c>
      <c r="C148" s="34" t="str">
        <f t="array" ref="C148">IF($A148="","",
IFERROR(IF(INDEX(貸出記録!$C$2:$C$5000,
MATCH($A148,貸出記録!$A$2:$A$5000,0))="","",
INDEX(貸出記録!$C$2:$C$5000,
MATCH($A148,貸出記録!$A$2:$A$5000,0))
),""))</f>
        <v/>
      </c>
      <c r="D148" s="34" t="str">
        <f t="array" ref="D148">IF($A148="","",
IFERROR(IF(INDEX(貸出記録!$D:$D,
MATCH($A148,貸出記録!$A:$A,0))="","",
INDEX(貸出記録!$D:$D,
MATCH($A148,貸出記録!$A:$A,0))
),""))</f>
        <v/>
      </c>
      <c r="E148" s="34" t="str">
        <f t="array" aca="1" ref="E148" ca="1">IF(D148="","",TODAY()-D148&amp;"日")</f>
        <v/>
      </c>
      <c r="F148" s="34" t="str">
        <f t="array" ref="F148">IF($A148="","",
IFERROR(IF(INDEX(貸出記録!$F:$F,
MATCH($A148,貸出記録!$A:$A,0))="","",
INDEX(貸出記録!$F:$F,
MATCH($A148,貸出記録!$A:$A,0))
),""))</f>
        <v/>
      </c>
    </row>
    <row r="149" spans="1:6" ht="15.6">
      <c r="A149" s="34" t="str">
        <f t="array" ref="A149">IFERROR(
INDEX(貸出記録!$A$2:$A$5000,
SMALL(
IF(貸出記録!$E$2:$E$5000="",
ROW(貸出記録!$A$2:$A$5000)-ROW(貸出記録!$A$2)+1),
ROW(A148)
)
),
"")</f>
        <v>BT-0148</v>
      </c>
      <c r="B149" s="34" t="str">
        <f t="array" ref="B149">IF($A149="","",
IFERROR(IF(INDEX(貸出記録!$B$2:$B$5000,
MATCH($A149,貸出記録!$A$2:$A$5000,0))="","",
INDEX(貸出記録!$B$2:$B$5000,
MATCH($A149,貸出記録!$A$2:$A$5000,0))
),""))</f>
        <v/>
      </c>
      <c r="C149" s="34" t="str">
        <f t="array" ref="C149">IF($A149="","",
IFERROR(IF(INDEX(貸出記録!$C$2:$C$5000,
MATCH($A149,貸出記録!$A$2:$A$5000,0))="","",
INDEX(貸出記録!$C$2:$C$5000,
MATCH($A149,貸出記録!$A$2:$A$5000,0))
),""))</f>
        <v/>
      </c>
      <c r="D149" s="34" t="str">
        <f t="array" ref="D149">IF($A149="","",
IFERROR(IF(INDEX(貸出記録!$D:$D,
MATCH($A149,貸出記録!$A:$A,0))="","",
INDEX(貸出記録!$D:$D,
MATCH($A149,貸出記録!$A:$A,0))
),""))</f>
        <v/>
      </c>
      <c r="E149" s="34" t="str">
        <f t="array" aca="1" ref="E149" ca="1">IF(D149="","",TODAY()-D149&amp;"日")</f>
        <v/>
      </c>
      <c r="F149" s="34" t="str">
        <f t="array" ref="F149">IF($A149="","",
IFERROR(IF(INDEX(貸出記録!$F:$F,
MATCH($A149,貸出記録!$A:$A,0))="","",
INDEX(貸出記録!$F:$F,
MATCH($A149,貸出記録!$A:$A,0))
),""))</f>
        <v/>
      </c>
    </row>
    <row r="150" spans="1:6" ht="15.6">
      <c r="A150" s="34" t="str">
        <f t="array" ref="A150">IFERROR(
INDEX(貸出記録!$A$2:$A$5000,
SMALL(
IF(貸出記録!$E$2:$E$5000="",
ROW(貸出記録!$A$2:$A$5000)-ROW(貸出記録!$A$2)+1),
ROW(A149)
)
),
"")</f>
        <v>BT-0149</v>
      </c>
      <c r="B150" s="34" t="str">
        <f t="array" ref="B150">IF($A150="","",
IFERROR(IF(INDEX(貸出記録!$B$2:$B$5000,
MATCH($A150,貸出記録!$A$2:$A$5000,0))="","",
INDEX(貸出記録!$B$2:$B$5000,
MATCH($A150,貸出記録!$A$2:$A$5000,0))
),""))</f>
        <v/>
      </c>
      <c r="C150" s="34" t="str">
        <f t="array" ref="C150">IF($A150="","",
IFERROR(IF(INDEX(貸出記録!$C$2:$C$5000,
MATCH($A150,貸出記録!$A$2:$A$5000,0))="","",
INDEX(貸出記録!$C$2:$C$5000,
MATCH($A150,貸出記録!$A$2:$A$5000,0))
),""))</f>
        <v/>
      </c>
      <c r="D150" s="34" t="str">
        <f t="array" ref="D150">IF($A150="","",
IFERROR(IF(INDEX(貸出記録!$D:$D,
MATCH($A150,貸出記録!$A:$A,0))="","",
INDEX(貸出記録!$D:$D,
MATCH($A150,貸出記録!$A:$A,0))
),""))</f>
        <v/>
      </c>
      <c r="E150" s="34" t="str">
        <f t="array" aca="1" ref="E150" ca="1">IF(D150="","",TODAY()-D150&amp;"日")</f>
        <v/>
      </c>
      <c r="F150" s="34" t="str">
        <f t="array" ref="F150">IF($A150="","",
IFERROR(IF(INDEX(貸出記録!$F:$F,
MATCH($A150,貸出記録!$A:$A,0))="","",
INDEX(貸出記録!$F:$F,
MATCH($A150,貸出記録!$A:$A,0))
),""))</f>
        <v/>
      </c>
    </row>
    <row r="151" spans="1:6" ht="15.6">
      <c r="A151" s="34" t="str">
        <f t="array" ref="A151">IFERROR(
INDEX(貸出記録!$A$2:$A$5000,
SMALL(
IF(貸出記録!$E$2:$E$5000="",
ROW(貸出記録!$A$2:$A$5000)-ROW(貸出記録!$A$2)+1),
ROW(A150)
)
),
"")</f>
        <v>BT-0150</v>
      </c>
      <c r="B151" s="34" t="str">
        <f t="array" ref="B151">IF($A151="","",
IFERROR(IF(INDEX(貸出記録!$B$2:$B$5000,
MATCH($A151,貸出記録!$A$2:$A$5000,0))="","",
INDEX(貸出記録!$B$2:$B$5000,
MATCH($A151,貸出記録!$A$2:$A$5000,0))
),""))</f>
        <v/>
      </c>
      <c r="C151" s="34" t="str">
        <f t="array" ref="C151">IF($A151="","",
IFERROR(IF(INDEX(貸出記録!$C$2:$C$5000,
MATCH($A151,貸出記録!$A$2:$A$5000,0))="","",
INDEX(貸出記録!$C$2:$C$5000,
MATCH($A151,貸出記録!$A$2:$A$5000,0))
),""))</f>
        <v/>
      </c>
      <c r="D151" s="34" t="str">
        <f t="array" ref="D151">IF($A151="","",
IFERROR(IF(INDEX(貸出記録!$D:$D,
MATCH($A151,貸出記録!$A:$A,0))="","",
INDEX(貸出記録!$D:$D,
MATCH($A151,貸出記録!$A:$A,0))
),""))</f>
        <v/>
      </c>
      <c r="E151" s="34" t="str">
        <f t="array" aca="1" ref="E151" ca="1">IF(D151="","",TODAY()-D151&amp;"日")</f>
        <v/>
      </c>
      <c r="F151" s="34" t="str">
        <f t="array" ref="F151">IF($A151="","",
IFERROR(IF(INDEX(貸出記録!$F:$F,
MATCH($A151,貸出記録!$A:$A,0))="","",
INDEX(貸出記録!$F:$F,
MATCH($A151,貸出記録!$A:$A,0))
),""))</f>
        <v/>
      </c>
    </row>
    <row r="152" spans="1:6" ht="15.6">
      <c r="A152" s="34" t="str">
        <f t="array" ref="A152">IFERROR(
INDEX(貸出記録!$A$2:$A$5000,
SMALL(
IF(貸出記録!$E$2:$E$5000="",
ROW(貸出記録!$A$2:$A$5000)-ROW(貸出記録!$A$2)+1),
ROW(A151)
)
),
"")</f>
        <v>BT-0151</v>
      </c>
      <c r="B152" s="34" t="str">
        <f t="array" ref="B152">IF($A152="","",
IFERROR(IF(INDEX(貸出記録!$B$2:$B$5000,
MATCH($A152,貸出記録!$A$2:$A$5000,0))="","",
INDEX(貸出記録!$B$2:$B$5000,
MATCH($A152,貸出記録!$A$2:$A$5000,0))
),""))</f>
        <v/>
      </c>
      <c r="C152" s="34" t="str">
        <f t="array" ref="C152">IF($A152="","",
IFERROR(IF(INDEX(貸出記録!$C$2:$C$5000,
MATCH($A152,貸出記録!$A$2:$A$5000,0))="","",
INDEX(貸出記録!$C$2:$C$5000,
MATCH($A152,貸出記録!$A$2:$A$5000,0))
),""))</f>
        <v/>
      </c>
      <c r="D152" s="34" t="str">
        <f t="array" ref="D152">IF($A152="","",
IFERROR(IF(INDEX(貸出記録!$D:$D,
MATCH($A152,貸出記録!$A:$A,0))="","",
INDEX(貸出記録!$D:$D,
MATCH($A152,貸出記録!$A:$A,0))
),""))</f>
        <v/>
      </c>
      <c r="E152" s="34" t="str">
        <f t="array" aca="1" ref="E152" ca="1">IF(D152="","",TODAY()-D152&amp;"日")</f>
        <v/>
      </c>
      <c r="F152" s="34" t="str">
        <f t="array" ref="F152">IF($A152="","",
IFERROR(IF(INDEX(貸出記録!$F:$F,
MATCH($A152,貸出記録!$A:$A,0))="","",
INDEX(貸出記録!$F:$F,
MATCH($A152,貸出記録!$A:$A,0))
),""))</f>
        <v/>
      </c>
    </row>
    <row r="153" spans="1:6" ht="15.6">
      <c r="A153" s="34" t="str">
        <f t="array" ref="A153">IFERROR(
INDEX(貸出記録!$A$2:$A$5000,
SMALL(
IF(貸出記録!$E$2:$E$5000="",
ROW(貸出記録!$A$2:$A$5000)-ROW(貸出記録!$A$2)+1),
ROW(A152)
)
),
"")</f>
        <v>BT-0152</v>
      </c>
      <c r="B153" s="34" t="str">
        <f t="array" ref="B153">IF($A153="","",
IFERROR(IF(INDEX(貸出記録!$B$2:$B$5000,
MATCH($A153,貸出記録!$A$2:$A$5000,0))="","",
INDEX(貸出記録!$B$2:$B$5000,
MATCH($A153,貸出記録!$A$2:$A$5000,0))
),""))</f>
        <v/>
      </c>
      <c r="C153" s="34" t="str">
        <f t="array" ref="C153">IF($A153="","",
IFERROR(IF(INDEX(貸出記録!$C$2:$C$5000,
MATCH($A153,貸出記録!$A$2:$A$5000,0))="","",
INDEX(貸出記録!$C$2:$C$5000,
MATCH($A153,貸出記録!$A$2:$A$5000,0))
),""))</f>
        <v/>
      </c>
      <c r="D153" s="34" t="str">
        <f t="array" ref="D153">IF($A153="","",
IFERROR(IF(INDEX(貸出記録!$D:$D,
MATCH($A153,貸出記録!$A:$A,0))="","",
INDEX(貸出記録!$D:$D,
MATCH($A153,貸出記録!$A:$A,0))
),""))</f>
        <v/>
      </c>
      <c r="E153" s="34" t="str">
        <f t="array" aca="1" ref="E153" ca="1">IF(D153="","",TODAY()-D153&amp;"日")</f>
        <v/>
      </c>
      <c r="F153" s="34" t="str">
        <f t="array" ref="F153">IF($A153="","",
IFERROR(IF(INDEX(貸出記録!$F:$F,
MATCH($A153,貸出記録!$A:$A,0))="","",
INDEX(貸出記録!$F:$F,
MATCH($A153,貸出記録!$A:$A,0))
),""))</f>
        <v/>
      </c>
    </row>
    <row r="154" spans="1:6" ht="15.6">
      <c r="A154" s="34" t="str">
        <f t="array" ref="A154">IFERROR(
INDEX(貸出記録!$A$2:$A$5000,
SMALL(
IF(貸出記録!$E$2:$E$5000="",
ROW(貸出記録!$A$2:$A$5000)-ROW(貸出記録!$A$2)+1),
ROW(A153)
)
),
"")</f>
        <v>BT-0153</v>
      </c>
      <c r="B154" s="34" t="str">
        <f t="array" ref="B154">IF($A154="","",
IFERROR(IF(INDEX(貸出記録!$B$2:$B$5000,
MATCH($A154,貸出記録!$A$2:$A$5000,0))="","",
INDEX(貸出記録!$B$2:$B$5000,
MATCH($A154,貸出記録!$A$2:$A$5000,0))
),""))</f>
        <v/>
      </c>
      <c r="C154" s="34" t="str">
        <f t="array" ref="C154">IF($A154="","",
IFERROR(IF(INDEX(貸出記録!$C$2:$C$5000,
MATCH($A154,貸出記録!$A$2:$A$5000,0))="","",
INDEX(貸出記録!$C$2:$C$5000,
MATCH($A154,貸出記録!$A$2:$A$5000,0))
),""))</f>
        <v/>
      </c>
      <c r="D154" s="34" t="str">
        <f t="array" ref="D154">IF($A154="","",
IFERROR(IF(INDEX(貸出記録!$D:$D,
MATCH($A154,貸出記録!$A:$A,0))="","",
INDEX(貸出記録!$D:$D,
MATCH($A154,貸出記録!$A:$A,0))
),""))</f>
        <v/>
      </c>
      <c r="E154" s="34" t="str">
        <f t="array" aca="1" ref="E154" ca="1">IF(D154="","",TODAY()-D154&amp;"日")</f>
        <v/>
      </c>
      <c r="F154" s="34" t="str">
        <f t="array" ref="F154">IF($A154="","",
IFERROR(IF(INDEX(貸出記録!$F:$F,
MATCH($A154,貸出記録!$A:$A,0))="","",
INDEX(貸出記録!$F:$F,
MATCH($A154,貸出記録!$A:$A,0))
),""))</f>
        <v/>
      </c>
    </row>
    <row r="155" spans="1:6" ht="15.6">
      <c r="A155" s="34" t="str">
        <f t="array" ref="A155">IFERROR(
INDEX(貸出記録!$A$2:$A$5000,
SMALL(
IF(貸出記録!$E$2:$E$5000="",
ROW(貸出記録!$A$2:$A$5000)-ROW(貸出記録!$A$2)+1),
ROW(A154)
)
),
"")</f>
        <v>BT-0154</v>
      </c>
      <c r="B155" s="34" t="str">
        <f t="array" ref="B155">IF($A155="","",
IFERROR(IF(INDEX(貸出記録!$B$2:$B$5000,
MATCH($A155,貸出記録!$A$2:$A$5000,0))="","",
INDEX(貸出記録!$B$2:$B$5000,
MATCH($A155,貸出記録!$A$2:$A$5000,0))
),""))</f>
        <v/>
      </c>
      <c r="C155" s="34" t="str">
        <f t="array" ref="C155">IF($A155="","",
IFERROR(IF(INDEX(貸出記録!$C$2:$C$5000,
MATCH($A155,貸出記録!$A$2:$A$5000,0))="","",
INDEX(貸出記録!$C$2:$C$5000,
MATCH($A155,貸出記録!$A$2:$A$5000,0))
),""))</f>
        <v/>
      </c>
      <c r="D155" s="34" t="str">
        <f t="array" ref="D155">IF($A155="","",
IFERROR(IF(INDEX(貸出記録!$D:$D,
MATCH($A155,貸出記録!$A:$A,0))="","",
INDEX(貸出記録!$D:$D,
MATCH($A155,貸出記録!$A:$A,0))
),""))</f>
        <v/>
      </c>
      <c r="E155" s="34" t="str">
        <f t="array" aca="1" ref="E155" ca="1">IF(D155="","",TODAY()-D155&amp;"日")</f>
        <v/>
      </c>
      <c r="F155" s="34" t="str">
        <f t="array" ref="F155">IF($A155="","",
IFERROR(IF(INDEX(貸出記録!$F:$F,
MATCH($A155,貸出記録!$A:$A,0))="","",
INDEX(貸出記録!$F:$F,
MATCH($A155,貸出記録!$A:$A,0))
),""))</f>
        <v/>
      </c>
    </row>
    <row r="156" spans="1:6" ht="15.6">
      <c r="A156" s="34" t="str">
        <f t="array" ref="A156">IFERROR(
INDEX(貸出記録!$A$2:$A$5000,
SMALL(
IF(貸出記録!$E$2:$E$5000="",
ROW(貸出記録!$A$2:$A$5000)-ROW(貸出記録!$A$2)+1),
ROW(A155)
)
),
"")</f>
        <v>BT-0155</v>
      </c>
      <c r="B156" s="34" t="str">
        <f t="array" ref="B156">IF($A156="","",
IFERROR(IF(INDEX(貸出記録!$B$2:$B$5000,
MATCH($A156,貸出記録!$A$2:$A$5000,0))="","",
INDEX(貸出記録!$B$2:$B$5000,
MATCH($A156,貸出記録!$A$2:$A$5000,0))
),""))</f>
        <v/>
      </c>
      <c r="C156" s="34" t="str">
        <f t="array" ref="C156">IF($A156="","",
IFERROR(IF(INDEX(貸出記録!$C$2:$C$5000,
MATCH($A156,貸出記録!$A$2:$A$5000,0))="","",
INDEX(貸出記録!$C$2:$C$5000,
MATCH($A156,貸出記録!$A$2:$A$5000,0))
),""))</f>
        <v/>
      </c>
      <c r="D156" s="34" t="str">
        <f t="array" ref="D156">IF($A156="","",
IFERROR(IF(INDEX(貸出記録!$D:$D,
MATCH($A156,貸出記録!$A:$A,0))="","",
INDEX(貸出記録!$D:$D,
MATCH($A156,貸出記録!$A:$A,0))
),""))</f>
        <v/>
      </c>
      <c r="E156" s="34" t="str">
        <f t="array" aca="1" ref="E156" ca="1">IF(D156="","",TODAY()-D156&amp;"日")</f>
        <v/>
      </c>
      <c r="F156" s="34" t="str">
        <f t="array" ref="F156">IF($A156="","",
IFERROR(IF(INDEX(貸出記録!$F:$F,
MATCH($A156,貸出記録!$A:$A,0))="","",
INDEX(貸出記録!$F:$F,
MATCH($A156,貸出記録!$A:$A,0))
),""))</f>
        <v/>
      </c>
    </row>
    <row r="157" spans="1:6" ht="15.6">
      <c r="A157" s="34" t="str">
        <f t="array" ref="A157">IFERROR(
INDEX(貸出記録!$A$2:$A$5000,
SMALL(
IF(貸出記録!$E$2:$E$5000="",
ROW(貸出記録!$A$2:$A$5000)-ROW(貸出記録!$A$2)+1),
ROW(A156)
)
),
"")</f>
        <v>BT-0156</v>
      </c>
      <c r="B157" s="34" t="str">
        <f t="array" ref="B157">IF($A157="","",
IFERROR(IF(INDEX(貸出記録!$B$2:$B$5000,
MATCH($A157,貸出記録!$A$2:$A$5000,0))="","",
INDEX(貸出記録!$B$2:$B$5000,
MATCH($A157,貸出記録!$A$2:$A$5000,0))
),""))</f>
        <v/>
      </c>
      <c r="C157" s="34" t="str">
        <f t="array" ref="C157">IF($A157="","",
IFERROR(IF(INDEX(貸出記録!$C$2:$C$5000,
MATCH($A157,貸出記録!$A$2:$A$5000,0))="","",
INDEX(貸出記録!$C$2:$C$5000,
MATCH($A157,貸出記録!$A$2:$A$5000,0))
),""))</f>
        <v/>
      </c>
      <c r="D157" s="34" t="str">
        <f t="array" ref="D157">IF($A157="","",
IFERROR(IF(INDEX(貸出記録!$D:$D,
MATCH($A157,貸出記録!$A:$A,0))="","",
INDEX(貸出記録!$D:$D,
MATCH($A157,貸出記録!$A:$A,0))
),""))</f>
        <v/>
      </c>
      <c r="E157" s="34" t="str">
        <f t="array" aca="1" ref="E157" ca="1">IF(D157="","",TODAY()-D157&amp;"日")</f>
        <v/>
      </c>
      <c r="F157" s="34" t="str">
        <f t="array" ref="F157">IF($A157="","",
IFERROR(IF(INDEX(貸出記録!$F:$F,
MATCH($A157,貸出記録!$A:$A,0))="","",
INDEX(貸出記録!$F:$F,
MATCH($A157,貸出記録!$A:$A,0))
),""))</f>
        <v/>
      </c>
    </row>
    <row r="158" spans="1:6" ht="15.6">
      <c r="A158" s="34" t="str">
        <f t="array" ref="A158">IFERROR(
INDEX(貸出記録!$A$2:$A$5000,
SMALL(
IF(貸出記録!$E$2:$E$5000="",
ROW(貸出記録!$A$2:$A$5000)-ROW(貸出記録!$A$2)+1),
ROW(A157)
)
),
"")</f>
        <v>BT-0157</v>
      </c>
      <c r="B158" s="34" t="str">
        <f t="array" ref="B158">IF($A158="","",
IFERROR(IF(INDEX(貸出記録!$B$2:$B$5000,
MATCH($A158,貸出記録!$A$2:$A$5000,0))="","",
INDEX(貸出記録!$B$2:$B$5000,
MATCH($A158,貸出記録!$A$2:$A$5000,0))
),""))</f>
        <v/>
      </c>
      <c r="C158" s="34" t="str">
        <f t="array" ref="C158">IF($A158="","",
IFERROR(IF(INDEX(貸出記録!$C$2:$C$5000,
MATCH($A158,貸出記録!$A$2:$A$5000,0))="","",
INDEX(貸出記録!$C$2:$C$5000,
MATCH($A158,貸出記録!$A$2:$A$5000,0))
),""))</f>
        <v/>
      </c>
      <c r="D158" s="34" t="str">
        <f t="array" ref="D158">IF($A158="","",
IFERROR(IF(INDEX(貸出記録!$D:$D,
MATCH($A158,貸出記録!$A:$A,0))="","",
INDEX(貸出記録!$D:$D,
MATCH($A158,貸出記録!$A:$A,0))
),""))</f>
        <v/>
      </c>
      <c r="E158" s="34" t="str">
        <f t="array" aca="1" ref="E158" ca="1">IF(D158="","",TODAY()-D158&amp;"日")</f>
        <v/>
      </c>
      <c r="F158" s="34" t="str">
        <f t="array" ref="F158">IF($A158="","",
IFERROR(IF(INDEX(貸出記録!$F:$F,
MATCH($A158,貸出記録!$A:$A,0))="","",
INDEX(貸出記録!$F:$F,
MATCH($A158,貸出記録!$A:$A,0))
),""))</f>
        <v/>
      </c>
    </row>
    <row r="159" spans="1:6" ht="15.6">
      <c r="A159" s="34" t="str">
        <f t="array" ref="A159">IFERROR(
INDEX(貸出記録!$A$2:$A$5000,
SMALL(
IF(貸出記録!$E$2:$E$5000="",
ROW(貸出記録!$A$2:$A$5000)-ROW(貸出記録!$A$2)+1),
ROW(A158)
)
),
"")</f>
        <v>BT-0158</v>
      </c>
      <c r="B159" s="34" t="str">
        <f t="array" ref="B159">IF($A159="","",
IFERROR(IF(INDEX(貸出記録!$B$2:$B$5000,
MATCH($A159,貸出記録!$A$2:$A$5000,0))="","",
INDEX(貸出記録!$B$2:$B$5000,
MATCH($A159,貸出記録!$A$2:$A$5000,0))
),""))</f>
        <v/>
      </c>
      <c r="C159" s="34" t="str">
        <f t="array" ref="C159">IF($A159="","",
IFERROR(IF(INDEX(貸出記録!$C$2:$C$5000,
MATCH($A159,貸出記録!$A$2:$A$5000,0))="","",
INDEX(貸出記録!$C$2:$C$5000,
MATCH($A159,貸出記録!$A$2:$A$5000,0))
),""))</f>
        <v/>
      </c>
      <c r="D159" s="34" t="str">
        <f t="array" ref="D159">IF($A159="","",
IFERROR(IF(INDEX(貸出記録!$D:$D,
MATCH($A159,貸出記録!$A:$A,0))="","",
INDEX(貸出記録!$D:$D,
MATCH($A159,貸出記録!$A:$A,0))
),""))</f>
        <v/>
      </c>
      <c r="E159" s="34" t="str">
        <f t="array" aca="1" ref="E159" ca="1">IF(D159="","",TODAY()-D159&amp;"日")</f>
        <v/>
      </c>
      <c r="F159" s="34" t="str">
        <f t="array" ref="F159">IF($A159="","",
IFERROR(IF(INDEX(貸出記録!$F:$F,
MATCH($A159,貸出記録!$A:$A,0))="","",
INDEX(貸出記録!$F:$F,
MATCH($A159,貸出記録!$A:$A,0))
),""))</f>
        <v/>
      </c>
    </row>
    <row r="160" spans="1:6" ht="15.6">
      <c r="A160" s="34" t="str">
        <f t="array" ref="A160">IFERROR(
INDEX(貸出記録!$A$2:$A$5000,
SMALL(
IF(貸出記録!$E$2:$E$5000="",
ROW(貸出記録!$A$2:$A$5000)-ROW(貸出記録!$A$2)+1),
ROW(A159)
)
),
"")</f>
        <v>BT-0159</v>
      </c>
      <c r="B160" s="34" t="str">
        <f t="array" ref="B160">IF($A160="","",
IFERROR(IF(INDEX(貸出記録!$B$2:$B$5000,
MATCH($A160,貸出記録!$A$2:$A$5000,0))="","",
INDEX(貸出記録!$B$2:$B$5000,
MATCH($A160,貸出記録!$A$2:$A$5000,0))
),""))</f>
        <v/>
      </c>
      <c r="C160" s="34" t="str">
        <f t="array" ref="C160">IF($A160="","",
IFERROR(IF(INDEX(貸出記録!$C$2:$C$5000,
MATCH($A160,貸出記録!$A$2:$A$5000,0))="","",
INDEX(貸出記録!$C$2:$C$5000,
MATCH($A160,貸出記録!$A$2:$A$5000,0))
),""))</f>
        <v/>
      </c>
      <c r="D160" s="34" t="str">
        <f t="array" ref="D160">IF($A160="","",
IFERROR(IF(INDEX(貸出記録!$D:$D,
MATCH($A160,貸出記録!$A:$A,0))="","",
INDEX(貸出記録!$D:$D,
MATCH($A160,貸出記録!$A:$A,0))
),""))</f>
        <v/>
      </c>
      <c r="E160" s="34" t="str">
        <f t="array" aca="1" ref="E160" ca="1">IF(D160="","",TODAY()-D160&amp;"日")</f>
        <v/>
      </c>
      <c r="F160" s="34" t="str">
        <f t="array" ref="F160">IF($A160="","",
IFERROR(IF(INDEX(貸出記録!$F:$F,
MATCH($A160,貸出記録!$A:$A,0))="","",
INDEX(貸出記録!$F:$F,
MATCH($A160,貸出記録!$A:$A,0))
),""))</f>
        <v/>
      </c>
    </row>
    <row r="161" spans="1:6" ht="15.6">
      <c r="A161" s="34" t="str">
        <f t="array" ref="A161">IFERROR(
INDEX(貸出記録!$A$2:$A$5000,
SMALL(
IF(貸出記録!$E$2:$E$5000="",
ROW(貸出記録!$A$2:$A$5000)-ROW(貸出記録!$A$2)+1),
ROW(A160)
)
),
"")</f>
        <v>BT-0160</v>
      </c>
      <c r="B161" s="34" t="str">
        <f t="array" ref="B161">IF($A161="","",
IFERROR(IF(INDEX(貸出記録!$B$2:$B$5000,
MATCH($A161,貸出記録!$A$2:$A$5000,0))="","",
INDEX(貸出記録!$B$2:$B$5000,
MATCH($A161,貸出記録!$A$2:$A$5000,0))
),""))</f>
        <v/>
      </c>
      <c r="C161" s="34" t="str">
        <f t="array" ref="C161">IF($A161="","",
IFERROR(IF(INDEX(貸出記録!$C$2:$C$5000,
MATCH($A161,貸出記録!$A$2:$A$5000,0))="","",
INDEX(貸出記録!$C$2:$C$5000,
MATCH($A161,貸出記録!$A$2:$A$5000,0))
),""))</f>
        <v/>
      </c>
      <c r="D161" s="34" t="str">
        <f t="array" ref="D161">IF($A161="","",
IFERROR(IF(INDEX(貸出記録!$D:$D,
MATCH($A161,貸出記録!$A:$A,0))="","",
INDEX(貸出記録!$D:$D,
MATCH($A161,貸出記録!$A:$A,0))
),""))</f>
        <v/>
      </c>
      <c r="E161" s="34" t="str">
        <f t="array" aca="1" ref="E161" ca="1">IF(D161="","",TODAY()-D161&amp;"日")</f>
        <v/>
      </c>
      <c r="F161" s="34" t="str">
        <f t="array" ref="F161">IF($A161="","",
IFERROR(IF(INDEX(貸出記録!$F:$F,
MATCH($A161,貸出記録!$A:$A,0))="","",
INDEX(貸出記録!$F:$F,
MATCH($A161,貸出記録!$A:$A,0))
),""))</f>
        <v/>
      </c>
    </row>
    <row r="162" spans="1:6" ht="15.6">
      <c r="A162" s="34" t="str">
        <f t="array" ref="A162">IFERROR(
INDEX(貸出記録!$A$2:$A$5000,
SMALL(
IF(貸出記録!$E$2:$E$5000="",
ROW(貸出記録!$A$2:$A$5000)-ROW(貸出記録!$A$2)+1),
ROW(A161)
)
),
"")</f>
        <v>BT-0161</v>
      </c>
      <c r="B162" s="34" t="str">
        <f t="array" ref="B162">IF($A162="","",
IFERROR(IF(INDEX(貸出記録!$B$2:$B$5000,
MATCH($A162,貸出記録!$A$2:$A$5000,0))="","",
INDEX(貸出記録!$B$2:$B$5000,
MATCH($A162,貸出記録!$A$2:$A$5000,0))
),""))</f>
        <v/>
      </c>
      <c r="C162" s="34" t="str">
        <f t="array" ref="C162">IF($A162="","",
IFERROR(IF(INDEX(貸出記録!$C$2:$C$5000,
MATCH($A162,貸出記録!$A$2:$A$5000,0))="","",
INDEX(貸出記録!$C$2:$C$5000,
MATCH($A162,貸出記録!$A$2:$A$5000,0))
),""))</f>
        <v/>
      </c>
      <c r="D162" s="34" t="str">
        <f t="array" ref="D162">IF($A162="","",
IFERROR(IF(INDEX(貸出記録!$D:$D,
MATCH($A162,貸出記録!$A:$A,0))="","",
INDEX(貸出記録!$D:$D,
MATCH($A162,貸出記録!$A:$A,0))
),""))</f>
        <v/>
      </c>
      <c r="E162" s="34" t="str">
        <f t="array" aca="1" ref="E162" ca="1">IF(D162="","",TODAY()-D162&amp;"日")</f>
        <v/>
      </c>
      <c r="F162" s="34" t="str">
        <f t="array" ref="F162">IF($A162="","",
IFERROR(IF(INDEX(貸出記録!$F:$F,
MATCH($A162,貸出記録!$A:$A,0))="","",
INDEX(貸出記録!$F:$F,
MATCH($A162,貸出記録!$A:$A,0))
),""))</f>
        <v/>
      </c>
    </row>
    <row r="163" spans="1:6" ht="15.6">
      <c r="A163" s="34" t="str">
        <f t="array" ref="A163">IFERROR(
INDEX(貸出記録!$A$2:$A$5000,
SMALL(
IF(貸出記録!$E$2:$E$5000="",
ROW(貸出記録!$A$2:$A$5000)-ROW(貸出記録!$A$2)+1),
ROW(A162)
)
),
"")</f>
        <v>BT-0162</v>
      </c>
      <c r="B163" s="34" t="str">
        <f t="array" ref="B163">IF($A163="","",
IFERROR(IF(INDEX(貸出記録!$B$2:$B$5000,
MATCH($A163,貸出記録!$A$2:$A$5000,0))="","",
INDEX(貸出記録!$B$2:$B$5000,
MATCH($A163,貸出記録!$A$2:$A$5000,0))
),""))</f>
        <v/>
      </c>
      <c r="C163" s="34" t="str">
        <f t="array" ref="C163">IF($A163="","",
IFERROR(IF(INDEX(貸出記録!$C$2:$C$5000,
MATCH($A163,貸出記録!$A$2:$A$5000,0))="","",
INDEX(貸出記録!$C$2:$C$5000,
MATCH($A163,貸出記録!$A$2:$A$5000,0))
),""))</f>
        <v/>
      </c>
      <c r="D163" s="34" t="str">
        <f t="array" ref="D163">IF($A163="","",
IFERROR(IF(INDEX(貸出記録!$D:$D,
MATCH($A163,貸出記録!$A:$A,0))="","",
INDEX(貸出記録!$D:$D,
MATCH($A163,貸出記録!$A:$A,0))
),""))</f>
        <v/>
      </c>
      <c r="E163" s="34" t="str">
        <f t="array" aca="1" ref="E163" ca="1">IF(D163="","",TODAY()-D163&amp;"日")</f>
        <v/>
      </c>
      <c r="F163" s="34" t="str">
        <f t="array" ref="F163">IF($A163="","",
IFERROR(IF(INDEX(貸出記録!$F:$F,
MATCH($A163,貸出記録!$A:$A,0))="","",
INDEX(貸出記録!$F:$F,
MATCH($A163,貸出記録!$A:$A,0))
),""))</f>
        <v/>
      </c>
    </row>
    <row r="164" spans="1:6" ht="15.6">
      <c r="A164" s="34" t="str">
        <f t="array" ref="A164">IFERROR(
INDEX(貸出記録!$A$2:$A$5000,
SMALL(
IF(貸出記録!$E$2:$E$5000="",
ROW(貸出記録!$A$2:$A$5000)-ROW(貸出記録!$A$2)+1),
ROW(A163)
)
),
"")</f>
        <v>BT-0163</v>
      </c>
      <c r="B164" s="34" t="str">
        <f t="array" ref="B164">IF($A164="","",
IFERROR(IF(INDEX(貸出記録!$B$2:$B$5000,
MATCH($A164,貸出記録!$A$2:$A$5000,0))="","",
INDEX(貸出記録!$B$2:$B$5000,
MATCH($A164,貸出記録!$A$2:$A$5000,0))
),""))</f>
        <v/>
      </c>
      <c r="C164" s="34" t="str">
        <f t="array" ref="C164">IF($A164="","",
IFERROR(IF(INDEX(貸出記録!$C$2:$C$5000,
MATCH($A164,貸出記録!$A$2:$A$5000,0))="","",
INDEX(貸出記録!$C$2:$C$5000,
MATCH($A164,貸出記録!$A$2:$A$5000,0))
),""))</f>
        <v/>
      </c>
      <c r="D164" s="34" t="str">
        <f t="array" ref="D164">IF($A164="","",
IFERROR(IF(INDEX(貸出記録!$D:$D,
MATCH($A164,貸出記録!$A:$A,0))="","",
INDEX(貸出記録!$D:$D,
MATCH($A164,貸出記録!$A:$A,0))
),""))</f>
        <v/>
      </c>
      <c r="E164" s="34" t="str">
        <f t="array" aca="1" ref="E164" ca="1">IF(D164="","",TODAY()-D164&amp;"日")</f>
        <v/>
      </c>
      <c r="F164" s="34" t="str">
        <f t="array" ref="F164">IF($A164="","",
IFERROR(IF(INDEX(貸出記録!$F:$F,
MATCH($A164,貸出記録!$A:$A,0))="","",
INDEX(貸出記録!$F:$F,
MATCH($A164,貸出記録!$A:$A,0))
),""))</f>
        <v/>
      </c>
    </row>
    <row r="165" spans="1:6" ht="15.6">
      <c r="A165" s="34" t="str">
        <f t="array" ref="A165">IFERROR(
INDEX(貸出記録!$A$2:$A$5000,
SMALL(
IF(貸出記録!$E$2:$E$5000="",
ROW(貸出記録!$A$2:$A$5000)-ROW(貸出記録!$A$2)+1),
ROW(A164)
)
),
"")</f>
        <v>BT-0164</v>
      </c>
      <c r="B165" s="34" t="str">
        <f t="array" ref="B165">IF($A165="","",
IFERROR(IF(INDEX(貸出記録!$B$2:$B$5000,
MATCH($A165,貸出記録!$A$2:$A$5000,0))="","",
INDEX(貸出記録!$B$2:$B$5000,
MATCH($A165,貸出記録!$A$2:$A$5000,0))
),""))</f>
        <v/>
      </c>
      <c r="C165" s="34" t="str">
        <f t="array" ref="C165">IF($A165="","",
IFERROR(IF(INDEX(貸出記録!$C$2:$C$5000,
MATCH($A165,貸出記録!$A$2:$A$5000,0))="","",
INDEX(貸出記録!$C$2:$C$5000,
MATCH($A165,貸出記録!$A$2:$A$5000,0))
),""))</f>
        <v/>
      </c>
      <c r="D165" s="34" t="str">
        <f t="array" ref="D165">IF($A165="","",
IFERROR(IF(INDEX(貸出記録!$D:$D,
MATCH($A165,貸出記録!$A:$A,0))="","",
INDEX(貸出記録!$D:$D,
MATCH($A165,貸出記録!$A:$A,0))
),""))</f>
        <v/>
      </c>
      <c r="E165" s="34" t="str">
        <f t="array" aca="1" ref="E165" ca="1">IF(D165="","",TODAY()-D165&amp;"日")</f>
        <v/>
      </c>
      <c r="F165" s="34" t="str">
        <f t="array" ref="F165">IF($A165="","",
IFERROR(IF(INDEX(貸出記録!$F:$F,
MATCH($A165,貸出記録!$A:$A,0))="","",
INDEX(貸出記録!$F:$F,
MATCH($A165,貸出記録!$A:$A,0))
),""))</f>
        <v/>
      </c>
    </row>
    <row r="166" spans="1:6" ht="15.6">
      <c r="A166" s="34" t="str">
        <f t="array" ref="A166">IFERROR(
INDEX(貸出記録!$A$2:$A$5000,
SMALL(
IF(貸出記録!$E$2:$E$5000="",
ROW(貸出記録!$A$2:$A$5000)-ROW(貸出記録!$A$2)+1),
ROW(A165)
)
),
"")</f>
        <v>BT-0165</v>
      </c>
      <c r="B166" s="34" t="str">
        <f t="array" ref="B166">IF($A166="","",
IFERROR(IF(INDEX(貸出記録!$B$2:$B$5000,
MATCH($A166,貸出記録!$A$2:$A$5000,0))="","",
INDEX(貸出記録!$B$2:$B$5000,
MATCH($A166,貸出記録!$A$2:$A$5000,0))
),""))</f>
        <v/>
      </c>
      <c r="C166" s="34" t="str">
        <f t="array" ref="C166">IF($A166="","",
IFERROR(IF(INDEX(貸出記録!$C$2:$C$5000,
MATCH($A166,貸出記録!$A$2:$A$5000,0))="","",
INDEX(貸出記録!$C$2:$C$5000,
MATCH($A166,貸出記録!$A$2:$A$5000,0))
),""))</f>
        <v/>
      </c>
      <c r="D166" s="34" t="str">
        <f t="array" ref="D166">IF($A166="","",
IFERROR(IF(INDEX(貸出記録!$D:$D,
MATCH($A166,貸出記録!$A:$A,0))="","",
INDEX(貸出記録!$D:$D,
MATCH($A166,貸出記録!$A:$A,0))
),""))</f>
        <v/>
      </c>
      <c r="E166" s="34" t="str">
        <f t="array" aca="1" ref="E166" ca="1">IF(D166="","",TODAY()-D166&amp;"日")</f>
        <v/>
      </c>
      <c r="F166" s="34" t="str">
        <f t="array" ref="F166">IF($A166="","",
IFERROR(IF(INDEX(貸出記録!$F:$F,
MATCH($A166,貸出記録!$A:$A,0))="","",
INDEX(貸出記録!$F:$F,
MATCH($A166,貸出記録!$A:$A,0))
),""))</f>
        <v/>
      </c>
    </row>
    <row r="167" spans="1:6" ht="15.6">
      <c r="A167" s="34" t="str">
        <f t="array" ref="A167">IFERROR(
INDEX(貸出記録!$A$2:$A$5000,
SMALL(
IF(貸出記録!$E$2:$E$5000="",
ROW(貸出記録!$A$2:$A$5000)-ROW(貸出記録!$A$2)+1),
ROW(A166)
)
),
"")</f>
        <v>BT-0166</v>
      </c>
      <c r="B167" s="34" t="str">
        <f t="array" ref="B167">IF($A167="","",
IFERROR(IF(INDEX(貸出記録!$B$2:$B$5000,
MATCH($A167,貸出記録!$A$2:$A$5000,0))="","",
INDEX(貸出記録!$B$2:$B$5000,
MATCH($A167,貸出記録!$A$2:$A$5000,0))
),""))</f>
        <v/>
      </c>
      <c r="C167" s="34" t="str">
        <f t="array" ref="C167">IF($A167="","",
IFERROR(IF(INDEX(貸出記録!$C$2:$C$5000,
MATCH($A167,貸出記録!$A$2:$A$5000,0))="","",
INDEX(貸出記録!$C$2:$C$5000,
MATCH($A167,貸出記録!$A$2:$A$5000,0))
),""))</f>
        <v/>
      </c>
      <c r="D167" s="34" t="str">
        <f t="array" ref="D167">IF($A167="","",
IFERROR(IF(INDEX(貸出記録!$D:$D,
MATCH($A167,貸出記録!$A:$A,0))="","",
INDEX(貸出記録!$D:$D,
MATCH($A167,貸出記録!$A:$A,0))
),""))</f>
        <v/>
      </c>
      <c r="E167" s="34" t="str">
        <f t="array" aca="1" ref="E167" ca="1">IF(D167="","",TODAY()-D167&amp;"日")</f>
        <v/>
      </c>
      <c r="F167" s="34" t="str">
        <f t="array" ref="F167">IF($A167="","",
IFERROR(IF(INDEX(貸出記録!$F:$F,
MATCH($A167,貸出記録!$A:$A,0))="","",
INDEX(貸出記録!$F:$F,
MATCH($A167,貸出記録!$A:$A,0))
),""))</f>
        <v/>
      </c>
    </row>
    <row r="168" spans="1:6" ht="15.6">
      <c r="A168" s="34" t="str">
        <f t="array" ref="A168">IFERROR(
INDEX(貸出記録!$A$2:$A$5000,
SMALL(
IF(貸出記録!$E$2:$E$5000="",
ROW(貸出記録!$A$2:$A$5000)-ROW(貸出記録!$A$2)+1),
ROW(A167)
)
),
"")</f>
        <v>BT-0167</v>
      </c>
      <c r="B168" s="34" t="str">
        <f t="array" ref="B168">IF($A168="","",
IFERROR(IF(INDEX(貸出記録!$B$2:$B$5000,
MATCH($A168,貸出記録!$A$2:$A$5000,0))="","",
INDEX(貸出記録!$B$2:$B$5000,
MATCH($A168,貸出記録!$A$2:$A$5000,0))
),""))</f>
        <v/>
      </c>
      <c r="C168" s="34" t="str">
        <f t="array" ref="C168">IF($A168="","",
IFERROR(IF(INDEX(貸出記録!$C$2:$C$5000,
MATCH($A168,貸出記録!$A$2:$A$5000,0))="","",
INDEX(貸出記録!$C$2:$C$5000,
MATCH($A168,貸出記録!$A$2:$A$5000,0))
),""))</f>
        <v/>
      </c>
      <c r="D168" s="34" t="str">
        <f t="array" ref="D168">IF($A168="","",
IFERROR(IF(INDEX(貸出記録!$D:$D,
MATCH($A168,貸出記録!$A:$A,0))="","",
INDEX(貸出記録!$D:$D,
MATCH($A168,貸出記録!$A:$A,0))
),""))</f>
        <v/>
      </c>
      <c r="E168" s="34" t="str">
        <f t="array" aca="1" ref="E168" ca="1">IF(D168="","",TODAY()-D168&amp;"日")</f>
        <v/>
      </c>
      <c r="F168" s="34" t="str">
        <f t="array" ref="F168">IF($A168="","",
IFERROR(IF(INDEX(貸出記録!$F:$F,
MATCH($A168,貸出記録!$A:$A,0))="","",
INDEX(貸出記録!$F:$F,
MATCH($A168,貸出記録!$A:$A,0))
),""))</f>
        <v/>
      </c>
    </row>
    <row r="169" spans="1:6" ht="15.6">
      <c r="A169" s="34" t="str">
        <f t="array" ref="A169">IFERROR(
INDEX(貸出記録!$A$2:$A$5000,
SMALL(
IF(貸出記録!$E$2:$E$5000="",
ROW(貸出記録!$A$2:$A$5000)-ROW(貸出記録!$A$2)+1),
ROW(A168)
)
),
"")</f>
        <v>BT-0168</v>
      </c>
      <c r="B169" s="34" t="str">
        <f t="array" ref="B169">IF($A169="","",
IFERROR(IF(INDEX(貸出記録!$B$2:$B$5000,
MATCH($A169,貸出記録!$A$2:$A$5000,0))="","",
INDEX(貸出記録!$B$2:$B$5000,
MATCH($A169,貸出記録!$A$2:$A$5000,0))
),""))</f>
        <v/>
      </c>
      <c r="C169" s="34" t="str">
        <f t="array" ref="C169">IF($A169="","",
IFERROR(IF(INDEX(貸出記録!$C$2:$C$5000,
MATCH($A169,貸出記録!$A$2:$A$5000,0))="","",
INDEX(貸出記録!$C$2:$C$5000,
MATCH($A169,貸出記録!$A$2:$A$5000,0))
),""))</f>
        <v/>
      </c>
      <c r="D169" s="34" t="str">
        <f t="array" ref="D169">IF($A169="","",
IFERROR(IF(INDEX(貸出記録!$D:$D,
MATCH($A169,貸出記録!$A:$A,0))="","",
INDEX(貸出記録!$D:$D,
MATCH($A169,貸出記録!$A:$A,0))
),""))</f>
        <v/>
      </c>
      <c r="E169" s="34" t="str">
        <f t="array" aca="1" ref="E169" ca="1">IF(D169="","",TODAY()-D169&amp;"日")</f>
        <v/>
      </c>
      <c r="F169" s="34" t="str">
        <f t="array" ref="F169">IF($A169="","",
IFERROR(IF(INDEX(貸出記録!$F:$F,
MATCH($A169,貸出記録!$A:$A,0))="","",
INDEX(貸出記録!$F:$F,
MATCH($A169,貸出記録!$A:$A,0))
),""))</f>
        <v/>
      </c>
    </row>
    <row r="170" spans="1:6" ht="15.6">
      <c r="A170" s="34" t="str">
        <f t="array" ref="A170">IFERROR(
INDEX(貸出記録!$A$2:$A$5000,
SMALL(
IF(貸出記録!$E$2:$E$5000="",
ROW(貸出記録!$A$2:$A$5000)-ROW(貸出記録!$A$2)+1),
ROW(A169)
)
),
"")</f>
        <v>BT-0169</v>
      </c>
      <c r="B170" s="34" t="str">
        <f t="array" ref="B170">IF($A170="","",
IFERROR(IF(INDEX(貸出記録!$B$2:$B$5000,
MATCH($A170,貸出記録!$A$2:$A$5000,0))="","",
INDEX(貸出記録!$B$2:$B$5000,
MATCH($A170,貸出記録!$A$2:$A$5000,0))
),""))</f>
        <v/>
      </c>
      <c r="C170" s="34" t="str">
        <f t="array" ref="C170">IF($A170="","",
IFERROR(IF(INDEX(貸出記録!$C$2:$C$5000,
MATCH($A170,貸出記録!$A$2:$A$5000,0))="","",
INDEX(貸出記録!$C$2:$C$5000,
MATCH($A170,貸出記録!$A$2:$A$5000,0))
),""))</f>
        <v/>
      </c>
      <c r="D170" s="34" t="str">
        <f t="array" ref="D170">IF($A170="","",
IFERROR(IF(INDEX(貸出記録!$D:$D,
MATCH($A170,貸出記録!$A:$A,0))="","",
INDEX(貸出記録!$D:$D,
MATCH($A170,貸出記録!$A:$A,0))
),""))</f>
        <v/>
      </c>
      <c r="E170" s="34" t="str">
        <f t="array" aca="1" ref="E170" ca="1">IF(D170="","",TODAY()-D170&amp;"日")</f>
        <v/>
      </c>
      <c r="F170" s="34" t="str">
        <f t="array" ref="F170">IF($A170="","",
IFERROR(IF(INDEX(貸出記録!$F:$F,
MATCH($A170,貸出記録!$A:$A,0))="","",
INDEX(貸出記録!$F:$F,
MATCH($A170,貸出記録!$A:$A,0))
),""))</f>
        <v/>
      </c>
    </row>
    <row r="171" spans="1:6" ht="15.6">
      <c r="A171" s="34" t="str">
        <f t="array" ref="A171">IFERROR(
INDEX(貸出記録!$A$2:$A$5000,
SMALL(
IF(貸出記録!$E$2:$E$5000="",
ROW(貸出記録!$A$2:$A$5000)-ROW(貸出記録!$A$2)+1),
ROW(A170)
)
),
"")</f>
        <v>BT-0170</v>
      </c>
      <c r="B171" s="34" t="str">
        <f t="array" ref="B171">IF($A171="","",
IFERROR(IF(INDEX(貸出記録!$B$2:$B$5000,
MATCH($A171,貸出記録!$A$2:$A$5000,0))="","",
INDEX(貸出記録!$B$2:$B$5000,
MATCH($A171,貸出記録!$A$2:$A$5000,0))
),""))</f>
        <v/>
      </c>
      <c r="C171" s="34" t="str">
        <f t="array" ref="C171">IF($A171="","",
IFERROR(IF(INDEX(貸出記録!$C$2:$C$5000,
MATCH($A171,貸出記録!$A$2:$A$5000,0))="","",
INDEX(貸出記録!$C$2:$C$5000,
MATCH($A171,貸出記録!$A$2:$A$5000,0))
),""))</f>
        <v/>
      </c>
      <c r="D171" s="34" t="str">
        <f t="array" ref="D171">IF($A171="","",
IFERROR(IF(INDEX(貸出記録!$D:$D,
MATCH($A171,貸出記録!$A:$A,0))="","",
INDEX(貸出記録!$D:$D,
MATCH($A171,貸出記録!$A:$A,0))
),""))</f>
        <v/>
      </c>
      <c r="E171" s="34" t="str">
        <f t="array" aca="1" ref="E171" ca="1">IF(D171="","",TODAY()-D171&amp;"日")</f>
        <v/>
      </c>
      <c r="F171" s="34" t="str">
        <f t="array" ref="F171">IF($A171="","",
IFERROR(IF(INDEX(貸出記録!$F:$F,
MATCH($A171,貸出記録!$A:$A,0))="","",
INDEX(貸出記録!$F:$F,
MATCH($A171,貸出記録!$A:$A,0))
),""))</f>
        <v/>
      </c>
    </row>
    <row r="172" spans="1:6" ht="15.6">
      <c r="A172" s="34" t="str">
        <f t="array" ref="A172">IFERROR(
INDEX(貸出記録!$A$2:$A$5000,
SMALL(
IF(貸出記録!$E$2:$E$5000="",
ROW(貸出記録!$A$2:$A$5000)-ROW(貸出記録!$A$2)+1),
ROW(A171)
)
),
"")</f>
        <v>BT-0171</v>
      </c>
      <c r="B172" s="34" t="str">
        <f t="array" ref="B172">IF($A172="","",
IFERROR(IF(INDEX(貸出記録!$B$2:$B$5000,
MATCH($A172,貸出記録!$A$2:$A$5000,0))="","",
INDEX(貸出記録!$B$2:$B$5000,
MATCH($A172,貸出記録!$A$2:$A$5000,0))
),""))</f>
        <v/>
      </c>
      <c r="C172" s="34" t="str">
        <f t="array" ref="C172">IF($A172="","",
IFERROR(IF(INDEX(貸出記録!$C$2:$C$5000,
MATCH($A172,貸出記録!$A$2:$A$5000,0))="","",
INDEX(貸出記録!$C$2:$C$5000,
MATCH($A172,貸出記録!$A$2:$A$5000,0))
),""))</f>
        <v/>
      </c>
      <c r="D172" s="34" t="str">
        <f t="array" ref="D172">IF($A172="","",
IFERROR(IF(INDEX(貸出記録!$D:$D,
MATCH($A172,貸出記録!$A:$A,0))="","",
INDEX(貸出記録!$D:$D,
MATCH($A172,貸出記録!$A:$A,0))
),""))</f>
        <v/>
      </c>
      <c r="E172" s="34" t="str">
        <f t="array" aca="1" ref="E172" ca="1">IF(D172="","",TODAY()-D172&amp;"日")</f>
        <v/>
      </c>
      <c r="F172" s="34" t="str">
        <f t="array" ref="F172">IF($A172="","",
IFERROR(IF(INDEX(貸出記録!$F:$F,
MATCH($A172,貸出記録!$A:$A,0))="","",
INDEX(貸出記録!$F:$F,
MATCH($A172,貸出記録!$A:$A,0))
),""))</f>
        <v/>
      </c>
    </row>
    <row r="173" spans="1:6" ht="15.6">
      <c r="A173" s="34" t="str">
        <f t="array" ref="A173">IFERROR(
INDEX(貸出記録!$A$2:$A$5000,
SMALL(
IF(貸出記録!$E$2:$E$5000="",
ROW(貸出記録!$A$2:$A$5000)-ROW(貸出記録!$A$2)+1),
ROW(A172)
)
),
"")</f>
        <v>BT-0172</v>
      </c>
      <c r="B173" s="34" t="str">
        <f t="array" ref="B173">IF($A173="","",
IFERROR(IF(INDEX(貸出記録!$B$2:$B$5000,
MATCH($A173,貸出記録!$A$2:$A$5000,0))="","",
INDEX(貸出記録!$B$2:$B$5000,
MATCH($A173,貸出記録!$A$2:$A$5000,0))
),""))</f>
        <v/>
      </c>
      <c r="C173" s="34" t="str">
        <f t="array" ref="C173">IF($A173="","",
IFERROR(IF(INDEX(貸出記録!$C$2:$C$5000,
MATCH($A173,貸出記録!$A$2:$A$5000,0))="","",
INDEX(貸出記録!$C$2:$C$5000,
MATCH($A173,貸出記録!$A$2:$A$5000,0))
),""))</f>
        <v/>
      </c>
      <c r="D173" s="34" t="str">
        <f t="array" ref="D173">IF($A173="","",
IFERROR(IF(INDEX(貸出記録!$D:$D,
MATCH($A173,貸出記録!$A:$A,0))="","",
INDEX(貸出記録!$D:$D,
MATCH($A173,貸出記録!$A:$A,0))
),""))</f>
        <v/>
      </c>
      <c r="E173" s="34" t="str">
        <f t="array" aca="1" ref="E173" ca="1">IF(D173="","",TODAY()-D173&amp;"日")</f>
        <v/>
      </c>
      <c r="F173" s="34" t="str">
        <f t="array" ref="F173">IF($A173="","",
IFERROR(IF(INDEX(貸出記録!$F:$F,
MATCH($A173,貸出記録!$A:$A,0))="","",
INDEX(貸出記録!$F:$F,
MATCH($A173,貸出記録!$A:$A,0))
),""))</f>
        <v/>
      </c>
    </row>
    <row r="174" spans="1:6" ht="15.6">
      <c r="A174" s="34" t="str">
        <f t="array" ref="A174">IFERROR(
INDEX(貸出記録!$A$2:$A$5000,
SMALL(
IF(貸出記録!$E$2:$E$5000="",
ROW(貸出記録!$A$2:$A$5000)-ROW(貸出記録!$A$2)+1),
ROW(A173)
)
),
"")</f>
        <v>BT-0173</v>
      </c>
      <c r="B174" s="34" t="str">
        <f t="array" ref="B174">IF($A174="","",
IFERROR(IF(INDEX(貸出記録!$B$2:$B$5000,
MATCH($A174,貸出記録!$A$2:$A$5000,0))="","",
INDEX(貸出記録!$B$2:$B$5000,
MATCH($A174,貸出記録!$A$2:$A$5000,0))
),""))</f>
        <v/>
      </c>
      <c r="C174" s="34" t="str">
        <f t="array" ref="C174">IF($A174="","",
IFERROR(IF(INDEX(貸出記録!$C$2:$C$5000,
MATCH($A174,貸出記録!$A$2:$A$5000,0))="","",
INDEX(貸出記録!$C$2:$C$5000,
MATCH($A174,貸出記録!$A$2:$A$5000,0))
),""))</f>
        <v/>
      </c>
      <c r="D174" s="34" t="str">
        <f t="array" ref="D174">IF($A174="","",
IFERROR(IF(INDEX(貸出記録!$D:$D,
MATCH($A174,貸出記録!$A:$A,0))="","",
INDEX(貸出記録!$D:$D,
MATCH($A174,貸出記録!$A:$A,0))
),""))</f>
        <v/>
      </c>
      <c r="E174" s="34" t="str">
        <f t="array" aca="1" ref="E174" ca="1">IF(D174="","",TODAY()-D174&amp;"日")</f>
        <v/>
      </c>
      <c r="F174" s="34" t="str">
        <f t="array" ref="F174">IF($A174="","",
IFERROR(IF(INDEX(貸出記録!$F:$F,
MATCH($A174,貸出記録!$A:$A,0))="","",
INDEX(貸出記録!$F:$F,
MATCH($A174,貸出記録!$A:$A,0))
),""))</f>
        <v/>
      </c>
    </row>
    <row r="175" spans="1:6" ht="15.6">
      <c r="A175" s="34" t="str">
        <f t="array" ref="A175">IFERROR(
INDEX(貸出記録!$A$2:$A$5000,
SMALL(
IF(貸出記録!$E$2:$E$5000="",
ROW(貸出記録!$A$2:$A$5000)-ROW(貸出記録!$A$2)+1),
ROW(A174)
)
),
"")</f>
        <v>BT-0174</v>
      </c>
      <c r="B175" s="34" t="str">
        <f t="array" ref="B175">IF($A175="","",
IFERROR(IF(INDEX(貸出記録!$B$2:$B$5000,
MATCH($A175,貸出記録!$A$2:$A$5000,0))="","",
INDEX(貸出記録!$B$2:$B$5000,
MATCH($A175,貸出記録!$A$2:$A$5000,0))
),""))</f>
        <v/>
      </c>
      <c r="C175" s="34" t="str">
        <f t="array" ref="C175">IF($A175="","",
IFERROR(IF(INDEX(貸出記録!$C$2:$C$5000,
MATCH($A175,貸出記録!$A$2:$A$5000,0))="","",
INDEX(貸出記録!$C$2:$C$5000,
MATCH($A175,貸出記録!$A$2:$A$5000,0))
),""))</f>
        <v/>
      </c>
      <c r="D175" s="34" t="str">
        <f t="array" ref="D175">IF($A175="","",
IFERROR(IF(INDEX(貸出記録!$D:$D,
MATCH($A175,貸出記録!$A:$A,0))="","",
INDEX(貸出記録!$D:$D,
MATCH($A175,貸出記録!$A:$A,0))
),""))</f>
        <v/>
      </c>
      <c r="E175" s="34" t="str">
        <f t="array" aca="1" ref="E175" ca="1">IF(D175="","",TODAY()-D175&amp;"日")</f>
        <v/>
      </c>
      <c r="F175" s="34" t="str">
        <f t="array" ref="F175">IF($A175="","",
IFERROR(IF(INDEX(貸出記録!$F:$F,
MATCH($A175,貸出記録!$A:$A,0))="","",
INDEX(貸出記録!$F:$F,
MATCH($A175,貸出記録!$A:$A,0))
),""))</f>
        <v/>
      </c>
    </row>
    <row r="176" spans="1:6" ht="15.6">
      <c r="A176" s="34" t="str">
        <f t="array" ref="A176">IFERROR(
INDEX(貸出記録!$A$2:$A$5000,
SMALL(
IF(貸出記録!$E$2:$E$5000="",
ROW(貸出記録!$A$2:$A$5000)-ROW(貸出記録!$A$2)+1),
ROW(A175)
)
),
"")</f>
        <v>BT-0175</v>
      </c>
      <c r="B176" s="34" t="str">
        <f t="array" ref="B176">IF($A176="","",
IFERROR(IF(INDEX(貸出記録!$B$2:$B$5000,
MATCH($A176,貸出記録!$A$2:$A$5000,0))="","",
INDEX(貸出記録!$B$2:$B$5000,
MATCH($A176,貸出記録!$A$2:$A$5000,0))
),""))</f>
        <v/>
      </c>
      <c r="C176" s="34" t="str">
        <f t="array" ref="C176">IF($A176="","",
IFERROR(IF(INDEX(貸出記録!$C$2:$C$5000,
MATCH($A176,貸出記録!$A$2:$A$5000,0))="","",
INDEX(貸出記録!$C$2:$C$5000,
MATCH($A176,貸出記録!$A$2:$A$5000,0))
),""))</f>
        <v/>
      </c>
      <c r="D176" s="34" t="str">
        <f t="array" ref="D176">IF($A176="","",
IFERROR(IF(INDEX(貸出記録!$D:$D,
MATCH($A176,貸出記録!$A:$A,0))="","",
INDEX(貸出記録!$D:$D,
MATCH($A176,貸出記録!$A:$A,0))
),""))</f>
        <v/>
      </c>
      <c r="E176" s="34" t="str">
        <f t="array" aca="1" ref="E176" ca="1">IF(D176="","",TODAY()-D176&amp;"日")</f>
        <v/>
      </c>
      <c r="F176" s="34" t="str">
        <f t="array" ref="F176">IF($A176="","",
IFERROR(IF(INDEX(貸出記録!$F:$F,
MATCH($A176,貸出記録!$A:$A,0))="","",
INDEX(貸出記録!$F:$F,
MATCH($A176,貸出記録!$A:$A,0))
),""))</f>
        <v/>
      </c>
    </row>
    <row r="177" spans="1:6" ht="15.6">
      <c r="A177" s="34" t="str">
        <f t="array" ref="A177">IFERROR(
INDEX(貸出記録!$A$2:$A$5000,
SMALL(
IF(貸出記録!$E$2:$E$5000="",
ROW(貸出記録!$A$2:$A$5000)-ROW(貸出記録!$A$2)+1),
ROW(A176)
)
),
"")</f>
        <v>BT-0176</v>
      </c>
      <c r="B177" s="34" t="str">
        <f t="array" ref="B177">IF($A177="","",
IFERROR(IF(INDEX(貸出記録!$B$2:$B$5000,
MATCH($A177,貸出記録!$A$2:$A$5000,0))="","",
INDEX(貸出記録!$B$2:$B$5000,
MATCH($A177,貸出記録!$A$2:$A$5000,0))
),""))</f>
        <v/>
      </c>
      <c r="C177" s="34" t="str">
        <f t="array" ref="C177">IF($A177="","",
IFERROR(IF(INDEX(貸出記録!$C$2:$C$5000,
MATCH($A177,貸出記録!$A$2:$A$5000,0))="","",
INDEX(貸出記録!$C$2:$C$5000,
MATCH($A177,貸出記録!$A$2:$A$5000,0))
),""))</f>
        <v/>
      </c>
      <c r="D177" s="34" t="str">
        <f t="array" ref="D177">IF($A177="","",
IFERROR(IF(INDEX(貸出記録!$D:$D,
MATCH($A177,貸出記録!$A:$A,0))="","",
INDEX(貸出記録!$D:$D,
MATCH($A177,貸出記録!$A:$A,0))
),""))</f>
        <v/>
      </c>
      <c r="E177" s="34" t="str">
        <f t="array" aca="1" ref="E177" ca="1">IF(D177="","",TODAY()-D177&amp;"日")</f>
        <v/>
      </c>
      <c r="F177" s="34" t="str">
        <f t="array" ref="F177">IF($A177="","",
IFERROR(IF(INDEX(貸出記録!$F:$F,
MATCH($A177,貸出記録!$A:$A,0))="","",
INDEX(貸出記録!$F:$F,
MATCH($A177,貸出記録!$A:$A,0))
),""))</f>
        <v/>
      </c>
    </row>
    <row r="178" spans="1:6" ht="15.6">
      <c r="A178" s="34" t="str">
        <f t="array" ref="A178">IFERROR(
INDEX(貸出記録!$A$2:$A$5000,
SMALL(
IF(貸出記録!$E$2:$E$5000="",
ROW(貸出記録!$A$2:$A$5000)-ROW(貸出記録!$A$2)+1),
ROW(A177)
)
),
"")</f>
        <v>BT-0177</v>
      </c>
      <c r="B178" s="34" t="str">
        <f t="array" ref="B178">IF($A178="","",
IFERROR(IF(INDEX(貸出記録!$B$2:$B$5000,
MATCH($A178,貸出記録!$A$2:$A$5000,0))="","",
INDEX(貸出記録!$B$2:$B$5000,
MATCH($A178,貸出記録!$A$2:$A$5000,0))
),""))</f>
        <v/>
      </c>
      <c r="C178" s="34" t="str">
        <f t="array" ref="C178">IF($A178="","",
IFERROR(IF(INDEX(貸出記録!$C$2:$C$5000,
MATCH($A178,貸出記録!$A$2:$A$5000,0))="","",
INDEX(貸出記録!$C$2:$C$5000,
MATCH($A178,貸出記録!$A$2:$A$5000,0))
),""))</f>
        <v/>
      </c>
      <c r="D178" s="34" t="str">
        <f t="array" ref="D178">IF($A178="","",
IFERROR(IF(INDEX(貸出記録!$D:$D,
MATCH($A178,貸出記録!$A:$A,0))="","",
INDEX(貸出記録!$D:$D,
MATCH($A178,貸出記録!$A:$A,0))
),""))</f>
        <v/>
      </c>
      <c r="E178" s="34" t="str">
        <f t="array" aca="1" ref="E178" ca="1">IF(D178="","",TODAY()-D178&amp;"日")</f>
        <v/>
      </c>
      <c r="F178" s="34" t="str">
        <f t="array" ref="F178">IF($A178="","",
IFERROR(IF(INDEX(貸出記録!$F:$F,
MATCH($A178,貸出記録!$A:$A,0))="","",
INDEX(貸出記録!$F:$F,
MATCH($A178,貸出記録!$A:$A,0))
),""))</f>
        <v/>
      </c>
    </row>
    <row r="179" spans="1:6" ht="15.6">
      <c r="A179" s="34" t="str">
        <f t="array" ref="A179">IFERROR(
INDEX(貸出記録!$A$2:$A$5000,
SMALL(
IF(貸出記録!$E$2:$E$5000="",
ROW(貸出記録!$A$2:$A$5000)-ROW(貸出記録!$A$2)+1),
ROW(A178)
)
),
"")</f>
        <v>BT-0178</v>
      </c>
      <c r="B179" s="34" t="str">
        <f t="array" ref="B179">IF($A179="","",
IFERROR(IF(INDEX(貸出記録!$B$2:$B$5000,
MATCH($A179,貸出記録!$A$2:$A$5000,0))="","",
INDEX(貸出記録!$B$2:$B$5000,
MATCH($A179,貸出記録!$A$2:$A$5000,0))
),""))</f>
        <v/>
      </c>
      <c r="C179" s="34" t="str">
        <f t="array" ref="C179">IF($A179="","",
IFERROR(IF(INDEX(貸出記録!$C$2:$C$5000,
MATCH($A179,貸出記録!$A$2:$A$5000,0))="","",
INDEX(貸出記録!$C$2:$C$5000,
MATCH($A179,貸出記録!$A$2:$A$5000,0))
),""))</f>
        <v/>
      </c>
      <c r="D179" s="34" t="str">
        <f t="array" ref="D179">IF($A179="","",
IFERROR(IF(INDEX(貸出記録!$D:$D,
MATCH($A179,貸出記録!$A:$A,0))="","",
INDEX(貸出記録!$D:$D,
MATCH($A179,貸出記録!$A:$A,0))
),""))</f>
        <v/>
      </c>
      <c r="E179" s="34" t="str">
        <f t="array" aca="1" ref="E179" ca="1">IF(D179="","",TODAY()-D179&amp;"日")</f>
        <v/>
      </c>
      <c r="F179" s="34" t="str">
        <f t="array" ref="F179">IF($A179="","",
IFERROR(IF(INDEX(貸出記録!$F:$F,
MATCH($A179,貸出記録!$A:$A,0))="","",
INDEX(貸出記録!$F:$F,
MATCH($A179,貸出記録!$A:$A,0))
),""))</f>
        <v/>
      </c>
    </row>
    <row r="180" spans="1:6" ht="15.6">
      <c r="A180" s="34" t="str">
        <f t="array" ref="A180">IFERROR(
INDEX(貸出記録!$A$2:$A$5000,
SMALL(
IF(貸出記録!$E$2:$E$5000="",
ROW(貸出記録!$A$2:$A$5000)-ROW(貸出記録!$A$2)+1),
ROW(A179)
)
),
"")</f>
        <v>BT-0179</v>
      </c>
      <c r="B180" s="34" t="str">
        <f t="array" ref="B180">IF($A180="","",
IFERROR(IF(INDEX(貸出記録!$B$2:$B$5000,
MATCH($A180,貸出記録!$A$2:$A$5000,0))="","",
INDEX(貸出記録!$B$2:$B$5000,
MATCH($A180,貸出記録!$A$2:$A$5000,0))
),""))</f>
        <v/>
      </c>
      <c r="C180" s="34" t="str">
        <f t="array" ref="C180">IF($A180="","",
IFERROR(IF(INDEX(貸出記録!$C$2:$C$5000,
MATCH($A180,貸出記録!$A$2:$A$5000,0))="","",
INDEX(貸出記録!$C$2:$C$5000,
MATCH($A180,貸出記録!$A$2:$A$5000,0))
),""))</f>
        <v/>
      </c>
      <c r="D180" s="34" t="str">
        <f t="array" ref="D180">IF($A180="","",
IFERROR(IF(INDEX(貸出記録!$D:$D,
MATCH($A180,貸出記録!$A:$A,0))="","",
INDEX(貸出記録!$D:$D,
MATCH($A180,貸出記録!$A:$A,0))
),""))</f>
        <v/>
      </c>
      <c r="E180" s="34" t="str">
        <f t="array" aca="1" ref="E180" ca="1">IF(D180="","",TODAY()-D180&amp;"日")</f>
        <v/>
      </c>
      <c r="F180" s="34" t="str">
        <f t="array" ref="F180">IF($A180="","",
IFERROR(IF(INDEX(貸出記録!$F:$F,
MATCH($A180,貸出記録!$A:$A,0))="","",
INDEX(貸出記録!$F:$F,
MATCH($A180,貸出記録!$A:$A,0))
),""))</f>
        <v/>
      </c>
    </row>
    <row r="181" spans="1:6" ht="15.6">
      <c r="A181" s="34" t="str">
        <f t="array" ref="A181">IFERROR(
INDEX(貸出記録!$A$2:$A$5000,
SMALL(
IF(貸出記録!$E$2:$E$5000="",
ROW(貸出記録!$A$2:$A$5000)-ROW(貸出記録!$A$2)+1),
ROW(A180)
)
),
"")</f>
        <v>BT-0180</v>
      </c>
      <c r="B181" s="34" t="str">
        <f t="array" ref="B181">IF($A181="","",
IFERROR(IF(INDEX(貸出記録!$B$2:$B$5000,
MATCH($A181,貸出記録!$A$2:$A$5000,0))="","",
INDEX(貸出記録!$B$2:$B$5000,
MATCH($A181,貸出記録!$A$2:$A$5000,0))
),""))</f>
        <v/>
      </c>
      <c r="C181" s="34" t="str">
        <f t="array" ref="C181">IF($A181="","",
IFERROR(IF(INDEX(貸出記録!$C$2:$C$5000,
MATCH($A181,貸出記録!$A$2:$A$5000,0))="","",
INDEX(貸出記録!$C$2:$C$5000,
MATCH($A181,貸出記録!$A$2:$A$5000,0))
),""))</f>
        <v/>
      </c>
      <c r="D181" s="34" t="str">
        <f t="array" ref="D181">IF($A181="","",
IFERROR(IF(INDEX(貸出記録!$D:$D,
MATCH($A181,貸出記録!$A:$A,0))="","",
INDEX(貸出記録!$D:$D,
MATCH($A181,貸出記録!$A:$A,0))
),""))</f>
        <v/>
      </c>
      <c r="E181" s="34" t="str">
        <f t="array" aca="1" ref="E181" ca="1">IF(D181="","",TODAY()-D181&amp;"日")</f>
        <v/>
      </c>
      <c r="F181" s="34" t="str">
        <f t="array" ref="F181">IF($A181="","",
IFERROR(IF(INDEX(貸出記録!$F:$F,
MATCH($A181,貸出記録!$A:$A,0))="","",
INDEX(貸出記録!$F:$F,
MATCH($A181,貸出記録!$A:$A,0))
),""))</f>
        <v/>
      </c>
    </row>
    <row r="182" spans="1:6" ht="15.6">
      <c r="A182" s="34" t="str">
        <f t="array" ref="A182">IFERROR(
INDEX(貸出記録!$A$2:$A$5000,
SMALL(
IF(貸出記録!$E$2:$E$5000="",
ROW(貸出記録!$A$2:$A$5000)-ROW(貸出記録!$A$2)+1),
ROW(A181)
)
),
"")</f>
        <v>BT-0181</v>
      </c>
      <c r="B182" s="34" t="str">
        <f t="array" ref="B182">IF($A182="","",
IFERROR(IF(INDEX(貸出記録!$B$2:$B$5000,
MATCH($A182,貸出記録!$A$2:$A$5000,0))="","",
INDEX(貸出記録!$B$2:$B$5000,
MATCH($A182,貸出記録!$A$2:$A$5000,0))
),""))</f>
        <v/>
      </c>
      <c r="C182" s="34" t="str">
        <f t="array" ref="C182">IF($A182="","",
IFERROR(IF(INDEX(貸出記録!$C$2:$C$5000,
MATCH($A182,貸出記録!$A$2:$A$5000,0))="","",
INDEX(貸出記録!$C$2:$C$5000,
MATCH($A182,貸出記録!$A$2:$A$5000,0))
),""))</f>
        <v/>
      </c>
      <c r="D182" s="34" t="str">
        <f t="array" ref="D182">IF($A182="","",
IFERROR(IF(INDEX(貸出記録!$D:$D,
MATCH($A182,貸出記録!$A:$A,0))="","",
INDEX(貸出記録!$D:$D,
MATCH($A182,貸出記録!$A:$A,0))
),""))</f>
        <v/>
      </c>
      <c r="E182" s="34" t="str">
        <f t="array" aca="1" ref="E182" ca="1">IF(D182="","",TODAY()-D182&amp;"日")</f>
        <v/>
      </c>
      <c r="F182" s="34" t="str">
        <f t="array" ref="F182">IF($A182="","",
IFERROR(IF(INDEX(貸出記録!$F:$F,
MATCH($A182,貸出記録!$A:$A,0))="","",
INDEX(貸出記録!$F:$F,
MATCH($A182,貸出記録!$A:$A,0))
),""))</f>
        <v/>
      </c>
    </row>
    <row r="183" spans="1:6" ht="15.6">
      <c r="A183" s="34" t="str">
        <f t="array" ref="A183">IFERROR(
INDEX(貸出記録!$A$2:$A$5000,
SMALL(
IF(貸出記録!$E$2:$E$5000="",
ROW(貸出記録!$A$2:$A$5000)-ROW(貸出記録!$A$2)+1),
ROW(A182)
)
),
"")</f>
        <v>BT-0182</v>
      </c>
      <c r="B183" s="34" t="str">
        <f t="array" ref="B183">IF($A183="","",
IFERROR(IF(INDEX(貸出記録!$B$2:$B$5000,
MATCH($A183,貸出記録!$A$2:$A$5000,0))="","",
INDEX(貸出記録!$B$2:$B$5000,
MATCH($A183,貸出記録!$A$2:$A$5000,0))
),""))</f>
        <v/>
      </c>
      <c r="C183" s="34" t="str">
        <f t="array" ref="C183">IF($A183="","",
IFERROR(IF(INDEX(貸出記録!$C$2:$C$5000,
MATCH($A183,貸出記録!$A$2:$A$5000,0))="","",
INDEX(貸出記録!$C$2:$C$5000,
MATCH($A183,貸出記録!$A$2:$A$5000,0))
),""))</f>
        <v/>
      </c>
      <c r="D183" s="34" t="str">
        <f t="array" ref="D183">IF($A183="","",
IFERROR(IF(INDEX(貸出記録!$D:$D,
MATCH($A183,貸出記録!$A:$A,0))="","",
INDEX(貸出記録!$D:$D,
MATCH($A183,貸出記録!$A:$A,0))
),""))</f>
        <v/>
      </c>
      <c r="E183" s="34" t="str">
        <f t="array" aca="1" ref="E183" ca="1">IF(D183="","",TODAY()-D183&amp;"日")</f>
        <v/>
      </c>
      <c r="F183" s="34" t="str">
        <f t="array" ref="F183">IF($A183="","",
IFERROR(IF(INDEX(貸出記録!$F:$F,
MATCH($A183,貸出記録!$A:$A,0))="","",
INDEX(貸出記録!$F:$F,
MATCH($A183,貸出記録!$A:$A,0))
),""))</f>
        <v/>
      </c>
    </row>
    <row r="184" spans="1:6" ht="15.6">
      <c r="A184" s="34" t="str">
        <f t="array" ref="A184">IFERROR(
INDEX(貸出記録!$A$2:$A$5000,
SMALL(
IF(貸出記録!$E$2:$E$5000="",
ROW(貸出記録!$A$2:$A$5000)-ROW(貸出記録!$A$2)+1),
ROW(A183)
)
),
"")</f>
        <v>BT-0183</v>
      </c>
      <c r="B184" s="34" t="str">
        <f t="array" ref="B184">IF($A184="","",
IFERROR(IF(INDEX(貸出記録!$B$2:$B$5000,
MATCH($A184,貸出記録!$A$2:$A$5000,0))="","",
INDEX(貸出記録!$B$2:$B$5000,
MATCH($A184,貸出記録!$A$2:$A$5000,0))
),""))</f>
        <v/>
      </c>
      <c r="C184" s="34" t="str">
        <f t="array" ref="C184">IF($A184="","",
IFERROR(IF(INDEX(貸出記録!$C$2:$C$5000,
MATCH($A184,貸出記録!$A$2:$A$5000,0))="","",
INDEX(貸出記録!$C$2:$C$5000,
MATCH($A184,貸出記録!$A$2:$A$5000,0))
),""))</f>
        <v/>
      </c>
      <c r="D184" s="34" t="str">
        <f t="array" ref="D184">IF($A184="","",
IFERROR(IF(INDEX(貸出記録!$D:$D,
MATCH($A184,貸出記録!$A:$A,0))="","",
INDEX(貸出記録!$D:$D,
MATCH($A184,貸出記録!$A:$A,0))
),""))</f>
        <v/>
      </c>
      <c r="E184" s="34" t="str">
        <f t="array" aca="1" ref="E184" ca="1">IF(D184="","",TODAY()-D184&amp;"日")</f>
        <v/>
      </c>
      <c r="F184" s="34" t="str">
        <f t="array" ref="F184">IF($A184="","",
IFERROR(IF(INDEX(貸出記録!$F:$F,
MATCH($A184,貸出記録!$A:$A,0))="","",
INDEX(貸出記録!$F:$F,
MATCH($A184,貸出記録!$A:$A,0))
),""))</f>
        <v/>
      </c>
    </row>
    <row r="185" spans="1:6" ht="15.6">
      <c r="A185" s="34" t="str">
        <f t="array" ref="A185">IFERROR(
INDEX(貸出記録!$A$2:$A$5000,
SMALL(
IF(貸出記録!$E$2:$E$5000="",
ROW(貸出記録!$A$2:$A$5000)-ROW(貸出記録!$A$2)+1),
ROW(A184)
)
),
"")</f>
        <v>BT-0184</v>
      </c>
      <c r="B185" s="34" t="str">
        <f t="array" ref="B185">IF($A185="","",
IFERROR(IF(INDEX(貸出記録!$B$2:$B$5000,
MATCH($A185,貸出記録!$A$2:$A$5000,0))="","",
INDEX(貸出記録!$B$2:$B$5000,
MATCH($A185,貸出記録!$A$2:$A$5000,0))
),""))</f>
        <v/>
      </c>
      <c r="C185" s="34" t="str">
        <f t="array" ref="C185">IF($A185="","",
IFERROR(IF(INDEX(貸出記録!$C$2:$C$5000,
MATCH($A185,貸出記録!$A$2:$A$5000,0))="","",
INDEX(貸出記録!$C$2:$C$5000,
MATCH($A185,貸出記録!$A$2:$A$5000,0))
),""))</f>
        <v/>
      </c>
      <c r="D185" s="34" t="str">
        <f t="array" ref="D185">IF($A185="","",
IFERROR(IF(INDEX(貸出記録!$D:$D,
MATCH($A185,貸出記録!$A:$A,0))="","",
INDEX(貸出記録!$D:$D,
MATCH($A185,貸出記録!$A:$A,0))
),""))</f>
        <v/>
      </c>
      <c r="E185" s="34" t="str">
        <f t="array" aca="1" ref="E185" ca="1">IF(D185="","",TODAY()-D185&amp;"日")</f>
        <v/>
      </c>
      <c r="F185" s="34" t="str">
        <f t="array" ref="F185">IF($A185="","",
IFERROR(IF(INDEX(貸出記録!$F:$F,
MATCH($A185,貸出記録!$A:$A,0))="","",
INDEX(貸出記録!$F:$F,
MATCH($A185,貸出記録!$A:$A,0))
),""))</f>
        <v/>
      </c>
    </row>
    <row r="186" spans="1:6" ht="15.6">
      <c r="A186" s="34" t="str">
        <f t="array" ref="A186">IFERROR(
INDEX(貸出記録!$A$2:$A$5000,
SMALL(
IF(貸出記録!$E$2:$E$5000="",
ROW(貸出記録!$A$2:$A$5000)-ROW(貸出記録!$A$2)+1),
ROW(A185)
)
),
"")</f>
        <v>BT-0185</v>
      </c>
      <c r="B186" s="34" t="str">
        <f t="array" ref="B186">IF($A186="","",
IFERROR(IF(INDEX(貸出記録!$B$2:$B$5000,
MATCH($A186,貸出記録!$A$2:$A$5000,0))="","",
INDEX(貸出記録!$B$2:$B$5000,
MATCH($A186,貸出記録!$A$2:$A$5000,0))
),""))</f>
        <v/>
      </c>
      <c r="C186" s="34" t="str">
        <f t="array" ref="C186">IF($A186="","",
IFERROR(IF(INDEX(貸出記録!$C$2:$C$5000,
MATCH($A186,貸出記録!$A$2:$A$5000,0))="","",
INDEX(貸出記録!$C$2:$C$5000,
MATCH($A186,貸出記録!$A$2:$A$5000,0))
),""))</f>
        <v/>
      </c>
      <c r="D186" s="34" t="str">
        <f t="array" ref="D186">IF($A186="","",
IFERROR(IF(INDEX(貸出記録!$D:$D,
MATCH($A186,貸出記録!$A:$A,0))="","",
INDEX(貸出記録!$D:$D,
MATCH($A186,貸出記録!$A:$A,0))
),""))</f>
        <v/>
      </c>
      <c r="E186" s="34" t="str">
        <f t="array" aca="1" ref="E186" ca="1">IF(D186="","",TODAY()-D186&amp;"日")</f>
        <v/>
      </c>
      <c r="F186" s="34" t="str">
        <f t="array" ref="F186">IF($A186="","",
IFERROR(IF(INDEX(貸出記録!$F:$F,
MATCH($A186,貸出記録!$A:$A,0))="","",
INDEX(貸出記録!$F:$F,
MATCH($A186,貸出記録!$A:$A,0))
),""))</f>
        <v/>
      </c>
    </row>
    <row r="187" spans="1:6" ht="15.6">
      <c r="A187" s="34" t="str">
        <f t="array" ref="A187">IFERROR(
INDEX(貸出記録!$A$2:$A$5000,
SMALL(
IF(貸出記録!$E$2:$E$5000="",
ROW(貸出記録!$A$2:$A$5000)-ROW(貸出記録!$A$2)+1),
ROW(A186)
)
),
"")</f>
        <v>BT-0186</v>
      </c>
      <c r="B187" s="34" t="str">
        <f t="array" ref="B187">IF($A187="","",
IFERROR(IF(INDEX(貸出記録!$B$2:$B$5000,
MATCH($A187,貸出記録!$A$2:$A$5000,0))="","",
INDEX(貸出記録!$B$2:$B$5000,
MATCH($A187,貸出記録!$A$2:$A$5000,0))
),""))</f>
        <v/>
      </c>
      <c r="C187" s="34" t="str">
        <f t="array" ref="C187">IF($A187="","",
IFERROR(IF(INDEX(貸出記録!$C$2:$C$5000,
MATCH($A187,貸出記録!$A$2:$A$5000,0))="","",
INDEX(貸出記録!$C$2:$C$5000,
MATCH($A187,貸出記録!$A$2:$A$5000,0))
),""))</f>
        <v/>
      </c>
      <c r="D187" s="34" t="str">
        <f t="array" ref="D187">IF($A187="","",
IFERROR(IF(INDEX(貸出記録!$D:$D,
MATCH($A187,貸出記録!$A:$A,0))="","",
INDEX(貸出記録!$D:$D,
MATCH($A187,貸出記録!$A:$A,0))
),""))</f>
        <v/>
      </c>
      <c r="E187" s="34" t="str">
        <f t="array" aca="1" ref="E187" ca="1">IF(D187="","",TODAY()-D187&amp;"日")</f>
        <v/>
      </c>
      <c r="F187" s="34" t="str">
        <f t="array" ref="F187">IF($A187="","",
IFERROR(IF(INDEX(貸出記録!$F:$F,
MATCH($A187,貸出記録!$A:$A,0))="","",
INDEX(貸出記録!$F:$F,
MATCH($A187,貸出記録!$A:$A,0))
),""))</f>
        <v/>
      </c>
    </row>
    <row r="188" spans="1:6" ht="15.6">
      <c r="A188" s="34" t="str">
        <f t="array" ref="A188">IFERROR(
INDEX(貸出記録!$A$2:$A$5000,
SMALL(
IF(貸出記録!$E$2:$E$5000="",
ROW(貸出記録!$A$2:$A$5000)-ROW(貸出記録!$A$2)+1),
ROW(A187)
)
),
"")</f>
        <v>BT-0187</v>
      </c>
      <c r="B188" s="34" t="str">
        <f t="array" ref="B188">IF($A188="","",
IFERROR(IF(INDEX(貸出記録!$B$2:$B$5000,
MATCH($A188,貸出記録!$A$2:$A$5000,0))="","",
INDEX(貸出記録!$B$2:$B$5000,
MATCH($A188,貸出記録!$A$2:$A$5000,0))
),""))</f>
        <v/>
      </c>
      <c r="C188" s="34" t="str">
        <f t="array" ref="C188">IF($A188="","",
IFERROR(IF(INDEX(貸出記録!$C$2:$C$5000,
MATCH($A188,貸出記録!$A$2:$A$5000,0))="","",
INDEX(貸出記録!$C$2:$C$5000,
MATCH($A188,貸出記録!$A$2:$A$5000,0))
),""))</f>
        <v/>
      </c>
      <c r="D188" s="34" t="str">
        <f t="array" ref="D188">IF($A188="","",
IFERROR(IF(INDEX(貸出記録!$D:$D,
MATCH($A188,貸出記録!$A:$A,0))="","",
INDEX(貸出記録!$D:$D,
MATCH($A188,貸出記録!$A:$A,0))
),""))</f>
        <v/>
      </c>
      <c r="E188" s="34" t="str">
        <f t="array" aca="1" ref="E188" ca="1">IF(D188="","",TODAY()-D188&amp;"日")</f>
        <v/>
      </c>
      <c r="F188" s="34" t="str">
        <f t="array" ref="F188">IF($A188="","",
IFERROR(IF(INDEX(貸出記録!$F:$F,
MATCH($A188,貸出記録!$A:$A,0))="","",
INDEX(貸出記録!$F:$F,
MATCH($A188,貸出記録!$A:$A,0))
),""))</f>
        <v/>
      </c>
    </row>
    <row r="189" spans="1:6" ht="15.6">
      <c r="A189" s="34" t="str">
        <f t="array" ref="A189">IFERROR(
INDEX(貸出記録!$A$2:$A$5000,
SMALL(
IF(貸出記録!$E$2:$E$5000="",
ROW(貸出記録!$A$2:$A$5000)-ROW(貸出記録!$A$2)+1),
ROW(A188)
)
),
"")</f>
        <v>BT-0188</v>
      </c>
      <c r="B189" s="34" t="str">
        <f t="array" ref="B189">IF($A189="","",
IFERROR(IF(INDEX(貸出記録!$B$2:$B$5000,
MATCH($A189,貸出記録!$A$2:$A$5000,0))="","",
INDEX(貸出記録!$B$2:$B$5000,
MATCH($A189,貸出記録!$A$2:$A$5000,0))
),""))</f>
        <v/>
      </c>
      <c r="C189" s="34" t="str">
        <f t="array" ref="C189">IF($A189="","",
IFERROR(IF(INDEX(貸出記録!$C$2:$C$5000,
MATCH($A189,貸出記録!$A$2:$A$5000,0))="","",
INDEX(貸出記録!$C$2:$C$5000,
MATCH($A189,貸出記録!$A$2:$A$5000,0))
),""))</f>
        <v/>
      </c>
      <c r="D189" s="34" t="str">
        <f t="array" ref="D189">IF($A189="","",
IFERROR(IF(INDEX(貸出記録!$D:$D,
MATCH($A189,貸出記録!$A:$A,0))="","",
INDEX(貸出記録!$D:$D,
MATCH($A189,貸出記録!$A:$A,0))
),""))</f>
        <v/>
      </c>
      <c r="E189" s="34" t="str">
        <f t="array" aca="1" ref="E189" ca="1">IF(D189="","",TODAY()-D189&amp;"日")</f>
        <v/>
      </c>
      <c r="F189" s="34" t="str">
        <f t="array" ref="F189">IF($A189="","",
IFERROR(IF(INDEX(貸出記録!$F:$F,
MATCH($A189,貸出記録!$A:$A,0))="","",
INDEX(貸出記録!$F:$F,
MATCH($A189,貸出記録!$A:$A,0))
),""))</f>
        <v/>
      </c>
    </row>
    <row r="190" spans="1:6" ht="15.6">
      <c r="A190" s="34" t="str">
        <f t="array" ref="A190">IFERROR(
INDEX(貸出記録!$A$2:$A$5000,
SMALL(
IF(貸出記録!$E$2:$E$5000="",
ROW(貸出記録!$A$2:$A$5000)-ROW(貸出記録!$A$2)+1),
ROW(A189)
)
),
"")</f>
        <v>BT-0189</v>
      </c>
      <c r="B190" s="34" t="str">
        <f t="array" ref="B190">IF($A190="","",
IFERROR(IF(INDEX(貸出記録!$B$2:$B$5000,
MATCH($A190,貸出記録!$A$2:$A$5000,0))="","",
INDEX(貸出記録!$B$2:$B$5000,
MATCH($A190,貸出記録!$A$2:$A$5000,0))
),""))</f>
        <v/>
      </c>
      <c r="C190" s="34" t="str">
        <f t="array" ref="C190">IF($A190="","",
IFERROR(IF(INDEX(貸出記録!$C$2:$C$5000,
MATCH($A190,貸出記録!$A$2:$A$5000,0))="","",
INDEX(貸出記録!$C$2:$C$5000,
MATCH($A190,貸出記録!$A$2:$A$5000,0))
),""))</f>
        <v/>
      </c>
      <c r="D190" s="34" t="str">
        <f t="array" ref="D190">IF($A190="","",
IFERROR(IF(INDEX(貸出記録!$D:$D,
MATCH($A190,貸出記録!$A:$A,0))="","",
INDEX(貸出記録!$D:$D,
MATCH($A190,貸出記録!$A:$A,0))
),""))</f>
        <v/>
      </c>
      <c r="E190" s="34" t="str">
        <f t="array" aca="1" ref="E190" ca="1">IF(D190="","",TODAY()-D190&amp;"日")</f>
        <v/>
      </c>
      <c r="F190" s="34" t="str">
        <f t="array" ref="F190">IF($A190="","",
IFERROR(IF(INDEX(貸出記録!$F:$F,
MATCH($A190,貸出記録!$A:$A,0))="","",
INDEX(貸出記録!$F:$F,
MATCH($A190,貸出記録!$A:$A,0))
),""))</f>
        <v/>
      </c>
    </row>
    <row r="191" spans="1:6" ht="15.6">
      <c r="A191" s="34" t="str">
        <f t="array" ref="A191">IFERROR(
INDEX(貸出記録!$A$2:$A$5000,
SMALL(
IF(貸出記録!$E$2:$E$5000="",
ROW(貸出記録!$A$2:$A$5000)-ROW(貸出記録!$A$2)+1),
ROW(A190)
)
),
"")</f>
        <v>BT-0190</v>
      </c>
      <c r="B191" s="34" t="str">
        <f t="array" ref="B191">IF($A191="","",
IFERROR(IF(INDEX(貸出記録!$B$2:$B$5000,
MATCH($A191,貸出記録!$A$2:$A$5000,0))="","",
INDEX(貸出記録!$B$2:$B$5000,
MATCH($A191,貸出記録!$A$2:$A$5000,0))
),""))</f>
        <v/>
      </c>
      <c r="C191" s="34" t="str">
        <f t="array" ref="C191">IF($A191="","",
IFERROR(IF(INDEX(貸出記録!$C$2:$C$5000,
MATCH($A191,貸出記録!$A$2:$A$5000,0))="","",
INDEX(貸出記録!$C$2:$C$5000,
MATCH($A191,貸出記録!$A$2:$A$5000,0))
),""))</f>
        <v/>
      </c>
      <c r="D191" s="34" t="str">
        <f t="array" ref="D191">IF($A191="","",
IFERROR(IF(INDEX(貸出記録!$D:$D,
MATCH($A191,貸出記録!$A:$A,0))="","",
INDEX(貸出記録!$D:$D,
MATCH($A191,貸出記録!$A:$A,0))
),""))</f>
        <v/>
      </c>
      <c r="E191" s="34" t="str">
        <f t="array" aca="1" ref="E191" ca="1">IF(D191="","",TODAY()-D191&amp;"日")</f>
        <v/>
      </c>
      <c r="F191" s="34" t="str">
        <f t="array" ref="F191">IF($A191="","",
IFERROR(IF(INDEX(貸出記録!$F:$F,
MATCH($A191,貸出記録!$A:$A,0))="","",
INDEX(貸出記録!$F:$F,
MATCH($A191,貸出記録!$A:$A,0))
),""))</f>
        <v/>
      </c>
    </row>
    <row r="192" spans="1:6" ht="15.6">
      <c r="A192" s="34" t="str">
        <f t="array" ref="A192">IFERROR(
INDEX(貸出記録!$A$2:$A$5000,
SMALL(
IF(貸出記録!$E$2:$E$5000="",
ROW(貸出記録!$A$2:$A$5000)-ROW(貸出記録!$A$2)+1),
ROW(A191)
)
),
"")</f>
        <v>BT-0191</v>
      </c>
      <c r="B192" s="34" t="str">
        <f t="array" ref="B192">IF($A192="","",
IFERROR(IF(INDEX(貸出記録!$B$2:$B$5000,
MATCH($A192,貸出記録!$A$2:$A$5000,0))="","",
INDEX(貸出記録!$B$2:$B$5000,
MATCH($A192,貸出記録!$A$2:$A$5000,0))
),""))</f>
        <v/>
      </c>
      <c r="C192" s="34" t="str">
        <f t="array" ref="C192">IF($A192="","",
IFERROR(IF(INDEX(貸出記録!$C$2:$C$5000,
MATCH($A192,貸出記録!$A$2:$A$5000,0))="","",
INDEX(貸出記録!$C$2:$C$5000,
MATCH($A192,貸出記録!$A$2:$A$5000,0))
),""))</f>
        <v/>
      </c>
      <c r="D192" s="34" t="str">
        <f t="array" ref="D192">IF($A192="","",
IFERROR(IF(INDEX(貸出記録!$D:$D,
MATCH($A192,貸出記録!$A:$A,0))="","",
INDEX(貸出記録!$D:$D,
MATCH($A192,貸出記録!$A:$A,0))
),""))</f>
        <v/>
      </c>
      <c r="E192" s="34" t="str">
        <f t="array" aca="1" ref="E192" ca="1">IF(D192="","",TODAY()-D192&amp;"日")</f>
        <v/>
      </c>
      <c r="F192" s="34" t="str">
        <f t="array" ref="F192">IF($A192="","",
IFERROR(IF(INDEX(貸出記録!$F:$F,
MATCH($A192,貸出記録!$A:$A,0))="","",
INDEX(貸出記録!$F:$F,
MATCH($A192,貸出記録!$A:$A,0))
),""))</f>
        <v/>
      </c>
    </row>
    <row r="193" spans="1:6" ht="15.6">
      <c r="A193" s="34" t="str">
        <f t="array" ref="A193">IFERROR(
INDEX(貸出記録!$A$2:$A$5000,
SMALL(
IF(貸出記録!$E$2:$E$5000="",
ROW(貸出記録!$A$2:$A$5000)-ROW(貸出記録!$A$2)+1),
ROW(A192)
)
),
"")</f>
        <v>BT-0192</v>
      </c>
      <c r="B193" s="34" t="str">
        <f t="array" ref="B193">IF($A193="","",
IFERROR(IF(INDEX(貸出記録!$B$2:$B$5000,
MATCH($A193,貸出記録!$A$2:$A$5000,0))="","",
INDEX(貸出記録!$B$2:$B$5000,
MATCH($A193,貸出記録!$A$2:$A$5000,0))
),""))</f>
        <v/>
      </c>
      <c r="C193" s="34" t="str">
        <f t="array" ref="C193">IF($A193="","",
IFERROR(IF(INDEX(貸出記録!$C$2:$C$5000,
MATCH($A193,貸出記録!$A$2:$A$5000,0))="","",
INDEX(貸出記録!$C$2:$C$5000,
MATCH($A193,貸出記録!$A$2:$A$5000,0))
),""))</f>
        <v/>
      </c>
      <c r="D193" s="34" t="str">
        <f t="array" ref="D193">IF($A193="","",
IFERROR(IF(INDEX(貸出記録!$D:$D,
MATCH($A193,貸出記録!$A:$A,0))="","",
INDEX(貸出記録!$D:$D,
MATCH($A193,貸出記録!$A:$A,0))
),""))</f>
        <v/>
      </c>
      <c r="E193" s="34" t="str">
        <f t="array" aca="1" ref="E193" ca="1">IF(D193="","",TODAY()-D193&amp;"日")</f>
        <v/>
      </c>
      <c r="F193" s="34" t="str">
        <f t="array" ref="F193">IF($A193="","",
IFERROR(IF(INDEX(貸出記録!$F:$F,
MATCH($A193,貸出記録!$A:$A,0))="","",
INDEX(貸出記録!$F:$F,
MATCH($A193,貸出記録!$A:$A,0))
),""))</f>
        <v/>
      </c>
    </row>
    <row r="194" spans="1:6" ht="15.6">
      <c r="A194" s="34" t="str">
        <f t="array" ref="A194">IFERROR(
INDEX(貸出記録!$A$2:$A$5000,
SMALL(
IF(貸出記録!$E$2:$E$5000="",
ROW(貸出記録!$A$2:$A$5000)-ROW(貸出記録!$A$2)+1),
ROW(A193)
)
),
"")</f>
        <v>BT-0193</v>
      </c>
      <c r="B194" s="34" t="str">
        <f t="array" ref="B194">IF($A194="","",
IFERROR(IF(INDEX(貸出記録!$B$2:$B$5000,
MATCH($A194,貸出記録!$A$2:$A$5000,0))="","",
INDEX(貸出記録!$B$2:$B$5000,
MATCH($A194,貸出記録!$A$2:$A$5000,0))
),""))</f>
        <v/>
      </c>
      <c r="C194" s="34" t="str">
        <f t="array" ref="C194">IF($A194="","",
IFERROR(IF(INDEX(貸出記録!$C$2:$C$5000,
MATCH($A194,貸出記録!$A$2:$A$5000,0))="","",
INDEX(貸出記録!$C$2:$C$5000,
MATCH($A194,貸出記録!$A$2:$A$5000,0))
),""))</f>
        <v/>
      </c>
      <c r="D194" s="34" t="str">
        <f t="array" ref="D194">IF($A194="","",
IFERROR(IF(INDEX(貸出記録!$D:$D,
MATCH($A194,貸出記録!$A:$A,0))="","",
INDEX(貸出記録!$D:$D,
MATCH($A194,貸出記録!$A:$A,0))
),""))</f>
        <v/>
      </c>
      <c r="E194" s="34" t="str">
        <f t="array" aca="1" ref="E194" ca="1">IF(D194="","",TODAY()-D194&amp;"日")</f>
        <v/>
      </c>
      <c r="F194" s="34" t="str">
        <f t="array" ref="F194">IF($A194="","",
IFERROR(IF(INDEX(貸出記録!$F:$F,
MATCH($A194,貸出記録!$A:$A,0))="","",
INDEX(貸出記録!$F:$F,
MATCH($A194,貸出記録!$A:$A,0))
),""))</f>
        <v/>
      </c>
    </row>
    <row r="195" spans="1:6" ht="15.6">
      <c r="A195" s="34" t="str">
        <f t="array" ref="A195">IFERROR(
INDEX(貸出記録!$A$2:$A$5000,
SMALL(
IF(貸出記録!$E$2:$E$5000="",
ROW(貸出記録!$A$2:$A$5000)-ROW(貸出記録!$A$2)+1),
ROW(A194)
)
),
"")</f>
        <v>BT-0194</v>
      </c>
      <c r="B195" s="34" t="str">
        <f t="array" ref="B195">IF($A195="","",
IFERROR(IF(INDEX(貸出記録!$B$2:$B$5000,
MATCH($A195,貸出記録!$A$2:$A$5000,0))="","",
INDEX(貸出記録!$B$2:$B$5000,
MATCH($A195,貸出記録!$A$2:$A$5000,0))
),""))</f>
        <v/>
      </c>
      <c r="C195" s="34" t="str">
        <f t="array" ref="C195">IF($A195="","",
IFERROR(IF(INDEX(貸出記録!$C$2:$C$5000,
MATCH($A195,貸出記録!$A$2:$A$5000,0))="","",
INDEX(貸出記録!$C$2:$C$5000,
MATCH($A195,貸出記録!$A$2:$A$5000,0))
),""))</f>
        <v/>
      </c>
      <c r="D195" s="34" t="str">
        <f t="array" ref="D195">IF($A195="","",
IFERROR(IF(INDEX(貸出記録!$D:$D,
MATCH($A195,貸出記録!$A:$A,0))="","",
INDEX(貸出記録!$D:$D,
MATCH($A195,貸出記録!$A:$A,0))
),""))</f>
        <v/>
      </c>
      <c r="E195" s="34" t="str">
        <f t="array" aca="1" ref="E195" ca="1">IF(D195="","",TODAY()-D195&amp;"日")</f>
        <v/>
      </c>
      <c r="F195" s="34" t="str">
        <f t="array" ref="F195">IF($A195="","",
IFERROR(IF(INDEX(貸出記録!$F:$F,
MATCH($A195,貸出記録!$A:$A,0))="","",
INDEX(貸出記録!$F:$F,
MATCH($A195,貸出記録!$A:$A,0))
),""))</f>
        <v/>
      </c>
    </row>
    <row r="196" spans="1:6" ht="15.6">
      <c r="A196" s="34" t="str">
        <f t="array" ref="A196">IFERROR(
INDEX(貸出記録!$A$2:$A$5000,
SMALL(
IF(貸出記録!$E$2:$E$5000="",
ROW(貸出記録!$A$2:$A$5000)-ROW(貸出記録!$A$2)+1),
ROW(A195)
)
),
"")</f>
        <v>BT-0195</v>
      </c>
      <c r="B196" s="34" t="str">
        <f t="array" ref="B196">IF($A196="","",
IFERROR(IF(INDEX(貸出記録!$B$2:$B$5000,
MATCH($A196,貸出記録!$A$2:$A$5000,0))="","",
INDEX(貸出記録!$B$2:$B$5000,
MATCH($A196,貸出記録!$A$2:$A$5000,0))
),""))</f>
        <v/>
      </c>
      <c r="C196" s="34" t="str">
        <f t="array" ref="C196">IF($A196="","",
IFERROR(IF(INDEX(貸出記録!$C$2:$C$5000,
MATCH($A196,貸出記録!$A$2:$A$5000,0))="","",
INDEX(貸出記録!$C$2:$C$5000,
MATCH($A196,貸出記録!$A$2:$A$5000,0))
),""))</f>
        <v/>
      </c>
      <c r="D196" s="34" t="str">
        <f t="array" ref="D196">IF($A196="","",
IFERROR(IF(INDEX(貸出記録!$D:$D,
MATCH($A196,貸出記録!$A:$A,0))="","",
INDEX(貸出記録!$D:$D,
MATCH($A196,貸出記録!$A:$A,0))
),""))</f>
        <v/>
      </c>
      <c r="E196" s="34" t="str">
        <f t="array" aca="1" ref="E196" ca="1">IF(D196="","",TODAY()-D196&amp;"日")</f>
        <v/>
      </c>
      <c r="F196" s="34" t="str">
        <f t="array" ref="F196">IF($A196="","",
IFERROR(IF(INDEX(貸出記録!$F:$F,
MATCH($A196,貸出記録!$A:$A,0))="","",
INDEX(貸出記録!$F:$F,
MATCH($A196,貸出記録!$A:$A,0))
),""))</f>
        <v/>
      </c>
    </row>
    <row r="197" spans="1:6" ht="15.6">
      <c r="A197" s="34" t="str">
        <f t="array" ref="A197">IFERROR(
INDEX(貸出記録!$A$2:$A$5000,
SMALL(
IF(貸出記録!$E$2:$E$5000="",
ROW(貸出記録!$A$2:$A$5000)-ROW(貸出記録!$A$2)+1),
ROW(A196)
)
),
"")</f>
        <v>BT-0196</v>
      </c>
      <c r="B197" s="34" t="str">
        <f t="array" ref="B197">IF($A197="","",
IFERROR(IF(INDEX(貸出記録!$B$2:$B$5000,
MATCH($A197,貸出記録!$A$2:$A$5000,0))="","",
INDEX(貸出記録!$B$2:$B$5000,
MATCH($A197,貸出記録!$A$2:$A$5000,0))
),""))</f>
        <v/>
      </c>
      <c r="C197" s="34" t="str">
        <f t="array" ref="C197">IF($A197="","",
IFERROR(IF(INDEX(貸出記録!$C$2:$C$5000,
MATCH($A197,貸出記録!$A$2:$A$5000,0))="","",
INDEX(貸出記録!$C$2:$C$5000,
MATCH($A197,貸出記録!$A$2:$A$5000,0))
),""))</f>
        <v/>
      </c>
      <c r="D197" s="34" t="str">
        <f t="array" ref="D197">IF($A197="","",
IFERROR(IF(INDEX(貸出記録!$D:$D,
MATCH($A197,貸出記録!$A:$A,0))="","",
INDEX(貸出記録!$D:$D,
MATCH($A197,貸出記録!$A:$A,0))
),""))</f>
        <v/>
      </c>
      <c r="E197" s="34" t="str">
        <f t="array" aca="1" ref="E197" ca="1">IF(D197="","",TODAY()-D197&amp;"日")</f>
        <v/>
      </c>
      <c r="F197" s="34" t="str">
        <f t="array" ref="F197">IF($A197="","",
IFERROR(IF(INDEX(貸出記録!$F:$F,
MATCH($A197,貸出記録!$A:$A,0))="","",
INDEX(貸出記録!$F:$F,
MATCH($A197,貸出記録!$A:$A,0))
),""))</f>
        <v/>
      </c>
    </row>
    <row r="198" spans="1:6" ht="15.6">
      <c r="A198" s="34" t="str">
        <f t="array" ref="A198">IFERROR(
INDEX(貸出記録!$A$2:$A$5000,
SMALL(
IF(貸出記録!$E$2:$E$5000="",
ROW(貸出記録!$A$2:$A$5000)-ROW(貸出記録!$A$2)+1),
ROW(A197)
)
),
"")</f>
        <v>BT-0197</v>
      </c>
      <c r="B198" s="34" t="str">
        <f t="array" ref="B198">IF($A198="","",
IFERROR(IF(INDEX(貸出記録!$B$2:$B$5000,
MATCH($A198,貸出記録!$A$2:$A$5000,0))="","",
INDEX(貸出記録!$B$2:$B$5000,
MATCH($A198,貸出記録!$A$2:$A$5000,0))
),""))</f>
        <v/>
      </c>
      <c r="C198" s="34" t="str">
        <f t="array" ref="C198">IF($A198="","",
IFERROR(IF(INDEX(貸出記録!$C$2:$C$5000,
MATCH($A198,貸出記録!$A$2:$A$5000,0))="","",
INDEX(貸出記録!$C$2:$C$5000,
MATCH($A198,貸出記録!$A$2:$A$5000,0))
),""))</f>
        <v/>
      </c>
      <c r="D198" s="34" t="str">
        <f t="array" ref="D198">IF($A198="","",
IFERROR(IF(INDEX(貸出記録!$D:$D,
MATCH($A198,貸出記録!$A:$A,0))="","",
INDEX(貸出記録!$D:$D,
MATCH($A198,貸出記録!$A:$A,0))
),""))</f>
        <v/>
      </c>
      <c r="E198" s="34" t="str">
        <f t="array" aca="1" ref="E198" ca="1">IF(D198="","",TODAY()-D198&amp;"日")</f>
        <v/>
      </c>
      <c r="F198" s="34" t="str">
        <f t="array" ref="F198">IF($A198="","",
IFERROR(IF(INDEX(貸出記録!$F:$F,
MATCH($A198,貸出記録!$A:$A,0))="","",
INDEX(貸出記録!$F:$F,
MATCH($A198,貸出記録!$A:$A,0))
),""))</f>
        <v/>
      </c>
    </row>
    <row r="199" spans="1:6" ht="15.6">
      <c r="A199" s="34" t="str">
        <f t="array" ref="A199">IFERROR(
INDEX(貸出記録!$A$2:$A$5000,
SMALL(
IF(貸出記録!$E$2:$E$5000="",
ROW(貸出記録!$A$2:$A$5000)-ROW(貸出記録!$A$2)+1),
ROW(A198)
)
),
"")</f>
        <v>BT-0198</v>
      </c>
      <c r="B199" s="34" t="str">
        <f t="array" ref="B199">IF($A199="","",
IFERROR(IF(INDEX(貸出記録!$B$2:$B$5000,
MATCH($A199,貸出記録!$A$2:$A$5000,0))="","",
INDEX(貸出記録!$B$2:$B$5000,
MATCH($A199,貸出記録!$A$2:$A$5000,0))
),""))</f>
        <v/>
      </c>
      <c r="C199" s="34" t="str">
        <f t="array" ref="C199">IF($A199="","",
IFERROR(IF(INDEX(貸出記録!$C$2:$C$5000,
MATCH($A199,貸出記録!$A$2:$A$5000,0))="","",
INDEX(貸出記録!$C$2:$C$5000,
MATCH($A199,貸出記録!$A$2:$A$5000,0))
),""))</f>
        <v/>
      </c>
      <c r="D199" s="34" t="str">
        <f t="array" ref="D199">IF($A199="","",
IFERROR(IF(INDEX(貸出記録!$D:$D,
MATCH($A199,貸出記録!$A:$A,0))="","",
INDEX(貸出記録!$D:$D,
MATCH($A199,貸出記録!$A:$A,0))
),""))</f>
        <v/>
      </c>
      <c r="E199" s="34" t="str">
        <f t="array" aca="1" ref="E199" ca="1">IF(D199="","",TODAY()-D199&amp;"日")</f>
        <v/>
      </c>
      <c r="F199" s="34" t="str">
        <f t="array" ref="F199">IF($A199="","",
IFERROR(IF(INDEX(貸出記録!$F:$F,
MATCH($A199,貸出記録!$A:$A,0))="","",
INDEX(貸出記録!$F:$F,
MATCH($A199,貸出記録!$A:$A,0))
),""))</f>
        <v/>
      </c>
    </row>
    <row r="200" spans="1:6" ht="15.6">
      <c r="A200" s="34" t="str">
        <f t="array" ref="A200">IFERROR(
INDEX(貸出記録!$A$2:$A$5000,
SMALL(
IF(貸出記録!$E$2:$E$5000="",
ROW(貸出記録!$A$2:$A$5000)-ROW(貸出記録!$A$2)+1),
ROW(A199)
)
),
"")</f>
        <v>BT-0199</v>
      </c>
      <c r="B200" s="34" t="str">
        <f t="array" ref="B200">IF($A200="","",
IFERROR(IF(INDEX(貸出記録!$B$2:$B$5000,
MATCH($A200,貸出記録!$A$2:$A$5000,0))="","",
INDEX(貸出記録!$B$2:$B$5000,
MATCH($A200,貸出記録!$A$2:$A$5000,0))
),""))</f>
        <v/>
      </c>
      <c r="C200" s="34" t="str">
        <f t="array" ref="C200">IF($A200="","",
IFERROR(IF(INDEX(貸出記録!$C$2:$C$5000,
MATCH($A200,貸出記録!$A$2:$A$5000,0))="","",
INDEX(貸出記録!$C$2:$C$5000,
MATCH($A200,貸出記録!$A$2:$A$5000,0))
),""))</f>
        <v/>
      </c>
      <c r="D200" s="34" t="str">
        <f t="array" ref="D200">IF($A200="","",
IFERROR(IF(INDEX(貸出記録!$D:$D,
MATCH($A200,貸出記録!$A:$A,0))="","",
INDEX(貸出記録!$D:$D,
MATCH($A200,貸出記録!$A:$A,0))
),""))</f>
        <v/>
      </c>
      <c r="E200" s="34" t="str">
        <f t="array" aca="1" ref="E200" ca="1">IF(D200="","",TODAY()-D200&amp;"日")</f>
        <v/>
      </c>
      <c r="F200" s="34" t="str">
        <f t="array" ref="F200">IF($A200="","",
IFERROR(IF(INDEX(貸出記録!$F:$F,
MATCH($A200,貸出記録!$A:$A,0))="","",
INDEX(貸出記録!$F:$F,
MATCH($A200,貸出記録!$A:$A,0))
),""))</f>
        <v/>
      </c>
    </row>
    <row r="201" spans="1:6" ht="15.6">
      <c r="A201" s="34" t="str">
        <f t="array" ref="A201">IFERROR(
INDEX(貸出記録!$A$2:$A$5000,
SMALL(
IF(貸出記録!$E$2:$E$5000="",
ROW(貸出記録!$A$2:$A$5000)-ROW(貸出記録!$A$2)+1),
ROW(A200)
)
),
"")</f>
        <v>BT-0200</v>
      </c>
      <c r="B201" s="34" t="str">
        <f t="array" ref="B201">IF($A201="","",
IFERROR(IF(INDEX(貸出記録!$B$2:$B$5000,
MATCH($A201,貸出記録!$A$2:$A$5000,0))="","",
INDEX(貸出記録!$B$2:$B$5000,
MATCH($A201,貸出記録!$A$2:$A$5000,0))
),""))</f>
        <v/>
      </c>
      <c r="C201" s="34" t="str">
        <f t="array" ref="C201">IF($A201="","",
IFERROR(IF(INDEX(貸出記録!$C$2:$C$5000,
MATCH($A201,貸出記録!$A$2:$A$5000,0))="","",
INDEX(貸出記録!$C$2:$C$5000,
MATCH($A201,貸出記録!$A$2:$A$5000,0))
),""))</f>
        <v/>
      </c>
      <c r="D201" s="34" t="str">
        <f t="array" ref="D201">IF($A201="","",
IFERROR(IF(INDEX(貸出記録!$D:$D,
MATCH($A201,貸出記録!$A:$A,0))="","",
INDEX(貸出記録!$D:$D,
MATCH($A201,貸出記録!$A:$A,0))
),""))</f>
        <v/>
      </c>
      <c r="E201" s="34" t="str">
        <f t="array" aca="1" ref="E201" ca="1">IF(D201="","",TODAY()-D201&amp;"日")</f>
        <v/>
      </c>
      <c r="F201" s="34" t="str">
        <f t="array" ref="F201">IF($A201="","",
IFERROR(IF(INDEX(貸出記録!$F:$F,
MATCH($A201,貸出記録!$A:$A,0))="","",
INDEX(貸出記録!$F:$F,
MATCH($A201,貸出記録!$A:$A,0))
),""))</f>
        <v/>
      </c>
    </row>
    <row r="202" spans="1:6" ht="15.6">
      <c r="A202" s="34" t="str">
        <f t="array" ref="A202">IFERROR(
INDEX(貸出記録!$A$2:$A$5000,
SMALL(
IF(貸出記録!$E$2:$E$5000="",
ROW(貸出記録!$A$2:$A$5000)-ROW(貸出記録!$A$2)+1),
ROW(A201)
)
),
"")</f>
        <v>BT-0201</v>
      </c>
      <c r="B202" s="34" t="str">
        <f t="array" ref="B202">IF($A202="","",
IFERROR(IF(INDEX(貸出記録!$B$2:$B$5000,
MATCH($A202,貸出記録!$A$2:$A$5000,0))="","",
INDEX(貸出記録!$B$2:$B$5000,
MATCH($A202,貸出記録!$A$2:$A$5000,0))
),""))</f>
        <v/>
      </c>
      <c r="C202" s="34" t="str">
        <f t="array" ref="C202">IF($A202="","",
IFERROR(IF(INDEX(貸出記録!$C$2:$C$5000,
MATCH($A202,貸出記録!$A$2:$A$5000,0))="","",
INDEX(貸出記録!$C$2:$C$5000,
MATCH($A202,貸出記録!$A$2:$A$5000,0))
),""))</f>
        <v/>
      </c>
      <c r="D202" s="34" t="str">
        <f t="array" ref="D202">IF($A202="","",
IFERROR(IF(INDEX(貸出記録!$D:$D,
MATCH($A202,貸出記録!$A:$A,0))="","",
INDEX(貸出記録!$D:$D,
MATCH($A202,貸出記録!$A:$A,0))
),""))</f>
        <v/>
      </c>
      <c r="E202" s="34" t="str">
        <f t="array" aca="1" ref="E202" ca="1">IF(D202="","",TODAY()-D202&amp;"日")</f>
        <v/>
      </c>
      <c r="F202" s="34" t="str">
        <f t="array" ref="F202">IF($A202="","",
IFERROR(IF(INDEX(貸出記録!$F:$F,
MATCH($A202,貸出記録!$A:$A,0))="","",
INDEX(貸出記録!$F:$F,
MATCH($A202,貸出記録!$A:$A,0))
),""))</f>
        <v/>
      </c>
    </row>
    <row r="203" spans="1:6" ht="15.6">
      <c r="A203" s="34" t="str">
        <f t="array" ref="A203">IFERROR(
INDEX(貸出記録!$A$2:$A$5000,
SMALL(
IF(貸出記録!$E$2:$E$5000="",
ROW(貸出記録!$A$2:$A$5000)-ROW(貸出記録!$A$2)+1),
ROW(A202)
)
),
"")</f>
        <v>BT-0202</v>
      </c>
      <c r="B203" s="34" t="str">
        <f t="array" ref="B203">IF($A203="","",
IFERROR(IF(INDEX(貸出記録!$B$2:$B$5000,
MATCH($A203,貸出記録!$A$2:$A$5000,0))="","",
INDEX(貸出記録!$B$2:$B$5000,
MATCH($A203,貸出記録!$A$2:$A$5000,0))
),""))</f>
        <v/>
      </c>
      <c r="C203" s="34" t="str">
        <f t="array" ref="C203">IF($A203="","",
IFERROR(IF(INDEX(貸出記録!$C$2:$C$5000,
MATCH($A203,貸出記録!$A$2:$A$5000,0))="","",
INDEX(貸出記録!$C$2:$C$5000,
MATCH($A203,貸出記録!$A$2:$A$5000,0))
),""))</f>
        <v/>
      </c>
      <c r="D203" s="34" t="str">
        <f t="array" ref="D203">IF($A203="","",
IFERROR(IF(INDEX(貸出記録!$D:$D,
MATCH($A203,貸出記録!$A:$A,0))="","",
INDEX(貸出記録!$D:$D,
MATCH($A203,貸出記録!$A:$A,0))
),""))</f>
        <v/>
      </c>
      <c r="E203" s="34" t="str">
        <f t="array" aca="1" ref="E203" ca="1">IF(D203="","",TODAY()-D203&amp;"日")</f>
        <v/>
      </c>
      <c r="F203" s="34" t="str">
        <f t="array" ref="F203">IF($A203="","",
IFERROR(IF(INDEX(貸出記録!$F:$F,
MATCH($A203,貸出記録!$A:$A,0))="","",
INDEX(貸出記録!$F:$F,
MATCH($A203,貸出記録!$A:$A,0))
),""))</f>
        <v/>
      </c>
    </row>
    <row r="204" spans="1:6" ht="15.6">
      <c r="A204" s="34" t="str">
        <f t="array" ref="A204">IFERROR(
INDEX(貸出記録!$A$2:$A$5000,
SMALL(
IF(貸出記録!$E$2:$E$5000="",
ROW(貸出記録!$A$2:$A$5000)-ROW(貸出記録!$A$2)+1),
ROW(A203)
)
),
"")</f>
        <v>BT-0203</v>
      </c>
      <c r="B204" s="34" t="str">
        <f t="array" ref="B204">IF($A204="","",
IFERROR(IF(INDEX(貸出記録!$B$2:$B$5000,
MATCH($A204,貸出記録!$A$2:$A$5000,0))="","",
INDEX(貸出記録!$B$2:$B$5000,
MATCH($A204,貸出記録!$A$2:$A$5000,0))
),""))</f>
        <v/>
      </c>
      <c r="C204" s="34" t="str">
        <f t="array" ref="C204">IF($A204="","",
IFERROR(IF(INDEX(貸出記録!$C$2:$C$5000,
MATCH($A204,貸出記録!$A$2:$A$5000,0))="","",
INDEX(貸出記録!$C$2:$C$5000,
MATCH($A204,貸出記録!$A$2:$A$5000,0))
),""))</f>
        <v/>
      </c>
      <c r="D204" s="34" t="str">
        <f t="array" ref="D204">IF($A204="","",
IFERROR(IF(INDEX(貸出記録!$D:$D,
MATCH($A204,貸出記録!$A:$A,0))="","",
INDEX(貸出記録!$D:$D,
MATCH($A204,貸出記録!$A:$A,0))
),""))</f>
        <v/>
      </c>
      <c r="E204" s="34" t="str">
        <f t="array" aca="1" ref="E204" ca="1">IF(D204="","",TODAY()-D204&amp;"日")</f>
        <v/>
      </c>
      <c r="F204" s="34" t="str">
        <f t="array" ref="F204">IF($A204="","",
IFERROR(IF(INDEX(貸出記録!$F:$F,
MATCH($A204,貸出記録!$A:$A,0))="","",
INDEX(貸出記録!$F:$F,
MATCH($A204,貸出記録!$A:$A,0))
),""))</f>
        <v/>
      </c>
    </row>
    <row r="205" spans="1:6" ht="15.6">
      <c r="A205" s="34" t="str">
        <f t="array" ref="A205">IFERROR(
INDEX(貸出記録!$A$2:$A$5000,
SMALL(
IF(貸出記録!$E$2:$E$5000="",
ROW(貸出記録!$A$2:$A$5000)-ROW(貸出記録!$A$2)+1),
ROW(A204)
)
),
"")</f>
        <v>BT-0204</v>
      </c>
      <c r="B205" s="34" t="str">
        <f t="array" ref="B205">IF($A205="","",
IFERROR(IF(INDEX(貸出記録!$B$2:$B$5000,
MATCH($A205,貸出記録!$A$2:$A$5000,0))="","",
INDEX(貸出記録!$B$2:$B$5000,
MATCH($A205,貸出記録!$A$2:$A$5000,0))
),""))</f>
        <v/>
      </c>
      <c r="C205" s="34" t="str">
        <f t="array" ref="C205">IF($A205="","",
IFERROR(IF(INDEX(貸出記録!$C$2:$C$5000,
MATCH($A205,貸出記録!$A$2:$A$5000,0))="","",
INDEX(貸出記録!$C$2:$C$5000,
MATCH($A205,貸出記録!$A$2:$A$5000,0))
),""))</f>
        <v/>
      </c>
      <c r="D205" s="34" t="str">
        <f t="array" ref="D205">IF($A205="","",
IFERROR(IF(INDEX(貸出記録!$D:$D,
MATCH($A205,貸出記録!$A:$A,0))="","",
INDEX(貸出記録!$D:$D,
MATCH($A205,貸出記録!$A:$A,0))
),""))</f>
        <v/>
      </c>
      <c r="E205" s="34" t="str">
        <f t="array" aca="1" ref="E205" ca="1">IF(D205="","",TODAY()-D205&amp;"日")</f>
        <v/>
      </c>
      <c r="F205" s="34" t="str">
        <f t="array" ref="F205">IF($A205="","",
IFERROR(IF(INDEX(貸出記録!$F:$F,
MATCH($A205,貸出記録!$A:$A,0))="","",
INDEX(貸出記録!$F:$F,
MATCH($A205,貸出記録!$A:$A,0))
),""))</f>
        <v/>
      </c>
    </row>
    <row r="206" spans="1:6" ht="15.6">
      <c r="A206" s="34" t="str">
        <f t="array" ref="A206">IFERROR(
INDEX(貸出記録!$A$2:$A$5000,
SMALL(
IF(貸出記録!$E$2:$E$5000="",
ROW(貸出記録!$A$2:$A$5000)-ROW(貸出記録!$A$2)+1),
ROW(A205)
)
),
"")</f>
        <v>BT-0205</v>
      </c>
      <c r="B206" s="34" t="str">
        <f t="array" ref="B206">IF($A206="","",
IFERROR(IF(INDEX(貸出記録!$B$2:$B$5000,
MATCH($A206,貸出記録!$A$2:$A$5000,0))="","",
INDEX(貸出記録!$B$2:$B$5000,
MATCH($A206,貸出記録!$A$2:$A$5000,0))
),""))</f>
        <v/>
      </c>
      <c r="C206" s="34" t="str">
        <f t="array" ref="C206">IF($A206="","",
IFERROR(IF(INDEX(貸出記録!$C$2:$C$5000,
MATCH($A206,貸出記録!$A$2:$A$5000,0))="","",
INDEX(貸出記録!$C$2:$C$5000,
MATCH($A206,貸出記録!$A$2:$A$5000,0))
),""))</f>
        <v/>
      </c>
      <c r="D206" s="34" t="str">
        <f t="array" ref="D206">IF($A206="","",
IFERROR(IF(INDEX(貸出記録!$D:$D,
MATCH($A206,貸出記録!$A:$A,0))="","",
INDEX(貸出記録!$D:$D,
MATCH($A206,貸出記録!$A:$A,0))
),""))</f>
        <v/>
      </c>
      <c r="E206" s="34" t="str">
        <f t="array" aca="1" ref="E206" ca="1">IF(D206="","",TODAY()-D206&amp;"日")</f>
        <v/>
      </c>
      <c r="F206" s="34" t="str">
        <f t="array" ref="F206">IF($A206="","",
IFERROR(IF(INDEX(貸出記録!$F:$F,
MATCH($A206,貸出記録!$A:$A,0))="","",
INDEX(貸出記録!$F:$F,
MATCH($A206,貸出記録!$A:$A,0))
),""))</f>
        <v/>
      </c>
    </row>
    <row r="207" spans="1:6" ht="15.6">
      <c r="A207" s="34" t="str">
        <f t="array" ref="A207">IFERROR(
INDEX(貸出記録!$A$2:$A$5000,
SMALL(
IF(貸出記録!$E$2:$E$5000="",
ROW(貸出記録!$A$2:$A$5000)-ROW(貸出記録!$A$2)+1),
ROW(A206)
)
),
"")</f>
        <v>BT-0206</v>
      </c>
      <c r="B207" s="34" t="str">
        <f t="array" ref="B207">IF($A207="","",
IFERROR(IF(INDEX(貸出記録!$B$2:$B$5000,
MATCH($A207,貸出記録!$A$2:$A$5000,0))="","",
INDEX(貸出記録!$B$2:$B$5000,
MATCH($A207,貸出記録!$A$2:$A$5000,0))
),""))</f>
        <v/>
      </c>
      <c r="C207" s="34" t="str">
        <f t="array" ref="C207">IF($A207="","",
IFERROR(IF(INDEX(貸出記録!$C$2:$C$5000,
MATCH($A207,貸出記録!$A$2:$A$5000,0))="","",
INDEX(貸出記録!$C$2:$C$5000,
MATCH($A207,貸出記録!$A$2:$A$5000,0))
),""))</f>
        <v/>
      </c>
      <c r="D207" s="34" t="str">
        <f t="array" ref="D207">IF($A207="","",
IFERROR(IF(INDEX(貸出記録!$D:$D,
MATCH($A207,貸出記録!$A:$A,0))="","",
INDEX(貸出記録!$D:$D,
MATCH($A207,貸出記録!$A:$A,0))
),""))</f>
        <v/>
      </c>
      <c r="E207" s="34" t="str">
        <f t="array" aca="1" ref="E207" ca="1">IF(D207="","",TODAY()-D207&amp;"日")</f>
        <v/>
      </c>
      <c r="F207" s="34" t="str">
        <f t="array" ref="F207">IF($A207="","",
IFERROR(IF(INDEX(貸出記録!$F:$F,
MATCH($A207,貸出記録!$A:$A,0))="","",
INDEX(貸出記録!$F:$F,
MATCH($A207,貸出記録!$A:$A,0))
),""))</f>
        <v/>
      </c>
    </row>
    <row r="208" spans="1:6" ht="15.6">
      <c r="A208" s="34" t="str">
        <f t="array" ref="A208">IFERROR(
INDEX(貸出記録!$A$2:$A$5000,
SMALL(
IF(貸出記録!$E$2:$E$5000="",
ROW(貸出記録!$A$2:$A$5000)-ROW(貸出記録!$A$2)+1),
ROW(A207)
)
),
"")</f>
        <v>BT-0207</v>
      </c>
      <c r="B208" s="34" t="str">
        <f t="array" ref="B208">IF($A208="","",
IFERROR(IF(INDEX(貸出記録!$B$2:$B$5000,
MATCH($A208,貸出記録!$A$2:$A$5000,0))="","",
INDEX(貸出記録!$B$2:$B$5000,
MATCH($A208,貸出記録!$A$2:$A$5000,0))
),""))</f>
        <v/>
      </c>
      <c r="C208" s="34" t="str">
        <f t="array" ref="C208">IF($A208="","",
IFERROR(IF(INDEX(貸出記録!$C$2:$C$5000,
MATCH($A208,貸出記録!$A$2:$A$5000,0))="","",
INDEX(貸出記録!$C$2:$C$5000,
MATCH($A208,貸出記録!$A$2:$A$5000,0))
),""))</f>
        <v/>
      </c>
      <c r="D208" s="34" t="str">
        <f t="array" ref="D208">IF($A208="","",
IFERROR(IF(INDEX(貸出記録!$D:$D,
MATCH($A208,貸出記録!$A:$A,0))="","",
INDEX(貸出記録!$D:$D,
MATCH($A208,貸出記録!$A:$A,0))
),""))</f>
        <v/>
      </c>
      <c r="E208" s="34" t="str">
        <f t="array" aca="1" ref="E208" ca="1">IF(D208="","",TODAY()-D208&amp;"日")</f>
        <v/>
      </c>
      <c r="F208" s="34" t="str">
        <f t="array" ref="F208">IF($A208="","",
IFERROR(IF(INDEX(貸出記録!$F:$F,
MATCH($A208,貸出記録!$A:$A,0))="","",
INDEX(貸出記録!$F:$F,
MATCH($A208,貸出記録!$A:$A,0))
),""))</f>
        <v/>
      </c>
    </row>
    <row r="209" spans="1:6" ht="15.6">
      <c r="A209" s="34" t="str">
        <f t="array" ref="A209">IFERROR(
INDEX(貸出記録!$A$2:$A$5000,
SMALL(
IF(貸出記録!$E$2:$E$5000="",
ROW(貸出記録!$A$2:$A$5000)-ROW(貸出記録!$A$2)+1),
ROW(A208)
)
),
"")</f>
        <v>BT-0208</v>
      </c>
      <c r="B209" s="34" t="str">
        <f t="array" ref="B209">IF($A209="","",
IFERROR(IF(INDEX(貸出記録!$B$2:$B$5000,
MATCH($A209,貸出記録!$A$2:$A$5000,0))="","",
INDEX(貸出記録!$B$2:$B$5000,
MATCH($A209,貸出記録!$A$2:$A$5000,0))
),""))</f>
        <v/>
      </c>
      <c r="C209" s="34" t="str">
        <f t="array" ref="C209">IF($A209="","",
IFERROR(IF(INDEX(貸出記録!$C$2:$C$5000,
MATCH($A209,貸出記録!$A$2:$A$5000,0))="","",
INDEX(貸出記録!$C$2:$C$5000,
MATCH($A209,貸出記録!$A$2:$A$5000,0))
),""))</f>
        <v/>
      </c>
      <c r="D209" s="34" t="str">
        <f t="array" ref="D209">IF($A209="","",
IFERROR(IF(INDEX(貸出記録!$D:$D,
MATCH($A209,貸出記録!$A:$A,0))="","",
INDEX(貸出記録!$D:$D,
MATCH($A209,貸出記録!$A:$A,0))
),""))</f>
        <v/>
      </c>
      <c r="E209" s="34" t="str">
        <f t="array" aca="1" ref="E209" ca="1">IF(D209="","",TODAY()-D209&amp;"日")</f>
        <v/>
      </c>
      <c r="F209" s="34" t="str">
        <f t="array" ref="F209">IF($A209="","",
IFERROR(IF(INDEX(貸出記録!$F:$F,
MATCH($A209,貸出記録!$A:$A,0))="","",
INDEX(貸出記録!$F:$F,
MATCH($A209,貸出記録!$A:$A,0))
),""))</f>
        <v/>
      </c>
    </row>
    <row r="210" spans="1:6" ht="15.6">
      <c r="A210" s="34" t="str">
        <f t="array" ref="A210">IFERROR(
INDEX(貸出記録!$A$2:$A$5000,
SMALL(
IF(貸出記録!$E$2:$E$5000="",
ROW(貸出記録!$A$2:$A$5000)-ROW(貸出記録!$A$2)+1),
ROW(A209)
)
),
"")</f>
        <v>BT-0209</v>
      </c>
      <c r="B210" s="34" t="str">
        <f t="array" ref="B210">IF($A210="","",
IFERROR(IF(INDEX(貸出記録!$B$2:$B$5000,
MATCH($A210,貸出記録!$A$2:$A$5000,0))="","",
INDEX(貸出記録!$B$2:$B$5000,
MATCH($A210,貸出記録!$A$2:$A$5000,0))
),""))</f>
        <v/>
      </c>
      <c r="C210" s="34" t="str">
        <f t="array" ref="C210">IF($A210="","",
IFERROR(IF(INDEX(貸出記録!$C$2:$C$5000,
MATCH($A210,貸出記録!$A$2:$A$5000,0))="","",
INDEX(貸出記録!$C$2:$C$5000,
MATCH($A210,貸出記録!$A$2:$A$5000,0))
),""))</f>
        <v/>
      </c>
      <c r="D210" s="34" t="str">
        <f t="array" ref="D210">IF($A210="","",
IFERROR(IF(INDEX(貸出記録!$D:$D,
MATCH($A210,貸出記録!$A:$A,0))="","",
INDEX(貸出記録!$D:$D,
MATCH($A210,貸出記録!$A:$A,0))
),""))</f>
        <v/>
      </c>
      <c r="E210" s="34" t="str">
        <f t="array" aca="1" ref="E210" ca="1">IF(D210="","",TODAY()-D210&amp;"日")</f>
        <v/>
      </c>
      <c r="F210" s="34" t="str">
        <f t="array" ref="F210">IF($A210="","",
IFERROR(IF(INDEX(貸出記録!$F:$F,
MATCH($A210,貸出記録!$A:$A,0))="","",
INDEX(貸出記録!$F:$F,
MATCH($A210,貸出記録!$A:$A,0))
),""))</f>
        <v/>
      </c>
    </row>
    <row r="211" spans="1:6" ht="15.6">
      <c r="A211" s="34" t="str">
        <f t="array" ref="A211">IFERROR(
INDEX(貸出記録!$A$2:$A$5000,
SMALL(
IF(貸出記録!$E$2:$E$5000="",
ROW(貸出記録!$A$2:$A$5000)-ROW(貸出記録!$A$2)+1),
ROW(A210)
)
),
"")</f>
        <v>BT-0210</v>
      </c>
      <c r="B211" s="34" t="str">
        <f t="array" ref="B211">IF($A211="","",
IFERROR(IF(INDEX(貸出記録!$B$2:$B$5000,
MATCH($A211,貸出記録!$A$2:$A$5000,0))="","",
INDEX(貸出記録!$B$2:$B$5000,
MATCH($A211,貸出記録!$A$2:$A$5000,0))
),""))</f>
        <v/>
      </c>
      <c r="C211" s="34" t="str">
        <f t="array" ref="C211">IF($A211="","",
IFERROR(IF(INDEX(貸出記録!$C$2:$C$5000,
MATCH($A211,貸出記録!$A$2:$A$5000,0))="","",
INDEX(貸出記録!$C$2:$C$5000,
MATCH($A211,貸出記録!$A$2:$A$5000,0))
),""))</f>
        <v/>
      </c>
      <c r="D211" s="34" t="str">
        <f t="array" ref="D211">IF($A211="","",
IFERROR(IF(INDEX(貸出記録!$D:$D,
MATCH($A211,貸出記録!$A:$A,0))="","",
INDEX(貸出記録!$D:$D,
MATCH($A211,貸出記録!$A:$A,0))
),""))</f>
        <v/>
      </c>
      <c r="E211" s="34" t="str">
        <f t="array" aca="1" ref="E211" ca="1">IF(D211="","",TODAY()-D211&amp;"日")</f>
        <v/>
      </c>
      <c r="F211" s="34" t="str">
        <f t="array" ref="F211">IF($A211="","",
IFERROR(IF(INDEX(貸出記録!$F:$F,
MATCH($A211,貸出記録!$A:$A,0))="","",
INDEX(貸出記録!$F:$F,
MATCH($A211,貸出記録!$A:$A,0))
),""))</f>
        <v/>
      </c>
    </row>
    <row r="212" spans="1:6" ht="15.6">
      <c r="A212" s="34" t="str">
        <f t="array" ref="A212">IFERROR(
INDEX(貸出記録!$A$2:$A$5000,
SMALL(
IF(貸出記録!$E$2:$E$5000="",
ROW(貸出記録!$A$2:$A$5000)-ROW(貸出記録!$A$2)+1),
ROW(A211)
)
),
"")</f>
        <v>BT-0211</v>
      </c>
      <c r="B212" s="34" t="str">
        <f t="array" ref="B212">IF($A212="","",
IFERROR(IF(INDEX(貸出記録!$B$2:$B$5000,
MATCH($A212,貸出記録!$A$2:$A$5000,0))="","",
INDEX(貸出記録!$B$2:$B$5000,
MATCH($A212,貸出記録!$A$2:$A$5000,0))
),""))</f>
        <v/>
      </c>
      <c r="C212" s="34" t="str">
        <f t="array" ref="C212">IF($A212="","",
IFERROR(IF(INDEX(貸出記録!$C$2:$C$5000,
MATCH($A212,貸出記録!$A$2:$A$5000,0))="","",
INDEX(貸出記録!$C$2:$C$5000,
MATCH($A212,貸出記録!$A$2:$A$5000,0))
),""))</f>
        <v/>
      </c>
      <c r="D212" s="34" t="str">
        <f t="array" ref="D212">IF($A212="","",
IFERROR(IF(INDEX(貸出記録!$D:$D,
MATCH($A212,貸出記録!$A:$A,0))="","",
INDEX(貸出記録!$D:$D,
MATCH($A212,貸出記録!$A:$A,0))
),""))</f>
        <v/>
      </c>
      <c r="E212" s="34" t="str">
        <f t="array" aca="1" ref="E212" ca="1">IF(D212="","",TODAY()-D212&amp;"日")</f>
        <v/>
      </c>
      <c r="F212" s="34" t="str">
        <f t="array" ref="F212">IF($A212="","",
IFERROR(IF(INDEX(貸出記録!$F:$F,
MATCH($A212,貸出記録!$A:$A,0))="","",
INDEX(貸出記録!$F:$F,
MATCH($A212,貸出記録!$A:$A,0))
),""))</f>
        <v/>
      </c>
    </row>
    <row r="213" spans="1:6" ht="15.6">
      <c r="A213" s="34" t="str">
        <f t="array" ref="A213">IFERROR(
INDEX(貸出記録!$A$2:$A$5000,
SMALL(
IF(貸出記録!$E$2:$E$5000="",
ROW(貸出記録!$A$2:$A$5000)-ROW(貸出記録!$A$2)+1),
ROW(A212)
)
),
"")</f>
        <v>BT-0212</v>
      </c>
      <c r="B213" s="34" t="str">
        <f t="array" ref="B213">IF($A213="","",
IFERROR(IF(INDEX(貸出記録!$B$2:$B$5000,
MATCH($A213,貸出記録!$A$2:$A$5000,0))="","",
INDEX(貸出記録!$B$2:$B$5000,
MATCH($A213,貸出記録!$A$2:$A$5000,0))
),""))</f>
        <v/>
      </c>
      <c r="C213" s="34" t="str">
        <f t="array" ref="C213">IF($A213="","",
IFERROR(IF(INDEX(貸出記録!$C$2:$C$5000,
MATCH($A213,貸出記録!$A$2:$A$5000,0))="","",
INDEX(貸出記録!$C$2:$C$5000,
MATCH($A213,貸出記録!$A$2:$A$5000,0))
),""))</f>
        <v/>
      </c>
      <c r="D213" s="34" t="str">
        <f t="array" ref="D213">IF($A213="","",
IFERROR(IF(INDEX(貸出記録!$D:$D,
MATCH($A213,貸出記録!$A:$A,0))="","",
INDEX(貸出記録!$D:$D,
MATCH($A213,貸出記録!$A:$A,0))
),""))</f>
        <v/>
      </c>
      <c r="E213" s="34" t="str">
        <f t="array" aca="1" ref="E213" ca="1">IF(D213="","",TODAY()-D213&amp;"日")</f>
        <v/>
      </c>
      <c r="F213" s="34" t="str">
        <f t="array" ref="F213">IF($A213="","",
IFERROR(IF(INDEX(貸出記録!$F:$F,
MATCH($A213,貸出記録!$A:$A,0))="","",
INDEX(貸出記録!$F:$F,
MATCH($A213,貸出記録!$A:$A,0))
),""))</f>
        <v/>
      </c>
    </row>
    <row r="214" spans="1:6" ht="15.6">
      <c r="A214" s="34" t="str">
        <f t="array" ref="A214">IFERROR(
INDEX(貸出記録!$A$2:$A$5000,
SMALL(
IF(貸出記録!$E$2:$E$5000="",
ROW(貸出記録!$A$2:$A$5000)-ROW(貸出記録!$A$2)+1),
ROW(A213)
)
),
"")</f>
        <v>BT-0213</v>
      </c>
      <c r="B214" s="34" t="str">
        <f t="array" ref="B214">IF($A214="","",
IFERROR(IF(INDEX(貸出記録!$B$2:$B$5000,
MATCH($A214,貸出記録!$A$2:$A$5000,0))="","",
INDEX(貸出記録!$B$2:$B$5000,
MATCH($A214,貸出記録!$A$2:$A$5000,0))
),""))</f>
        <v/>
      </c>
      <c r="C214" s="34" t="str">
        <f t="array" ref="C214">IF($A214="","",
IFERROR(IF(INDEX(貸出記録!$C$2:$C$5000,
MATCH($A214,貸出記録!$A$2:$A$5000,0))="","",
INDEX(貸出記録!$C$2:$C$5000,
MATCH($A214,貸出記録!$A$2:$A$5000,0))
),""))</f>
        <v/>
      </c>
      <c r="D214" s="34" t="str">
        <f t="array" ref="D214">IF($A214="","",
IFERROR(IF(INDEX(貸出記録!$D:$D,
MATCH($A214,貸出記録!$A:$A,0))="","",
INDEX(貸出記録!$D:$D,
MATCH($A214,貸出記録!$A:$A,0))
),""))</f>
        <v/>
      </c>
      <c r="E214" s="34" t="str">
        <f t="array" aca="1" ref="E214" ca="1">IF(D214="","",TODAY()-D214&amp;"日")</f>
        <v/>
      </c>
      <c r="F214" s="34" t="str">
        <f t="array" ref="F214">IF($A214="","",
IFERROR(IF(INDEX(貸出記録!$F:$F,
MATCH($A214,貸出記録!$A:$A,0))="","",
INDEX(貸出記録!$F:$F,
MATCH($A214,貸出記録!$A:$A,0))
),""))</f>
        <v/>
      </c>
    </row>
    <row r="215" spans="1:6" ht="15.6">
      <c r="A215" s="34" t="str">
        <f t="array" ref="A215">IFERROR(
INDEX(貸出記録!$A$2:$A$5000,
SMALL(
IF(貸出記録!$E$2:$E$5000="",
ROW(貸出記録!$A$2:$A$5000)-ROW(貸出記録!$A$2)+1),
ROW(A214)
)
),
"")</f>
        <v>BT-0214</v>
      </c>
      <c r="B215" s="34" t="str">
        <f t="array" ref="B215">IF($A215="","",
IFERROR(IF(INDEX(貸出記録!$B$2:$B$5000,
MATCH($A215,貸出記録!$A$2:$A$5000,0))="","",
INDEX(貸出記録!$B$2:$B$5000,
MATCH($A215,貸出記録!$A$2:$A$5000,0))
),""))</f>
        <v/>
      </c>
      <c r="C215" s="34" t="str">
        <f t="array" ref="C215">IF($A215="","",
IFERROR(IF(INDEX(貸出記録!$C$2:$C$5000,
MATCH($A215,貸出記録!$A$2:$A$5000,0))="","",
INDEX(貸出記録!$C$2:$C$5000,
MATCH($A215,貸出記録!$A$2:$A$5000,0))
),""))</f>
        <v/>
      </c>
      <c r="D215" s="34" t="str">
        <f t="array" ref="D215">IF($A215="","",
IFERROR(IF(INDEX(貸出記録!$D:$D,
MATCH($A215,貸出記録!$A:$A,0))="","",
INDEX(貸出記録!$D:$D,
MATCH($A215,貸出記録!$A:$A,0))
),""))</f>
        <v/>
      </c>
      <c r="E215" s="34" t="str">
        <f t="array" aca="1" ref="E215" ca="1">IF(D215="","",TODAY()-D215&amp;"日")</f>
        <v/>
      </c>
      <c r="F215" s="34" t="str">
        <f t="array" ref="F215">IF($A215="","",
IFERROR(IF(INDEX(貸出記録!$F:$F,
MATCH($A215,貸出記録!$A:$A,0))="","",
INDEX(貸出記録!$F:$F,
MATCH($A215,貸出記録!$A:$A,0))
),""))</f>
        <v/>
      </c>
    </row>
    <row r="216" spans="1:6" ht="15.6">
      <c r="A216" s="34" t="str">
        <f t="array" ref="A216">IFERROR(
INDEX(貸出記録!$A$2:$A$5000,
SMALL(
IF(貸出記録!$E$2:$E$5000="",
ROW(貸出記録!$A$2:$A$5000)-ROW(貸出記録!$A$2)+1),
ROW(A215)
)
),
"")</f>
        <v>BT-0215</v>
      </c>
      <c r="B216" s="34" t="str">
        <f t="array" ref="B216">IF($A216="","",
IFERROR(IF(INDEX(貸出記録!$B$2:$B$5000,
MATCH($A216,貸出記録!$A$2:$A$5000,0))="","",
INDEX(貸出記録!$B$2:$B$5000,
MATCH($A216,貸出記録!$A$2:$A$5000,0))
),""))</f>
        <v/>
      </c>
      <c r="C216" s="34" t="str">
        <f t="array" ref="C216">IF($A216="","",
IFERROR(IF(INDEX(貸出記録!$C$2:$C$5000,
MATCH($A216,貸出記録!$A$2:$A$5000,0))="","",
INDEX(貸出記録!$C$2:$C$5000,
MATCH($A216,貸出記録!$A$2:$A$5000,0))
),""))</f>
        <v/>
      </c>
      <c r="D216" s="34" t="str">
        <f t="array" ref="D216">IF($A216="","",
IFERROR(IF(INDEX(貸出記録!$D:$D,
MATCH($A216,貸出記録!$A:$A,0))="","",
INDEX(貸出記録!$D:$D,
MATCH($A216,貸出記録!$A:$A,0))
),""))</f>
        <v/>
      </c>
      <c r="E216" s="34" t="str">
        <f t="array" aca="1" ref="E216" ca="1">IF(D216="","",TODAY()-D216&amp;"日")</f>
        <v/>
      </c>
      <c r="F216" s="34" t="str">
        <f t="array" ref="F216">IF($A216="","",
IFERROR(IF(INDEX(貸出記録!$F:$F,
MATCH($A216,貸出記録!$A:$A,0))="","",
INDEX(貸出記録!$F:$F,
MATCH($A216,貸出記録!$A:$A,0))
),""))</f>
        <v/>
      </c>
    </row>
    <row r="217" spans="1:6" ht="15.6">
      <c r="A217" s="34" t="str">
        <f t="array" ref="A217">IFERROR(
INDEX(貸出記録!$A$2:$A$5000,
SMALL(
IF(貸出記録!$E$2:$E$5000="",
ROW(貸出記録!$A$2:$A$5000)-ROW(貸出記録!$A$2)+1),
ROW(A216)
)
),
"")</f>
        <v>BT-0216</v>
      </c>
      <c r="B217" s="34" t="str">
        <f t="array" ref="B217">IF($A217="","",
IFERROR(IF(INDEX(貸出記録!$B$2:$B$5000,
MATCH($A217,貸出記録!$A$2:$A$5000,0))="","",
INDEX(貸出記録!$B$2:$B$5000,
MATCH($A217,貸出記録!$A$2:$A$5000,0))
),""))</f>
        <v/>
      </c>
      <c r="C217" s="34" t="str">
        <f t="array" ref="C217">IF($A217="","",
IFERROR(IF(INDEX(貸出記録!$C$2:$C$5000,
MATCH($A217,貸出記録!$A$2:$A$5000,0))="","",
INDEX(貸出記録!$C$2:$C$5000,
MATCH($A217,貸出記録!$A$2:$A$5000,0))
),""))</f>
        <v/>
      </c>
      <c r="D217" s="34" t="str">
        <f t="array" ref="D217">IF($A217="","",
IFERROR(IF(INDEX(貸出記録!$D:$D,
MATCH($A217,貸出記録!$A:$A,0))="","",
INDEX(貸出記録!$D:$D,
MATCH($A217,貸出記録!$A:$A,0))
),""))</f>
        <v/>
      </c>
      <c r="E217" s="34" t="str">
        <f t="array" aca="1" ref="E217" ca="1">IF(D217="","",TODAY()-D217&amp;"日")</f>
        <v/>
      </c>
      <c r="F217" s="34" t="str">
        <f t="array" ref="F217">IF($A217="","",
IFERROR(IF(INDEX(貸出記録!$F:$F,
MATCH($A217,貸出記録!$A:$A,0))="","",
INDEX(貸出記録!$F:$F,
MATCH($A217,貸出記録!$A:$A,0))
),""))</f>
        <v/>
      </c>
    </row>
    <row r="218" spans="1:6" ht="15.6">
      <c r="A218" s="34" t="str">
        <f t="array" ref="A218">IFERROR(
INDEX(貸出記録!$A$2:$A$5000,
SMALL(
IF(貸出記録!$E$2:$E$5000="",
ROW(貸出記録!$A$2:$A$5000)-ROW(貸出記録!$A$2)+1),
ROW(A217)
)
),
"")</f>
        <v>BT-0217</v>
      </c>
      <c r="B218" s="34" t="str">
        <f t="array" ref="B218">IF($A218="","",
IFERROR(IF(INDEX(貸出記録!$B$2:$B$5000,
MATCH($A218,貸出記録!$A$2:$A$5000,0))="","",
INDEX(貸出記録!$B$2:$B$5000,
MATCH($A218,貸出記録!$A$2:$A$5000,0))
),""))</f>
        <v/>
      </c>
      <c r="C218" s="34" t="str">
        <f t="array" ref="C218">IF($A218="","",
IFERROR(IF(INDEX(貸出記録!$C$2:$C$5000,
MATCH($A218,貸出記録!$A$2:$A$5000,0))="","",
INDEX(貸出記録!$C$2:$C$5000,
MATCH($A218,貸出記録!$A$2:$A$5000,0))
),""))</f>
        <v/>
      </c>
      <c r="D218" s="34" t="str">
        <f t="array" ref="D218">IF($A218="","",
IFERROR(IF(INDEX(貸出記録!$D:$D,
MATCH($A218,貸出記録!$A:$A,0))="","",
INDEX(貸出記録!$D:$D,
MATCH($A218,貸出記録!$A:$A,0))
),""))</f>
        <v/>
      </c>
      <c r="E218" s="34" t="str">
        <f t="array" aca="1" ref="E218" ca="1">IF(D218="","",TODAY()-D218&amp;"日")</f>
        <v/>
      </c>
      <c r="F218" s="34" t="str">
        <f t="array" ref="F218">IF($A218="","",
IFERROR(IF(INDEX(貸出記録!$F:$F,
MATCH($A218,貸出記録!$A:$A,0))="","",
INDEX(貸出記録!$F:$F,
MATCH($A218,貸出記録!$A:$A,0))
),""))</f>
        <v/>
      </c>
    </row>
    <row r="219" spans="1:6" ht="15.6">
      <c r="A219" s="34" t="str">
        <f t="array" ref="A219">IFERROR(
INDEX(貸出記録!$A$2:$A$5000,
SMALL(
IF(貸出記録!$E$2:$E$5000="",
ROW(貸出記録!$A$2:$A$5000)-ROW(貸出記録!$A$2)+1),
ROW(A218)
)
),
"")</f>
        <v>BT-0218</v>
      </c>
      <c r="B219" s="34" t="str">
        <f t="array" ref="B219">IF($A219="","",
IFERROR(IF(INDEX(貸出記録!$B$2:$B$5000,
MATCH($A219,貸出記録!$A$2:$A$5000,0))="","",
INDEX(貸出記録!$B$2:$B$5000,
MATCH($A219,貸出記録!$A$2:$A$5000,0))
),""))</f>
        <v/>
      </c>
      <c r="C219" s="34" t="str">
        <f t="array" ref="C219">IF($A219="","",
IFERROR(IF(INDEX(貸出記録!$C$2:$C$5000,
MATCH($A219,貸出記録!$A$2:$A$5000,0))="","",
INDEX(貸出記録!$C$2:$C$5000,
MATCH($A219,貸出記録!$A$2:$A$5000,0))
),""))</f>
        <v/>
      </c>
      <c r="D219" s="34" t="str">
        <f t="array" ref="D219">IF($A219="","",
IFERROR(IF(INDEX(貸出記録!$D:$D,
MATCH($A219,貸出記録!$A:$A,0))="","",
INDEX(貸出記録!$D:$D,
MATCH($A219,貸出記録!$A:$A,0))
),""))</f>
        <v/>
      </c>
      <c r="E219" s="34" t="str">
        <f t="array" aca="1" ref="E219" ca="1">IF(D219="","",TODAY()-D219&amp;"日")</f>
        <v/>
      </c>
      <c r="F219" s="34" t="str">
        <f t="array" ref="F219">IF($A219="","",
IFERROR(IF(INDEX(貸出記録!$F:$F,
MATCH($A219,貸出記録!$A:$A,0))="","",
INDEX(貸出記録!$F:$F,
MATCH($A219,貸出記録!$A:$A,0))
),""))</f>
        <v/>
      </c>
    </row>
    <row r="220" spans="1:6" ht="15.6">
      <c r="A220" s="34" t="str">
        <f t="array" ref="A220">IFERROR(
INDEX(貸出記録!$A$2:$A$5000,
SMALL(
IF(貸出記録!$E$2:$E$5000="",
ROW(貸出記録!$A$2:$A$5000)-ROW(貸出記録!$A$2)+1),
ROW(A219)
)
),
"")</f>
        <v>BT-0219</v>
      </c>
      <c r="B220" s="34" t="str">
        <f t="array" ref="B220">IF($A220="","",
IFERROR(IF(INDEX(貸出記録!$B$2:$B$5000,
MATCH($A220,貸出記録!$A$2:$A$5000,0))="","",
INDEX(貸出記録!$B$2:$B$5000,
MATCH($A220,貸出記録!$A$2:$A$5000,0))
),""))</f>
        <v/>
      </c>
      <c r="C220" s="34" t="str">
        <f t="array" ref="C220">IF($A220="","",
IFERROR(IF(INDEX(貸出記録!$C$2:$C$5000,
MATCH($A220,貸出記録!$A$2:$A$5000,0))="","",
INDEX(貸出記録!$C$2:$C$5000,
MATCH($A220,貸出記録!$A$2:$A$5000,0))
),""))</f>
        <v/>
      </c>
      <c r="D220" s="34" t="str">
        <f t="array" ref="D220">IF($A220="","",
IFERROR(IF(INDEX(貸出記録!$D:$D,
MATCH($A220,貸出記録!$A:$A,0))="","",
INDEX(貸出記録!$D:$D,
MATCH($A220,貸出記録!$A:$A,0))
),""))</f>
        <v/>
      </c>
      <c r="E220" s="34" t="str">
        <f t="array" aca="1" ref="E220" ca="1">IF(D220="","",TODAY()-D220&amp;"日")</f>
        <v/>
      </c>
      <c r="F220" s="34" t="str">
        <f t="array" ref="F220">IF($A220="","",
IFERROR(IF(INDEX(貸出記録!$F:$F,
MATCH($A220,貸出記録!$A:$A,0))="","",
INDEX(貸出記録!$F:$F,
MATCH($A220,貸出記録!$A:$A,0))
),""))</f>
        <v/>
      </c>
    </row>
    <row r="221" spans="1:6" ht="15.6">
      <c r="A221" s="34" t="str">
        <f t="array" ref="A221">IFERROR(
INDEX(貸出記録!$A$2:$A$5000,
SMALL(
IF(貸出記録!$E$2:$E$5000="",
ROW(貸出記録!$A$2:$A$5000)-ROW(貸出記録!$A$2)+1),
ROW(A220)
)
),
"")</f>
        <v>BT-0220</v>
      </c>
      <c r="B221" s="34" t="str">
        <f t="array" ref="B221">IF($A221="","",
IFERROR(IF(INDEX(貸出記録!$B$2:$B$5000,
MATCH($A221,貸出記録!$A$2:$A$5000,0))="","",
INDEX(貸出記録!$B$2:$B$5000,
MATCH($A221,貸出記録!$A$2:$A$5000,0))
),""))</f>
        <v/>
      </c>
      <c r="C221" s="34" t="str">
        <f t="array" ref="C221">IF($A221="","",
IFERROR(IF(INDEX(貸出記録!$C$2:$C$5000,
MATCH($A221,貸出記録!$A$2:$A$5000,0))="","",
INDEX(貸出記録!$C$2:$C$5000,
MATCH($A221,貸出記録!$A$2:$A$5000,0))
),""))</f>
        <v/>
      </c>
      <c r="D221" s="34" t="str">
        <f t="array" ref="D221">IF($A221="","",
IFERROR(IF(INDEX(貸出記録!$D:$D,
MATCH($A221,貸出記録!$A:$A,0))="","",
INDEX(貸出記録!$D:$D,
MATCH($A221,貸出記録!$A:$A,0))
),""))</f>
        <v/>
      </c>
      <c r="E221" s="34" t="str">
        <f t="array" aca="1" ref="E221" ca="1">IF(D221="","",TODAY()-D221&amp;"日")</f>
        <v/>
      </c>
      <c r="F221" s="34" t="str">
        <f t="array" ref="F221">IF($A221="","",
IFERROR(IF(INDEX(貸出記録!$F:$F,
MATCH($A221,貸出記録!$A:$A,0))="","",
INDEX(貸出記録!$F:$F,
MATCH($A221,貸出記録!$A:$A,0))
),""))</f>
        <v/>
      </c>
    </row>
    <row r="222" spans="1:6" ht="15.6">
      <c r="A222" s="34" t="str">
        <f t="array" ref="A222">IFERROR(
INDEX(貸出記録!$A$2:$A$5000,
SMALL(
IF(貸出記録!$E$2:$E$5000="",
ROW(貸出記録!$A$2:$A$5000)-ROW(貸出記録!$A$2)+1),
ROW(A221)
)
),
"")</f>
        <v>BT-0221</v>
      </c>
      <c r="B222" s="34" t="str">
        <f t="array" ref="B222">IF($A222="","",
IFERROR(IF(INDEX(貸出記録!$B$2:$B$5000,
MATCH($A222,貸出記録!$A$2:$A$5000,0))="","",
INDEX(貸出記録!$B$2:$B$5000,
MATCH($A222,貸出記録!$A$2:$A$5000,0))
),""))</f>
        <v/>
      </c>
      <c r="C222" s="34" t="str">
        <f t="array" ref="C222">IF($A222="","",
IFERROR(IF(INDEX(貸出記録!$C$2:$C$5000,
MATCH($A222,貸出記録!$A$2:$A$5000,0))="","",
INDEX(貸出記録!$C$2:$C$5000,
MATCH($A222,貸出記録!$A$2:$A$5000,0))
),""))</f>
        <v/>
      </c>
      <c r="D222" s="34" t="str">
        <f t="array" ref="D222">IF($A222="","",
IFERROR(IF(INDEX(貸出記録!$D:$D,
MATCH($A222,貸出記録!$A:$A,0))="","",
INDEX(貸出記録!$D:$D,
MATCH($A222,貸出記録!$A:$A,0))
),""))</f>
        <v/>
      </c>
      <c r="E222" s="34" t="str">
        <f t="array" aca="1" ref="E222" ca="1">IF(D222="","",TODAY()-D222&amp;"日")</f>
        <v/>
      </c>
      <c r="F222" s="34" t="str">
        <f t="array" ref="F222">IF($A222="","",
IFERROR(IF(INDEX(貸出記録!$F:$F,
MATCH($A222,貸出記録!$A:$A,0))="","",
INDEX(貸出記録!$F:$F,
MATCH($A222,貸出記録!$A:$A,0))
),""))</f>
        <v/>
      </c>
    </row>
    <row r="223" spans="1:6" ht="15.6">
      <c r="A223" s="34" t="str">
        <f t="array" ref="A223">IFERROR(
INDEX(貸出記録!$A$2:$A$5000,
SMALL(
IF(貸出記録!$E$2:$E$5000="",
ROW(貸出記録!$A$2:$A$5000)-ROW(貸出記録!$A$2)+1),
ROW(A222)
)
),
"")</f>
        <v>BT-0222</v>
      </c>
      <c r="B223" s="34" t="str">
        <f t="array" ref="B223">IF($A223="","",
IFERROR(IF(INDEX(貸出記録!$B$2:$B$5000,
MATCH($A223,貸出記録!$A$2:$A$5000,0))="","",
INDEX(貸出記録!$B$2:$B$5000,
MATCH($A223,貸出記録!$A$2:$A$5000,0))
),""))</f>
        <v/>
      </c>
      <c r="C223" s="34" t="str">
        <f t="array" ref="C223">IF($A223="","",
IFERROR(IF(INDEX(貸出記録!$C$2:$C$5000,
MATCH($A223,貸出記録!$A$2:$A$5000,0))="","",
INDEX(貸出記録!$C$2:$C$5000,
MATCH($A223,貸出記録!$A$2:$A$5000,0))
),""))</f>
        <v/>
      </c>
      <c r="D223" s="34" t="str">
        <f t="array" ref="D223">IF($A223="","",
IFERROR(IF(INDEX(貸出記録!$D:$D,
MATCH($A223,貸出記録!$A:$A,0))="","",
INDEX(貸出記録!$D:$D,
MATCH($A223,貸出記録!$A:$A,0))
),""))</f>
        <v/>
      </c>
      <c r="E223" s="34" t="str">
        <f t="array" aca="1" ref="E223" ca="1">IF(D223="","",TODAY()-D223&amp;"日")</f>
        <v/>
      </c>
      <c r="F223" s="34" t="str">
        <f t="array" ref="F223">IF($A223="","",
IFERROR(IF(INDEX(貸出記録!$F:$F,
MATCH($A223,貸出記録!$A:$A,0))="","",
INDEX(貸出記録!$F:$F,
MATCH($A223,貸出記録!$A:$A,0))
),""))</f>
        <v/>
      </c>
    </row>
    <row r="224" spans="1:6" ht="15.6">
      <c r="A224" s="34" t="str">
        <f t="array" ref="A224">IFERROR(
INDEX(貸出記録!$A$2:$A$5000,
SMALL(
IF(貸出記録!$E$2:$E$5000="",
ROW(貸出記録!$A$2:$A$5000)-ROW(貸出記録!$A$2)+1),
ROW(A223)
)
),
"")</f>
        <v>BT-0223</v>
      </c>
      <c r="B224" s="34" t="str">
        <f t="array" ref="B224">IF($A224="","",
IFERROR(IF(INDEX(貸出記録!$B$2:$B$5000,
MATCH($A224,貸出記録!$A$2:$A$5000,0))="","",
INDEX(貸出記録!$B$2:$B$5000,
MATCH($A224,貸出記録!$A$2:$A$5000,0))
),""))</f>
        <v/>
      </c>
      <c r="C224" s="34" t="str">
        <f t="array" ref="C224">IF($A224="","",
IFERROR(IF(INDEX(貸出記録!$C$2:$C$5000,
MATCH($A224,貸出記録!$A$2:$A$5000,0))="","",
INDEX(貸出記録!$C$2:$C$5000,
MATCH($A224,貸出記録!$A$2:$A$5000,0))
),""))</f>
        <v/>
      </c>
      <c r="D224" s="34" t="str">
        <f t="array" ref="D224">IF($A224="","",
IFERROR(IF(INDEX(貸出記録!$D:$D,
MATCH($A224,貸出記録!$A:$A,0))="","",
INDEX(貸出記録!$D:$D,
MATCH($A224,貸出記録!$A:$A,0))
),""))</f>
        <v/>
      </c>
      <c r="E224" s="34" t="str">
        <f t="array" aca="1" ref="E224" ca="1">IF(D224="","",TODAY()-D224&amp;"日")</f>
        <v/>
      </c>
      <c r="F224" s="34" t="str">
        <f t="array" ref="F224">IF($A224="","",
IFERROR(IF(INDEX(貸出記録!$F:$F,
MATCH($A224,貸出記録!$A:$A,0))="","",
INDEX(貸出記録!$F:$F,
MATCH($A224,貸出記録!$A:$A,0))
),""))</f>
        <v/>
      </c>
    </row>
    <row r="225" spans="1:6" ht="15.6">
      <c r="A225" s="34" t="str">
        <f t="array" ref="A225">IFERROR(
INDEX(貸出記録!$A$2:$A$5000,
SMALL(
IF(貸出記録!$E$2:$E$5000="",
ROW(貸出記録!$A$2:$A$5000)-ROW(貸出記録!$A$2)+1),
ROW(A224)
)
),
"")</f>
        <v>BT-0224</v>
      </c>
      <c r="B225" s="34" t="str">
        <f t="array" ref="B225">IF($A225="","",
IFERROR(IF(INDEX(貸出記録!$B$2:$B$5000,
MATCH($A225,貸出記録!$A$2:$A$5000,0))="","",
INDEX(貸出記録!$B$2:$B$5000,
MATCH($A225,貸出記録!$A$2:$A$5000,0))
),""))</f>
        <v/>
      </c>
      <c r="C225" s="34" t="str">
        <f t="array" ref="C225">IF($A225="","",
IFERROR(IF(INDEX(貸出記録!$C$2:$C$5000,
MATCH($A225,貸出記録!$A$2:$A$5000,0))="","",
INDEX(貸出記録!$C$2:$C$5000,
MATCH($A225,貸出記録!$A$2:$A$5000,0))
),""))</f>
        <v/>
      </c>
      <c r="D225" s="34" t="str">
        <f t="array" ref="D225">IF($A225="","",
IFERROR(IF(INDEX(貸出記録!$D:$D,
MATCH($A225,貸出記録!$A:$A,0))="","",
INDEX(貸出記録!$D:$D,
MATCH($A225,貸出記録!$A:$A,0))
),""))</f>
        <v/>
      </c>
      <c r="E225" s="34" t="str">
        <f t="array" aca="1" ref="E225" ca="1">IF(D225="","",TODAY()-D225&amp;"日")</f>
        <v/>
      </c>
      <c r="F225" s="34" t="str">
        <f t="array" ref="F225">IF($A225="","",
IFERROR(IF(INDEX(貸出記録!$F:$F,
MATCH($A225,貸出記録!$A:$A,0))="","",
INDEX(貸出記録!$F:$F,
MATCH($A225,貸出記録!$A:$A,0))
),""))</f>
        <v/>
      </c>
    </row>
    <row r="226" spans="1:6" ht="15.6">
      <c r="A226" s="34" t="str">
        <f t="array" ref="A226">IFERROR(
INDEX(貸出記録!$A$2:$A$5000,
SMALL(
IF(貸出記録!$E$2:$E$5000="",
ROW(貸出記録!$A$2:$A$5000)-ROW(貸出記録!$A$2)+1),
ROW(A225)
)
),
"")</f>
        <v>BT-0225</v>
      </c>
      <c r="B226" s="34" t="str">
        <f t="array" ref="B226">IF($A226="","",
IFERROR(IF(INDEX(貸出記録!$B$2:$B$5000,
MATCH($A226,貸出記録!$A$2:$A$5000,0))="","",
INDEX(貸出記録!$B$2:$B$5000,
MATCH($A226,貸出記録!$A$2:$A$5000,0))
),""))</f>
        <v/>
      </c>
      <c r="C226" s="34" t="str">
        <f t="array" ref="C226">IF($A226="","",
IFERROR(IF(INDEX(貸出記録!$C$2:$C$5000,
MATCH($A226,貸出記録!$A$2:$A$5000,0))="","",
INDEX(貸出記録!$C$2:$C$5000,
MATCH($A226,貸出記録!$A$2:$A$5000,0))
),""))</f>
        <v/>
      </c>
      <c r="D226" s="34" t="str">
        <f t="array" ref="D226">IF($A226="","",
IFERROR(IF(INDEX(貸出記録!$D:$D,
MATCH($A226,貸出記録!$A:$A,0))="","",
INDEX(貸出記録!$D:$D,
MATCH($A226,貸出記録!$A:$A,0))
),""))</f>
        <v/>
      </c>
      <c r="E226" s="34" t="str">
        <f t="array" aca="1" ref="E226" ca="1">IF(D226="","",TODAY()-D226&amp;"日")</f>
        <v/>
      </c>
      <c r="F226" s="34" t="str">
        <f t="array" ref="F226">IF($A226="","",
IFERROR(IF(INDEX(貸出記録!$F:$F,
MATCH($A226,貸出記録!$A:$A,0))="","",
INDEX(貸出記録!$F:$F,
MATCH($A226,貸出記録!$A:$A,0))
),""))</f>
        <v/>
      </c>
    </row>
    <row r="227" spans="1:6" ht="15.6">
      <c r="A227" s="34" t="str">
        <f t="array" ref="A227">IFERROR(
INDEX(貸出記録!$A$2:$A$5000,
SMALL(
IF(貸出記録!$E$2:$E$5000="",
ROW(貸出記録!$A$2:$A$5000)-ROW(貸出記録!$A$2)+1),
ROW(A226)
)
),
"")</f>
        <v>BT-0226</v>
      </c>
      <c r="B227" s="34" t="str">
        <f t="array" ref="B227">IF($A227="","",
IFERROR(IF(INDEX(貸出記録!$B$2:$B$5000,
MATCH($A227,貸出記録!$A$2:$A$5000,0))="","",
INDEX(貸出記録!$B$2:$B$5000,
MATCH($A227,貸出記録!$A$2:$A$5000,0))
),""))</f>
        <v/>
      </c>
      <c r="C227" s="34" t="str">
        <f t="array" ref="C227">IF($A227="","",
IFERROR(IF(INDEX(貸出記録!$C$2:$C$5000,
MATCH($A227,貸出記録!$A$2:$A$5000,0))="","",
INDEX(貸出記録!$C$2:$C$5000,
MATCH($A227,貸出記録!$A$2:$A$5000,0))
),""))</f>
        <v/>
      </c>
      <c r="D227" s="34" t="str">
        <f t="array" ref="D227">IF($A227="","",
IFERROR(IF(INDEX(貸出記録!$D:$D,
MATCH($A227,貸出記録!$A:$A,0))="","",
INDEX(貸出記録!$D:$D,
MATCH($A227,貸出記録!$A:$A,0))
),""))</f>
        <v/>
      </c>
      <c r="E227" s="34" t="str">
        <f t="array" aca="1" ref="E227" ca="1">IF(D227="","",TODAY()-D227&amp;"日")</f>
        <v/>
      </c>
      <c r="F227" s="34" t="str">
        <f t="array" ref="F227">IF($A227="","",
IFERROR(IF(INDEX(貸出記録!$F:$F,
MATCH($A227,貸出記録!$A:$A,0))="","",
INDEX(貸出記録!$F:$F,
MATCH($A227,貸出記録!$A:$A,0))
),""))</f>
        <v/>
      </c>
    </row>
    <row r="228" spans="1:6" ht="15.6">
      <c r="A228" s="34" t="str">
        <f t="array" ref="A228">IFERROR(
INDEX(貸出記録!$A$2:$A$5000,
SMALL(
IF(貸出記録!$E$2:$E$5000="",
ROW(貸出記録!$A$2:$A$5000)-ROW(貸出記録!$A$2)+1),
ROW(A227)
)
),
"")</f>
        <v>BT-0227</v>
      </c>
      <c r="B228" s="34" t="str">
        <f t="array" ref="B228">IF($A228="","",
IFERROR(IF(INDEX(貸出記録!$B$2:$B$5000,
MATCH($A228,貸出記録!$A$2:$A$5000,0))="","",
INDEX(貸出記録!$B$2:$B$5000,
MATCH($A228,貸出記録!$A$2:$A$5000,0))
),""))</f>
        <v/>
      </c>
      <c r="C228" s="34" t="str">
        <f t="array" ref="C228">IF($A228="","",
IFERROR(IF(INDEX(貸出記録!$C$2:$C$5000,
MATCH($A228,貸出記録!$A$2:$A$5000,0))="","",
INDEX(貸出記録!$C$2:$C$5000,
MATCH($A228,貸出記録!$A$2:$A$5000,0))
),""))</f>
        <v/>
      </c>
      <c r="D228" s="34" t="str">
        <f t="array" ref="D228">IF($A228="","",
IFERROR(IF(INDEX(貸出記録!$D:$D,
MATCH($A228,貸出記録!$A:$A,0))="","",
INDEX(貸出記録!$D:$D,
MATCH($A228,貸出記録!$A:$A,0))
),""))</f>
        <v/>
      </c>
      <c r="E228" s="34" t="str">
        <f t="array" aca="1" ref="E228" ca="1">IF(D228="","",TODAY()-D228&amp;"日")</f>
        <v/>
      </c>
      <c r="F228" s="34" t="str">
        <f t="array" ref="F228">IF($A228="","",
IFERROR(IF(INDEX(貸出記録!$F:$F,
MATCH($A228,貸出記録!$A:$A,0))="","",
INDEX(貸出記録!$F:$F,
MATCH($A228,貸出記録!$A:$A,0))
),""))</f>
        <v/>
      </c>
    </row>
    <row r="229" spans="1:6" ht="15.6">
      <c r="A229" s="34" t="str">
        <f t="array" ref="A229">IFERROR(
INDEX(貸出記録!$A$2:$A$5000,
SMALL(
IF(貸出記録!$E$2:$E$5000="",
ROW(貸出記録!$A$2:$A$5000)-ROW(貸出記録!$A$2)+1),
ROW(A228)
)
),
"")</f>
        <v>BT-0228</v>
      </c>
      <c r="B229" s="34" t="str">
        <f t="array" ref="B229">IF($A229="","",
IFERROR(IF(INDEX(貸出記録!$B$2:$B$5000,
MATCH($A229,貸出記録!$A$2:$A$5000,0))="","",
INDEX(貸出記録!$B$2:$B$5000,
MATCH($A229,貸出記録!$A$2:$A$5000,0))
),""))</f>
        <v/>
      </c>
      <c r="C229" s="34" t="str">
        <f t="array" ref="C229">IF($A229="","",
IFERROR(IF(INDEX(貸出記録!$C$2:$C$5000,
MATCH($A229,貸出記録!$A$2:$A$5000,0))="","",
INDEX(貸出記録!$C$2:$C$5000,
MATCH($A229,貸出記録!$A$2:$A$5000,0))
),""))</f>
        <v/>
      </c>
      <c r="D229" s="34" t="str">
        <f t="array" ref="D229">IF($A229="","",
IFERROR(IF(INDEX(貸出記録!$D:$D,
MATCH($A229,貸出記録!$A:$A,0))="","",
INDEX(貸出記録!$D:$D,
MATCH($A229,貸出記録!$A:$A,0))
),""))</f>
        <v/>
      </c>
      <c r="E229" s="34" t="str">
        <f t="array" aca="1" ref="E229" ca="1">IF(D229="","",TODAY()-D229&amp;"日")</f>
        <v/>
      </c>
      <c r="F229" s="34" t="str">
        <f t="array" ref="F229">IF($A229="","",
IFERROR(IF(INDEX(貸出記録!$F:$F,
MATCH($A229,貸出記録!$A:$A,0))="","",
INDEX(貸出記録!$F:$F,
MATCH($A229,貸出記録!$A:$A,0))
),""))</f>
        <v/>
      </c>
    </row>
    <row r="230" spans="1:6" ht="15.6">
      <c r="A230" s="34" t="str">
        <f t="array" ref="A230">IFERROR(
INDEX(貸出記録!$A$2:$A$5000,
SMALL(
IF(貸出記録!$E$2:$E$5000="",
ROW(貸出記録!$A$2:$A$5000)-ROW(貸出記録!$A$2)+1),
ROW(A229)
)
),
"")</f>
        <v>BT-0229</v>
      </c>
      <c r="B230" s="34" t="str">
        <f t="array" ref="B230">IF($A230="","",
IFERROR(IF(INDEX(貸出記録!$B$2:$B$5000,
MATCH($A230,貸出記録!$A$2:$A$5000,0))="","",
INDEX(貸出記録!$B$2:$B$5000,
MATCH($A230,貸出記録!$A$2:$A$5000,0))
),""))</f>
        <v/>
      </c>
      <c r="C230" s="34" t="str">
        <f t="array" ref="C230">IF($A230="","",
IFERROR(IF(INDEX(貸出記録!$C$2:$C$5000,
MATCH($A230,貸出記録!$A$2:$A$5000,0))="","",
INDEX(貸出記録!$C$2:$C$5000,
MATCH($A230,貸出記録!$A$2:$A$5000,0))
),""))</f>
        <v/>
      </c>
      <c r="D230" s="34" t="str">
        <f t="array" ref="D230">IF($A230="","",
IFERROR(IF(INDEX(貸出記録!$D:$D,
MATCH($A230,貸出記録!$A:$A,0))="","",
INDEX(貸出記録!$D:$D,
MATCH($A230,貸出記録!$A:$A,0))
),""))</f>
        <v/>
      </c>
      <c r="E230" s="34" t="str">
        <f t="array" aca="1" ref="E230" ca="1">IF(D230="","",TODAY()-D230&amp;"日")</f>
        <v/>
      </c>
      <c r="F230" s="34" t="str">
        <f t="array" ref="F230">IF($A230="","",
IFERROR(IF(INDEX(貸出記録!$F:$F,
MATCH($A230,貸出記録!$A:$A,0))="","",
INDEX(貸出記録!$F:$F,
MATCH($A230,貸出記録!$A:$A,0))
),""))</f>
        <v/>
      </c>
    </row>
    <row r="231" spans="1:6" ht="15.6">
      <c r="A231" s="34" t="str">
        <f t="array" ref="A231">IFERROR(
INDEX(貸出記録!$A$2:$A$5000,
SMALL(
IF(貸出記録!$E$2:$E$5000="",
ROW(貸出記録!$A$2:$A$5000)-ROW(貸出記録!$A$2)+1),
ROW(A230)
)
),
"")</f>
        <v>BT-0230</v>
      </c>
      <c r="B231" s="34" t="str">
        <f t="array" ref="B231">IF($A231="","",
IFERROR(IF(INDEX(貸出記録!$B$2:$B$5000,
MATCH($A231,貸出記録!$A$2:$A$5000,0))="","",
INDEX(貸出記録!$B$2:$B$5000,
MATCH($A231,貸出記録!$A$2:$A$5000,0))
),""))</f>
        <v/>
      </c>
      <c r="C231" s="34" t="str">
        <f t="array" ref="C231">IF($A231="","",
IFERROR(IF(INDEX(貸出記録!$C$2:$C$5000,
MATCH($A231,貸出記録!$A$2:$A$5000,0))="","",
INDEX(貸出記録!$C$2:$C$5000,
MATCH($A231,貸出記録!$A$2:$A$5000,0))
),""))</f>
        <v/>
      </c>
      <c r="D231" s="34" t="str">
        <f t="array" ref="D231">IF($A231="","",
IFERROR(IF(INDEX(貸出記録!$D:$D,
MATCH($A231,貸出記録!$A:$A,0))="","",
INDEX(貸出記録!$D:$D,
MATCH($A231,貸出記録!$A:$A,0))
),""))</f>
        <v/>
      </c>
      <c r="E231" s="34" t="str">
        <f t="array" aca="1" ref="E231" ca="1">IF(D231="","",TODAY()-D231&amp;"日")</f>
        <v/>
      </c>
      <c r="F231" s="34" t="str">
        <f t="array" ref="F231">IF($A231="","",
IFERROR(IF(INDEX(貸出記録!$F:$F,
MATCH($A231,貸出記録!$A:$A,0))="","",
INDEX(貸出記録!$F:$F,
MATCH($A231,貸出記録!$A:$A,0))
),""))</f>
        <v/>
      </c>
    </row>
    <row r="232" spans="1:6" ht="15.6">
      <c r="A232" s="34" t="str">
        <f t="array" ref="A232">IFERROR(
INDEX(貸出記録!$A$2:$A$5000,
SMALL(
IF(貸出記録!$E$2:$E$5000="",
ROW(貸出記録!$A$2:$A$5000)-ROW(貸出記録!$A$2)+1),
ROW(A231)
)
),
"")</f>
        <v>BT-0231</v>
      </c>
      <c r="B232" s="34" t="str">
        <f t="array" ref="B232">IF($A232="","",
IFERROR(IF(INDEX(貸出記録!$B$2:$B$5000,
MATCH($A232,貸出記録!$A$2:$A$5000,0))="","",
INDEX(貸出記録!$B$2:$B$5000,
MATCH($A232,貸出記録!$A$2:$A$5000,0))
),""))</f>
        <v/>
      </c>
      <c r="C232" s="34" t="str">
        <f t="array" ref="C232">IF($A232="","",
IFERROR(IF(INDEX(貸出記録!$C$2:$C$5000,
MATCH($A232,貸出記録!$A$2:$A$5000,0))="","",
INDEX(貸出記録!$C$2:$C$5000,
MATCH($A232,貸出記録!$A$2:$A$5000,0))
),""))</f>
        <v/>
      </c>
      <c r="D232" s="34" t="str">
        <f t="array" ref="D232">IF($A232="","",
IFERROR(IF(INDEX(貸出記録!$D:$D,
MATCH($A232,貸出記録!$A:$A,0))="","",
INDEX(貸出記録!$D:$D,
MATCH($A232,貸出記録!$A:$A,0))
),""))</f>
        <v/>
      </c>
      <c r="E232" s="34" t="str">
        <f t="array" aca="1" ref="E232" ca="1">IF(D232="","",TODAY()-D232&amp;"日")</f>
        <v/>
      </c>
      <c r="F232" s="34" t="str">
        <f t="array" ref="F232">IF($A232="","",
IFERROR(IF(INDEX(貸出記録!$F:$F,
MATCH($A232,貸出記録!$A:$A,0))="","",
INDEX(貸出記録!$F:$F,
MATCH($A232,貸出記録!$A:$A,0))
),""))</f>
        <v/>
      </c>
    </row>
    <row r="233" spans="1:6" ht="15.6">
      <c r="A233" s="34" t="str">
        <f t="array" ref="A233">IFERROR(
INDEX(貸出記録!$A$2:$A$5000,
SMALL(
IF(貸出記録!$E$2:$E$5000="",
ROW(貸出記録!$A$2:$A$5000)-ROW(貸出記録!$A$2)+1),
ROW(A232)
)
),
"")</f>
        <v>BT-0232</v>
      </c>
      <c r="B233" s="34" t="str">
        <f t="array" ref="B233">IF($A233="","",
IFERROR(IF(INDEX(貸出記録!$B$2:$B$5000,
MATCH($A233,貸出記録!$A$2:$A$5000,0))="","",
INDEX(貸出記録!$B$2:$B$5000,
MATCH($A233,貸出記録!$A$2:$A$5000,0))
),""))</f>
        <v/>
      </c>
      <c r="C233" s="34" t="str">
        <f t="array" ref="C233">IF($A233="","",
IFERROR(IF(INDEX(貸出記録!$C$2:$C$5000,
MATCH($A233,貸出記録!$A$2:$A$5000,0))="","",
INDEX(貸出記録!$C$2:$C$5000,
MATCH($A233,貸出記録!$A$2:$A$5000,0))
),""))</f>
        <v/>
      </c>
      <c r="D233" s="34" t="str">
        <f t="array" ref="D233">IF($A233="","",
IFERROR(IF(INDEX(貸出記録!$D:$D,
MATCH($A233,貸出記録!$A:$A,0))="","",
INDEX(貸出記録!$D:$D,
MATCH($A233,貸出記録!$A:$A,0))
),""))</f>
        <v/>
      </c>
      <c r="E233" s="34" t="str">
        <f t="array" aca="1" ref="E233" ca="1">IF(D233="","",TODAY()-D233&amp;"日")</f>
        <v/>
      </c>
      <c r="F233" s="34" t="str">
        <f t="array" ref="F233">IF($A233="","",
IFERROR(IF(INDEX(貸出記録!$F:$F,
MATCH($A233,貸出記録!$A:$A,0))="","",
INDEX(貸出記録!$F:$F,
MATCH($A233,貸出記録!$A:$A,0))
),""))</f>
        <v/>
      </c>
    </row>
    <row r="234" spans="1:6" ht="15.6">
      <c r="A234" s="34" t="str">
        <f t="array" ref="A234">IFERROR(
INDEX(貸出記録!$A$2:$A$5000,
SMALL(
IF(貸出記録!$E$2:$E$5000="",
ROW(貸出記録!$A$2:$A$5000)-ROW(貸出記録!$A$2)+1),
ROW(A233)
)
),
"")</f>
        <v>BT-0233</v>
      </c>
      <c r="B234" s="34" t="str">
        <f t="array" ref="B234">IF($A234="","",
IFERROR(IF(INDEX(貸出記録!$B$2:$B$5000,
MATCH($A234,貸出記録!$A$2:$A$5000,0))="","",
INDEX(貸出記録!$B$2:$B$5000,
MATCH($A234,貸出記録!$A$2:$A$5000,0))
),""))</f>
        <v/>
      </c>
      <c r="C234" s="34" t="str">
        <f t="array" ref="C234">IF($A234="","",
IFERROR(IF(INDEX(貸出記録!$C$2:$C$5000,
MATCH($A234,貸出記録!$A$2:$A$5000,0))="","",
INDEX(貸出記録!$C$2:$C$5000,
MATCH($A234,貸出記録!$A$2:$A$5000,0))
),""))</f>
        <v/>
      </c>
      <c r="D234" s="34" t="str">
        <f t="array" ref="D234">IF($A234="","",
IFERROR(IF(INDEX(貸出記録!$D:$D,
MATCH($A234,貸出記録!$A:$A,0))="","",
INDEX(貸出記録!$D:$D,
MATCH($A234,貸出記録!$A:$A,0))
),""))</f>
        <v/>
      </c>
      <c r="E234" s="34" t="str">
        <f t="array" aca="1" ref="E234" ca="1">IF(D234="","",TODAY()-D234&amp;"日")</f>
        <v/>
      </c>
      <c r="F234" s="34" t="str">
        <f t="array" ref="F234">IF($A234="","",
IFERROR(IF(INDEX(貸出記録!$F:$F,
MATCH($A234,貸出記録!$A:$A,0))="","",
INDEX(貸出記録!$F:$F,
MATCH($A234,貸出記録!$A:$A,0))
),""))</f>
        <v/>
      </c>
    </row>
    <row r="235" spans="1:6" ht="15.6">
      <c r="A235" s="34" t="str">
        <f t="array" ref="A235">IFERROR(
INDEX(貸出記録!$A$2:$A$5000,
SMALL(
IF(貸出記録!$E$2:$E$5000="",
ROW(貸出記録!$A$2:$A$5000)-ROW(貸出記録!$A$2)+1),
ROW(A234)
)
),
"")</f>
        <v>BT-0234</v>
      </c>
      <c r="B235" s="34" t="str">
        <f t="array" ref="B235">IF($A235="","",
IFERROR(IF(INDEX(貸出記録!$B$2:$B$5000,
MATCH($A235,貸出記録!$A$2:$A$5000,0))="","",
INDEX(貸出記録!$B$2:$B$5000,
MATCH($A235,貸出記録!$A$2:$A$5000,0))
),""))</f>
        <v/>
      </c>
      <c r="C235" s="34" t="str">
        <f t="array" ref="C235">IF($A235="","",
IFERROR(IF(INDEX(貸出記録!$C$2:$C$5000,
MATCH($A235,貸出記録!$A$2:$A$5000,0))="","",
INDEX(貸出記録!$C$2:$C$5000,
MATCH($A235,貸出記録!$A$2:$A$5000,0))
),""))</f>
        <v/>
      </c>
      <c r="D235" s="34" t="str">
        <f t="array" ref="D235">IF($A235="","",
IFERROR(IF(INDEX(貸出記録!$D:$D,
MATCH($A235,貸出記録!$A:$A,0))="","",
INDEX(貸出記録!$D:$D,
MATCH($A235,貸出記録!$A:$A,0))
),""))</f>
        <v/>
      </c>
      <c r="E235" s="34" t="str">
        <f t="array" aca="1" ref="E235" ca="1">IF(D235="","",TODAY()-D235&amp;"日")</f>
        <v/>
      </c>
      <c r="F235" s="34" t="str">
        <f t="array" ref="F235">IF($A235="","",
IFERROR(IF(INDEX(貸出記録!$F:$F,
MATCH($A235,貸出記録!$A:$A,0))="","",
INDEX(貸出記録!$F:$F,
MATCH($A235,貸出記録!$A:$A,0))
),""))</f>
        <v/>
      </c>
    </row>
    <row r="236" spans="1:6" ht="15.6">
      <c r="A236" s="34" t="str">
        <f t="array" ref="A236">IFERROR(
INDEX(貸出記録!$A$2:$A$5000,
SMALL(
IF(貸出記録!$E$2:$E$5000="",
ROW(貸出記録!$A$2:$A$5000)-ROW(貸出記録!$A$2)+1),
ROW(A235)
)
),
"")</f>
        <v>BT-0235</v>
      </c>
      <c r="B236" s="34" t="str">
        <f t="array" ref="B236">IF($A236="","",
IFERROR(IF(INDEX(貸出記録!$B$2:$B$5000,
MATCH($A236,貸出記録!$A$2:$A$5000,0))="","",
INDEX(貸出記録!$B$2:$B$5000,
MATCH($A236,貸出記録!$A$2:$A$5000,0))
),""))</f>
        <v/>
      </c>
      <c r="C236" s="34" t="str">
        <f t="array" ref="C236">IF($A236="","",
IFERROR(IF(INDEX(貸出記録!$C$2:$C$5000,
MATCH($A236,貸出記録!$A$2:$A$5000,0))="","",
INDEX(貸出記録!$C$2:$C$5000,
MATCH($A236,貸出記録!$A$2:$A$5000,0))
),""))</f>
        <v/>
      </c>
      <c r="D236" s="34" t="str">
        <f t="array" ref="D236">IF($A236="","",
IFERROR(IF(INDEX(貸出記録!$D:$D,
MATCH($A236,貸出記録!$A:$A,0))="","",
INDEX(貸出記録!$D:$D,
MATCH($A236,貸出記録!$A:$A,0))
),""))</f>
        <v/>
      </c>
      <c r="E236" s="34" t="str">
        <f t="array" aca="1" ref="E236" ca="1">IF(D236="","",TODAY()-D236&amp;"日")</f>
        <v/>
      </c>
      <c r="F236" s="34" t="str">
        <f t="array" ref="F236">IF($A236="","",
IFERROR(IF(INDEX(貸出記録!$F:$F,
MATCH($A236,貸出記録!$A:$A,0))="","",
INDEX(貸出記録!$F:$F,
MATCH($A236,貸出記録!$A:$A,0))
),""))</f>
        <v/>
      </c>
    </row>
    <row r="237" spans="1:6" ht="15.6">
      <c r="A237" s="34" t="str">
        <f t="array" ref="A237">IFERROR(
INDEX(貸出記録!$A$2:$A$5000,
SMALL(
IF(貸出記録!$E$2:$E$5000="",
ROW(貸出記録!$A$2:$A$5000)-ROW(貸出記録!$A$2)+1),
ROW(A236)
)
),
"")</f>
        <v>BT-0236</v>
      </c>
      <c r="B237" s="34" t="str">
        <f t="array" ref="B237">IF($A237="","",
IFERROR(IF(INDEX(貸出記録!$B$2:$B$5000,
MATCH($A237,貸出記録!$A$2:$A$5000,0))="","",
INDEX(貸出記録!$B$2:$B$5000,
MATCH($A237,貸出記録!$A$2:$A$5000,0))
),""))</f>
        <v/>
      </c>
      <c r="C237" s="34" t="str">
        <f t="array" ref="C237">IF($A237="","",
IFERROR(IF(INDEX(貸出記録!$C$2:$C$5000,
MATCH($A237,貸出記録!$A$2:$A$5000,0))="","",
INDEX(貸出記録!$C$2:$C$5000,
MATCH($A237,貸出記録!$A$2:$A$5000,0))
),""))</f>
        <v/>
      </c>
      <c r="D237" s="34" t="str">
        <f t="array" ref="D237">IF($A237="","",
IFERROR(IF(INDEX(貸出記録!$D:$D,
MATCH($A237,貸出記録!$A:$A,0))="","",
INDEX(貸出記録!$D:$D,
MATCH($A237,貸出記録!$A:$A,0))
),""))</f>
        <v/>
      </c>
      <c r="E237" s="34" t="str">
        <f t="array" aca="1" ref="E237" ca="1">IF(D237="","",TODAY()-D237&amp;"日")</f>
        <v/>
      </c>
      <c r="F237" s="34" t="str">
        <f t="array" ref="F237">IF($A237="","",
IFERROR(IF(INDEX(貸出記録!$F:$F,
MATCH($A237,貸出記録!$A:$A,0))="","",
INDEX(貸出記録!$F:$F,
MATCH($A237,貸出記録!$A:$A,0))
),""))</f>
        <v/>
      </c>
    </row>
    <row r="238" spans="1:6" ht="15.6">
      <c r="A238" s="34" t="str">
        <f t="array" ref="A238">IFERROR(
INDEX(貸出記録!$A$2:$A$5000,
SMALL(
IF(貸出記録!$E$2:$E$5000="",
ROW(貸出記録!$A$2:$A$5000)-ROW(貸出記録!$A$2)+1),
ROW(A237)
)
),
"")</f>
        <v>BT-0237</v>
      </c>
      <c r="B238" s="34" t="str">
        <f t="array" ref="B238">IF($A238="","",
IFERROR(IF(INDEX(貸出記録!$B$2:$B$5000,
MATCH($A238,貸出記録!$A$2:$A$5000,0))="","",
INDEX(貸出記録!$B$2:$B$5000,
MATCH($A238,貸出記録!$A$2:$A$5000,0))
),""))</f>
        <v/>
      </c>
      <c r="C238" s="34" t="str">
        <f t="array" ref="C238">IF($A238="","",
IFERROR(IF(INDEX(貸出記録!$C$2:$C$5000,
MATCH($A238,貸出記録!$A$2:$A$5000,0))="","",
INDEX(貸出記録!$C$2:$C$5000,
MATCH($A238,貸出記録!$A$2:$A$5000,0))
),""))</f>
        <v/>
      </c>
      <c r="D238" s="34" t="str">
        <f t="array" ref="D238">IF($A238="","",
IFERROR(IF(INDEX(貸出記録!$D:$D,
MATCH($A238,貸出記録!$A:$A,0))="","",
INDEX(貸出記録!$D:$D,
MATCH($A238,貸出記録!$A:$A,0))
),""))</f>
        <v/>
      </c>
      <c r="E238" s="34" t="str">
        <f t="array" aca="1" ref="E238" ca="1">IF(D238="","",TODAY()-D238&amp;"日")</f>
        <v/>
      </c>
      <c r="F238" s="34" t="str">
        <f t="array" ref="F238">IF($A238="","",
IFERROR(IF(INDEX(貸出記録!$F:$F,
MATCH($A238,貸出記録!$A:$A,0))="","",
INDEX(貸出記録!$F:$F,
MATCH($A238,貸出記録!$A:$A,0))
),""))</f>
        <v/>
      </c>
    </row>
    <row r="239" spans="1:6" ht="15.6">
      <c r="A239" s="34" t="str">
        <f t="array" ref="A239">IFERROR(
INDEX(貸出記録!$A$2:$A$5000,
SMALL(
IF(貸出記録!$E$2:$E$5000="",
ROW(貸出記録!$A$2:$A$5000)-ROW(貸出記録!$A$2)+1),
ROW(A238)
)
),
"")</f>
        <v>BT-0238</v>
      </c>
      <c r="B239" s="34" t="str">
        <f t="array" ref="B239">IF($A239="","",
IFERROR(IF(INDEX(貸出記録!$B$2:$B$5000,
MATCH($A239,貸出記録!$A$2:$A$5000,0))="","",
INDEX(貸出記録!$B$2:$B$5000,
MATCH($A239,貸出記録!$A$2:$A$5000,0))
),""))</f>
        <v/>
      </c>
      <c r="C239" s="34" t="str">
        <f t="array" ref="C239">IF($A239="","",
IFERROR(IF(INDEX(貸出記録!$C$2:$C$5000,
MATCH($A239,貸出記録!$A$2:$A$5000,0))="","",
INDEX(貸出記録!$C$2:$C$5000,
MATCH($A239,貸出記録!$A$2:$A$5000,0))
),""))</f>
        <v/>
      </c>
      <c r="D239" s="34" t="str">
        <f t="array" ref="D239">IF($A239="","",
IFERROR(IF(INDEX(貸出記録!$D:$D,
MATCH($A239,貸出記録!$A:$A,0))="","",
INDEX(貸出記録!$D:$D,
MATCH($A239,貸出記録!$A:$A,0))
),""))</f>
        <v/>
      </c>
      <c r="E239" s="34" t="str">
        <f t="array" aca="1" ref="E239" ca="1">IF(D239="","",TODAY()-D239&amp;"日")</f>
        <v/>
      </c>
      <c r="F239" s="34" t="str">
        <f t="array" ref="F239">IF($A239="","",
IFERROR(IF(INDEX(貸出記録!$F:$F,
MATCH($A239,貸出記録!$A:$A,0))="","",
INDEX(貸出記録!$F:$F,
MATCH($A239,貸出記録!$A:$A,0))
),""))</f>
        <v/>
      </c>
    </row>
    <row r="240" spans="1:6" ht="15.6">
      <c r="A240" s="34" t="str">
        <f t="array" ref="A240">IFERROR(
INDEX(貸出記録!$A$2:$A$5000,
SMALL(
IF(貸出記録!$E$2:$E$5000="",
ROW(貸出記録!$A$2:$A$5000)-ROW(貸出記録!$A$2)+1),
ROW(A239)
)
),
"")</f>
        <v>BT-0239</v>
      </c>
      <c r="B240" s="34" t="str">
        <f t="array" ref="B240">IF($A240="","",
IFERROR(IF(INDEX(貸出記録!$B$2:$B$5000,
MATCH($A240,貸出記録!$A$2:$A$5000,0))="","",
INDEX(貸出記録!$B$2:$B$5000,
MATCH($A240,貸出記録!$A$2:$A$5000,0))
),""))</f>
        <v/>
      </c>
      <c r="C240" s="34" t="str">
        <f t="array" ref="C240">IF($A240="","",
IFERROR(IF(INDEX(貸出記録!$C$2:$C$5000,
MATCH($A240,貸出記録!$A$2:$A$5000,0))="","",
INDEX(貸出記録!$C$2:$C$5000,
MATCH($A240,貸出記録!$A$2:$A$5000,0))
),""))</f>
        <v/>
      </c>
      <c r="D240" s="34" t="str">
        <f t="array" ref="D240">IF($A240="","",
IFERROR(IF(INDEX(貸出記録!$D:$D,
MATCH($A240,貸出記録!$A:$A,0))="","",
INDEX(貸出記録!$D:$D,
MATCH($A240,貸出記録!$A:$A,0))
),""))</f>
        <v/>
      </c>
      <c r="E240" s="34" t="str">
        <f t="array" aca="1" ref="E240" ca="1">IF(D240="","",TODAY()-D240&amp;"日")</f>
        <v/>
      </c>
      <c r="F240" s="34" t="str">
        <f t="array" ref="F240">IF($A240="","",
IFERROR(IF(INDEX(貸出記録!$F:$F,
MATCH($A240,貸出記録!$A:$A,0))="","",
INDEX(貸出記録!$F:$F,
MATCH($A240,貸出記録!$A:$A,0))
),""))</f>
        <v/>
      </c>
    </row>
    <row r="241" spans="1:6" ht="15.6">
      <c r="A241" s="34" t="str">
        <f t="array" ref="A241">IFERROR(
INDEX(貸出記録!$A$2:$A$5000,
SMALL(
IF(貸出記録!$E$2:$E$5000="",
ROW(貸出記録!$A$2:$A$5000)-ROW(貸出記録!$A$2)+1),
ROW(A240)
)
),
"")</f>
        <v>BT-0240</v>
      </c>
      <c r="B241" s="34" t="str">
        <f t="array" ref="B241">IF($A241="","",
IFERROR(IF(INDEX(貸出記録!$B$2:$B$5000,
MATCH($A241,貸出記録!$A$2:$A$5000,0))="","",
INDEX(貸出記録!$B$2:$B$5000,
MATCH($A241,貸出記録!$A$2:$A$5000,0))
),""))</f>
        <v/>
      </c>
      <c r="C241" s="34" t="str">
        <f t="array" ref="C241">IF($A241="","",
IFERROR(IF(INDEX(貸出記録!$C$2:$C$5000,
MATCH($A241,貸出記録!$A$2:$A$5000,0))="","",
INDEX(貸出記録!$C$2:$C$5000,
MATCH($A241,貸出記録!$A$2:$A$5000,0))
),""))</f>
        <v/>
      </c>
      <c r="D241" s="34" t="str">
        <f t="array" ref="D241">IF($A241="","",
IFERROR(IF(INDEX(貸出記録!$D:$D,
MATCH($A241,貸出記録!$A:$A,0))="","",
INDEX(貸出記録!$D:$D,
MATCH($A241,貸出記録!$A:$A,0))
),""))</f>
        <v/>
      </c>
      <c r="E241" s="34" t="str">
        <f t="array" aca="1" ref="E241" ca="1">IF(D241="","",TODAY()-D241&amp;"日")</f>
        <v/>
      </c>
      <c r="F241" s="34" t="str">
        <f t="array" ref="F241">IF($A241="","",
IFERROR(IF(INDEX(貸出記録!$F:$F,
MATCH($A241,貸出記録!$A:$A,0))="","",
INDEX(貸出記録!$F:$F,
MATCH($A241,貸出記録!$A:$A,0))
),""))</f>
        <v/>
      </c>
    </row>
    <row r="242" spans="1:6" ht="15.6">
      <c r="A242" s="34" t="str">
        <f t="array" ref="A242">IFERROR(
INDEX(貸出記録!$A$2:$A$5000,
SMALL(
IF(貸出記録!$E$2:$E$5000="",
ROW(貸出記録!$A$2:$A$5000)-ROW(貸出記録!$A$2)+1),
ROW(A241)
)
),
"")</f>
        <v>BT-0241</v>
      </c>
      <c r="B242" s="34" t="str">
        <f t="array" ref="B242">IF($A242="","",
IFERROR(IF(INDEX(貸出記録!$B$2:$B$5000,
MATCH($A242,貸出記録!$A$2:$A$5000,0))="","",
INDEX(貸出記録!$B$2:$B$5000,
MATCH($A242,貸出記録!$A$2:$A$5000,0))
),""))</f>
        <v/>
      </c>
      <c r="C242" s="34" t="str">
        <f t="array" ref="C242">IF($A242="","",
IFERROR(IF(INDEX(貸出記録!$C$2:$C$5000,
MATCH($A242,貸出記録!$A$2:$A$5000,0))="","",
INDEX(貸出記録!$C$2:$C$5000,
MATCH($A242,貸出記録!$A$2:$A$5000,0))
),""))</f>
        <v/>
      </c>
      <c r="D242" s="34" t="str">
        <f t="array" ref="D242">IF($A242="","",
IFERROR(IF(INDEX(貸出記録!$D:$D,
MATCH($A242,貸出記録!$A:$A,0))="","",
INDEX(貸出記録!$D:$D,
MATCH($A242,貸出記録!$A:$A,0))
),""))</f>
        <v/>
      </c>
      <c r="E242" s="34" t="str">
        <f t="array" aca="1" ref="E242" ca="1">IF(D242="","",TODAY()-D242&amp;"日")</f>
        <v/>
      </c>
      <c r="F242" s="34" t="str">
        <f t="array" ref="F242">IF($A242="","",
IFERROR(IF(INDEX(貸出記録!$F:$F,
MATCH($A242,貸出記録!$A:$A,0))="","",
INDEX(貸出記録!$F:$F,
MATCH($A242,貸出記録!$A:$A,0))
),""))</f>
        <v/>
      </c>
    </row>
    <row r="243" spans="1:6" ht="15.6">
      <c r="A243" s="34" t="str">
        <f t="array" ref="A243">IFERROR(
INDEX(貸出記録!$A$2:$A$5000,
SMALL(
IF(貸出記録!$E$2:$E$5000="",
ROW(貸出記録!$A$2:$A$5000)-ROW(貸出記録!$A$2)+1),
ROW(A242)
)
),
"")</f>
        <v>BT-0242</v>
      </c>
      <c r="B243" s="34" t="str">
        <f t="array" ref="B243">IF($A243="","",
IFERROR(IF(INDEX(貸出記録!$B$2:$B$5000,
MATCH($A243,貸出記録!$A$2:$A$5000,0))="","",
INDEX(貸出記録!$B$2:$B$5000,
MATCH($A243,貸出記録!$A$2:$A$5000,0))
),""))</f>
        <v/>
      </c>
      <c r="C243" s="34" t="str">
        <f t="array" ref="C243">IF($A243="","",
IFERROR(IF(INDEX(貸出記録!$C$2:$C$5000,
MATCH($A243,貸出記録!$A$2:$A$5000,0))="","",
INDEX(貸出記録!$C$2:$C$5000,
MATCH($A243,貸出記録!$A$2:$A$5000,0))
),""))</f>
        <v/>
      </c>
      <c r="D243" s="34" t="str">
        <f t="array" ref="D243">IF($A243="","",
IFERROR(IF(INDEX(貸出記録!$D:$D,
MATCH($A243,貸出記録!$A:$A,0))="","",
INDEX(貸出記録!$D:$D,
MATCH($A243,貸出記録!$A:$A,0))
),""))</f>
        <v/>
      </c>
      <c r="E243" s="34" t="str">
        <f t="array" aca="1" ref="E243" ca="1">IF(D243="","",TODAY()-D243&amp;"日")</f>
        <v/>
      </c>
      <c r="F243" s="34" t="str">
        <f t="array" ref="F243">IF($A243="","",
IFERROR(IF(INDEX(貸出記録!$F:$F,
MATCH($A243,貸出記録!$A:$A,0))="","",
INDEX(貸出記録!$F:$F,
MATCH($A243,貸出記録!$A:$A,0))
),""))</f>
        <v/>
      </c>
    </row>
    <row r="244" spans="1:6" ht="15.6">
      <c r="A244" s="34" t="str">
        <f t="array" ref="A244">IFERROR(
INDEX(貸出記録!$A$2:$A$5000,
SMALL(
IF(貸出記録!$E$2:$E$5000="",
ROW(貸出記録!$A$2:$A$5000)-ROW(貸出記録!$A$2)+1),
ROW(A243)
)
),
"")</f>
        <v>BT-0243</v>
      </c>
      <c r="B244" s="34" t="str">
        <f t="array" ref="B244">IF($A244="","",
IFERROR(IF(INDEX(貸出記録!$B$2:$B$5000,
MATCH($A244,貸出記録!$A$2:$A$5000,0))="","",
INDEX(貸出記録!$B$2:$B$5000,
MATCH($A244,貸出記録!$A$2:$A$5000,0))
),""))</f>
        <v/>
      </c>
      <c r="C244" s="34" t="str">
        <f t="array" ref="C244">IF($A244="","",
IFERROR(IF(INDEX(貸出記録!$C$2:$C$5000,
MATCH($A244,貸出記録!$A$2:$A$5000,0))="","",
INDEX(貸出記録!$C$2:$C$5000,
MATCH($A244,貸出記録!$A$2:$A$5000,0))
),""))</f>
        <v/>
      </c>
      <c r="D244" s="34" t="str">
        <f t="array" ref="D244">IF($A244="","",
IFERROR(IF(INDEX(貸出記録!$D:$D,
MATCH($A244,貸出記録!$A:$A,0))="","",
INDEX(貸出記録!$D:$D,
MATCH($A244,貸出記録!$A:$A,0))
),""))</f>
        <v/>
      </c>
      <c r="E244" s="34" t="str">
        <f t="array" aca="1" ref="E244" ca="1">IF(D244="","",TODAY()-D244&amp;"日")</f>
        <v/>
      </c>
      <c r="F244" s="34" t="str">
        <f t="array" ref="F244">IF($A244="","",
IFERROR(IF(INDEX(貸出記録!$F:$F,
MATCH($A244,貸出記録!$A:$A,0))="","",
INDEX(貸出記録!$F:$F,
MATCH($A244,貸出記録!$A:$A,0))
),""))</f>
        <v/>
      </c>
    </row>
    <row r="245" spans="1:6" ht="15.6">
      <c r="A245" s="34" t="str">
        <f t="array" ref="A245">IFERROR(
INDEX(貸出記録!$A$2:$A$5000,
SMALL(
IF(貸出記録!$E$2:$E$5000="",
ROW(貸出記録!$A$2:$A$5000)-ROW(貸出記録!$A$2)+1),
ROW(A244)
)
),
"")</f>
        <v>BT-0244</v>
      </c>
      <c r="B245" s="34" t="str">
        <f t="array" ref="B245">IF($A245="","",
IFERROR(IF(INDEX(貸出記録!$B$2:$B$5000,
MATCH($A245,貸出記録!$A$2:$A$5000,0))="","",
INDEX(貸出記録!$B$2:$B$5000,
MATCH($A245,貸出記録!$A$2:$A$5000,0))
),""))</f>
        <v/>
      </c>
      <c r="C245" s="34" t="str">
        <f t="array" ref="C245">IF($A245="","",
IFERROR(IF(INDEX(貸出記録!$C$2:$C$5000,
MATCH($A245,貸出記録!$A$2:$A$5000,0))="","",
INDEX(貸出記録!$C$2:$C$5000,
MATCH($A245,貸出記録!$A$2:$A$5000,0))
),""))</f>
        <v/>
      </c>
      <c r="D245" s="34" t="str">
        <f t="array" ref="D245">IF($A245="","",
IFERROR(IF(INDEX(貸出記録!$D:$D,
MATCH($A245,貸出記録!$A:$A,0))="","",
INDEX(貸出記録!$D:$D,
MATCH($A245,貸出記録!$A:$A,0))
),""))</f>
        <v/>
      </c>
      <c r="E245" s="34" t="str">
        <f t="array" aca="1" ref="E245" ca="1">IF(D245="","",TODAY()-D245&amp;"日")</f>
        <v/>
      </c>
      <c r="F245" s="34" t="str">
        <f t="array" ref="F245">IF($A245="","",
IFERROR(IF(INDEX(貸出記録!$F:$F,
MATCH($A245,貸出記録!$A:$A,0))="","",
INDEX(貸出記録!$F:$F,
MATCH($A245,貸出記録!$A:$A,0))
),""))</f>
        <v/>
      </c>
    </row>
    <row r="246" spans="1:6" ht="15.6">
      <c r="A246" s="34" t="str">
        <f t="array" ref="A246">IFERROR(
INDEX(貸出記録!$A$2:$A$5000,
SMALL(
IF(貸出記録!$E$2:$E$5000="",
ROW(貸出記録!$A$2:$A$5000)-ROW(貸出記録!$A$2)+1),
ROW(A245)
)
),
"")</f>
        <v>BT-0245</v>
      </c>
      <c r="B246" s="34" t="str">
        <f t="array" ref="B246">IF($A246="","",
IFERROR(IF(INDEX(貸出記録!$B$2:$B$5000,
MATCH($A246,貸出記録!$A$2:$A$5000,0))="","",
INDEX(貸出記録!$B$2:$B$5000,
MATCH($A246,貸出記録!$A$2:$A$5000,0))
),""))</f>
        <v/>
      </c>
      <c r="C246" s="34" t="str">
        <f t="array" ref="C246">IF($A246="","",
IFERROR(IF(INDEX(貸出記録!$C$2:$C$5000,
MATCH($A246,貸出記録!$A$2:$A$5000,0))="","",
INDEX(貸出記録!$C$2:$C$5000,
MATCH($A246,貸出記録!$A$2:$A$5000,0))
),""))</f>
        <v/>
      </c>
      <c r="D246" s="34" t="str">
        <f t="array" ref="D246">IF($A246="","",
IFERROR(IF(INDEX(貸出記録!$D:$D,
MATCH($A246,貸出記録!$A:$A,0))="","",
INDEX(貸出記録!$D:$D,
MATCH($A246,貸出記録!$A:$A,0))
),""))</f>
        <v/>
      </c>
      <c r="E246" s="34" t="str">
        <f t="array" aca="1" ref="E246" ca="1">IF(D246="","",TODAY()-D246&amp;"日")</f>
        <v/>
      </c>
      <c r="F246" s="34" t="str">
        <f t="array" ref="F246">IF($A246="","",
IFERROR(IF(INDEX(貸出記録!$F:$F,
MATCH($A246,貸出記録!$A:$A,0))="","",
INDEX(貸出記録!$F:$F,
MATCH($A246,貸出記録!$A:$A,0))
),""))</f>
        <v/>
      </c>
    </row>
    <row r="247" spans="1:6" ht="15.6">
      <c r="A247" s="34" t="str">
        <f t="array" ref="A247">IFERROR(
INDEX(貸出記録!$A$2:$A$5000,
SMALL(
IF(貸出記録!$E$2:$E$5000="",
ROW(貸出記録!$A$2:$A$5000)-ROW(貸出記録!$A$2)+1),
ROW(A246)
)
),
"")</f>
        <v>BT-0246</v>
      </c>
      <c r="B247" s="34" t="str">
        <f t="array" ref="B247">IF($A247="","",
IFERROR(IF(INDEX(貸出記録!$B$2:$B$5000,
MATCH($A247,貸出記録!$A$2:$A$5000,0))="","",
INDEX(貸出記録!$B$2:$B$5000,
MATCH($A247,貸出記録!$A$2:$A$5000,0))
),""))</f>
        <v/>
      </c>
      <c r="C247" s="34" t="str">
        <f t="array" ref="C247">IF($A247="","",
IFERROR(IF(INDEX(貸出記録!$C$2:$C$5000,
MATCH($A247,貸出記録!$A$2:$A$5000,0))="","",
INDEX(貸出記録!$C$2:$C$5000,
MATCH($A247,貸出記録!$A$2:$A$5000,0))
),""))</f>
        <v/>
      </c>
      <c r="D247" s="34" t="str">
        <f t="array" ref="D247">IF($A247="","",
IFERROR(IF(INDEX(貸出記録!$D:$D,
MATCH($A247,貸出記録!$A:$A,0))="","",
INDEX(貸出記録!$D:$D,
MATCH($A247,貸出記録!$A:$A,0))
),""))</f>
        <v/>
      </c>
      <c r="E247" s="34" t="str">
        <f t="array" aca="1" ref="E247" ca="1">IF(D247="","",TODAY()-D247&amp;"日")</f>
        <v/>
      </c>
      <c r="F247" s="34" t="str">
        <f t="array" ref="F247">IF($A247="","",
IFERROR(IF(INDEX(貸出記録!$F:$F,
MATCH($A247,貸出記録!$A:$A,0))="","",
INDEX(貸出記録!$F:$F,
MATCH($A247,貸出記録!$A:$A,0))
),""))</f>
        <v/>
      </c>
    </row>
    <row r="248" spans="1:6" ht="15.6">
      <c r="A248" s="34" t="str">
        <f t="array" ref="A248">IFERROR(
INDEX(貸出記録!$A$2:$A$5000,
SMALL(
IF(貸出記録!$E$2:$E$5000="",
ROW(貸出記録!$A$2:$A$5000)-ROW(貸出記録!$A$2)+1),
ROW(A247)
)
),
"")</f>
        <v>BT-0247</v>
      </c>
      <c r="B248" s="34" t="str">
        <f t="array" ref="B248">IF($A248="","",
IFERROR(IF(INDEX(貸出記録!$B$2:$B$5000,
MATCH($A248,貸出記録!$A$2:$A$5000,0))="","",
INDEX(貸出記録!$B$2:$B$5000,
MATCH($A248,貸出記録!$A$2:$A$5000,0))
),""))</f>
        <v/>
      </c>
      <c r="C248" s="34" t="str">
        <f t="array" ref="C248">IF($A248="","",
IFERROR(IF(INDEX(貸出記録!$C$2:$C$5000,
MATCH($A248,貸出記録!$A$2:$A$5000,0))="","",
INDEX(貸出記録!$C$2:$C$5000,
MATCH($A248,貸出記録!$A$2:$A$5000,0))
),""))</f>
        <v/>
      </c>
      <c r="D248" s="34" t="str">
        <f t="array" ref="D248">IF($A248="","",
IFERROR(IF(INDEX(貸出記録!$D:$D,
MATCH($A248,貸出記録!$A:$A,0))="","",
INDEX(貸出記録!$D:$D,
MATCH($A248,貸出記録!$A:$A,0))
),""))</f>
        <v/>
      </c>
      <c r="E248" s="34" t="str">
        <f t="array" aca="1" ref="E248" ca="1">IF(D248="","",TODAY()-D248&amp;"日")</f>
        <v/>
      </c>
      <c r="F248" s="34" t="str">
        <f t="array" ref="F248">IF($A248="","",
IFERROR(IF(INDEX(貸出記録!$F:$F,
MATCH($A248,貸出記録!$A:$A,0))="","",
INDEX(貸出記録!$F:$F,
MATCH($A248,貸出記録!$A:$A,0))
),""))</f>
        <v/>
      </c>
    </row>
    <row r="249" spans="1:6" ht="15.6">
      <c r="A249" s="34" t="str">
        <f t="array" ref="A249">IFERROR(
INDEX(貸出記録!$A$2:$A$5000,
SMALL(
IF(貸出記録!$E$2:$E$5000="",
ROW(貸出記録!$A$2:$A$5000)-ROW(貸出記録!$A$2)+1),
ROW(A248)
)
),
"")</f>
        <v>BT-0248</v>
      </c>
      <c r="B249" s="34" t="str">
        <f t="array" ref="B249">IF($A249="","",
IFERROR(IF(INDEX(貸出記録!$B$2:$B$5000,
MATCH($A249,貸出記録!$A$2:$A$5000,0))="","",
INDEX(貸出記録!$B$2:$B$5000,
MATCH($A249,貸出記録!$A$2:$A$5000,0))
),""))</f>
        <v/>
      </c>
      <c r="C249" s="34" t="str">
        <f t="array" ref="C249">IF($A249="","",
IFERROR(IF(INDEX(貸出記録!$C$2:$C$5000,
MATCH($A249,貸出記録!$A$2:$A$5000,0))="","",
INDEX(貸出記録!$C$2:$C$5000,
MATCH($A249,貸出記録!$A$2:$A$5000,0))
),""))</f>
        <v/>
      </c>
      <c r="D249" s="34" t="str">
        <f t="array" ref="D249">IF($A249="","",
IFERROR(IF(INDEX(貸出記録!$D:$D,
MATCH($A249,貸出記録!$A:$A,0))="","",
INDEX(貸出記録!$D:$D,
MATCH($A249,貸出記録!$A:$A,0))
),""))</f>
        <v/>
      </c>
      <c r="E249" s="34" t="str">
        <f t="array" aca="1" ref="E249" ca="1">IF(D249="","",TODAY()-D249&amp;"日")</f>
        <v/>
      </c>
      <c r="F249" s="34" t="str">
        <f t="array" ref="F249">IF($A249="","",
IFERROR(IF(INDEX(貸出記録!$F:$F,
MATCH($A249,貸出記録!$A:$A,0))="","",
INDEX(貸出記録!$F:$F,
MATCH($A249,貸出記録!$A:$A,0))
),""))</f>
        <v/>
      </c>
    </row>
    <row r="250" spans="1:6" ht="15.6">
      <c r="A250" s="34" t="str">
        <f t="array" ref="A250">IFERROR(
INDEX(貸出記録!$A$2:$A$5000,
SMALL(
IF(貸出記録!$E$2:$E$5000="",
ROW(貸出記録!$A$2:$A$5000)-ROW(貸出記録!$A$2)+1),
ROW(A249)
)
),
"")</f>
        <v>BT-0249</v>
      </c>
      <c r="B250" s="34" t="str">
        <f t="array" ref="B250">IF($A250="","",
IFERROR(IF(INDEX(貸出記録!$B$2:$B$5000,
MATCH($A250,貸出記録!$A$2:$A$5000,0))="","",
INDEX(貸出記録!$B$2:$B$5000,
MATCH($A250,貸出記録!$A$2:$A$5000,0))
),""))</f>
        <v/>
      </c>
      <c r="C250" s="34" t="str">
        <f t="array" ref="C250">IF($A250="","",
IFERROR(IF(INDEX(貸出記録!$C$2:$C$5000,
MATCH($A250,貸出記録!$A$2:$A$5000,0))="","",
INDEX(貸出記録!$C$2:$C$5000,
MATCH($A250,貸出記録!$A$2:$A$5000,0))
),""))</f>
        <v/>
      </c>
      <c r="D250" s="34" t="str">
        <f t="array" ref="D250">IF($A250="","",
IFERROR(IF(INDEX(貸出記録!$D:$D,
MATCH($A250,貸出記録!$A:$A,0))="","",
INDEX(貸出記録!$D:$D,
MATCH($A250,貸出記録!$A:$A,0))
),""))</f>
        <v/>
      </c>
      <c r="E250" s="34" t="str">
        <f t="array" aca="1" ref="E250" ca="1">IF(D250="","",TODAY()-D250&amp;"日")</f>
        <v/>
      </c>
      <c r="F250" s="34" t="str">
        <f t="array" ref="F250">IF($A250="","",
IFERROR(IF(INDEX(貸出記録!$F:$F,
MATCH($A250,貸出記録!$A:$A,0))="","",
INDEX(貸出記録!$F:$F,
MATCH($A250,貸出記録!$A:$A,0))
),""))</f>
        <v/>
      </c>
    </row>
    <row r="251" spans="1:6" ht="15.6">
      <c r="A251" s="34" t="str">
        <f t="array" ref="A251">IFERROR(
INDEX(貸出記録!$A$2:$A$5000,
SMALL(
IF(貸出記録!$E$2:$E$5000="",
ROW(貸出記録!$A$2:$A$5000)-ROW(貸出記録!$A$2)+1),
ROW(A250)
)
),
"")</f>
        <v>BT-0250</v>
      </c>
      <c r="B251" s="34" t="str">
        <f t="array" ref="B251">IF($A251="","",
IFERROR(IF(INDEX(貸出記録!$B$2:$B$5000,
MATCH($A251,貸出記録!$A$2:$A$5000,0))="","",
INDEX(貸出記録!$B$2:$B$5000,
MATCH($A251,貸出記録!$A$2:$A$5000,0))
),""))</f>
        <v/>
      </c>
      <c r="C251" s="34" t="str">
        <f t="array" ref="C251">IF($A251="","",
IFERROR(IF(INDEX(貸出記録!$C$2:$C$5000,
MATCH($A251,貸出記録!$A$2:$A$5000,0))="","",
INDEX(貸出記録!$C$2:$C$5000,
MATCH($A251,貸出記録!$A$2:$A$5000,0))
),""))</f>
        <v/>
      </c>
      <c r="D251" s="34" t="str">
        <f t="array" ref="D251">IF($A251="","",
IFERROR(IF(INDEX(貸出記録!$D:$D,
MATCH($A251,貸出記録!$A:$A,0))="","",
INDEX(貸出記録!$D:$D,
MATCH($A251,貸出記録!$A:$A,0))
),""))</f>
        <v/>
      </c>
      <c r="E251" s="34" t="str">
        <f t="array" aca="1" ref="E251" ca="1">IF(D251="","",TODAY()-D251&amp;"日")</f>
        <v/>
      </c>
      <c r="F251" s="34" t="str">
        <f t="array" ref="F251">IF($A251="","",
IFERROR(IF(INDEX(貸出記録!$F:$F,
MATCH($A251,貸出記録!$A:$A,0))="","",
INDEX(貸出記録!$F:$F,
MATCH($A251,貸出記録!$A:$A,0))
),""))</f>
        <v/>
      </c>
    </row>
    <row r="252" spans="1:6" ht="15.6">
      <c r="A252" s="34" t="str">
        <f t="array" ref="A252">IFERROR(
INDEX(貸出記録!$A$2:$A$5000,
SMALL(
IF(貸出記録!$E$2:$E$5000="",
ROW(貸出記録!$A$2:$A$5000)-ROW(貸出記録!$A$2)+1),
ROW(A251)
)
),
"")</f>
        <v>BT-0251</v>
      </c>
      <c r="B252" s="34" t="str">
        <f t="array" ref="B252">IF($A252="","",
IFERROR(IF(INDEX(貸出記録!$B$2:$B$5000,
MATCH($A252,貸出記録!$A$2:$A$5000,0))="","",
INDEX(貸出記録!$B$2:$B$5000,
MATCH($A252,貸出記録!$A$2:$A$5000,0))
),""))</f>
        <v/>
      </c>
      <c r="C252" s="34" t="str">
        <f t="array" ref="C252">IF($A252="","",
IFERROR(IF(INDEX(貸出記録!$C$2:$C$5000,
MATCH($A252,貸出記録!$A$2:$A$5000,0))="","",
INDEX(貸出記録!$C$2:$C$5000,
MATCH($A252,貸出記録!$A$2:$A$5000,0))
),""))</f>
        <v/>
      </c>
      <c r="D252" s="34" t="str">
        <f t="array" ref="D252">IF($A252="","",
IFERROR(IF(INDEX(貸出記録!$D:$D,
MATCH($A252,貸出記録!$A:$A,0))="","",
INDEX(貸出記録!$D:$D,
MATCH($A252,貸出記録!$A:$A,0))
),""))</f>
        <v/>
      </c>
      <c r="E252" s="34" t="str">
        <f t="array" aca="1" ref="E252" ca="1">IF(D252="","",TODAY()-D252&amp;"日")</f>
        <v/>
      </c>
      <c r="F252" s="34" t="str">
        <f t="array" ref="F252">IF($A252="","",
IFERROR(IF(INDEX(貸出記録!$F:$F,
MATCH($A252,貸出記録!$A:$A,0))="","",
INDEX(貸出記録!$F:$F,
MATCH($A252,貸出記録!$A:$A,0))
),""))</f>
        <v/>
      </c>
    </row>
    <row r="253" spans="1:6" ht="15.6">
      <c r="A253" s="34" t="str">
        <f t="array" ref="A253">IFERROR(
INDEX(貸出記録!$A$2:$A$5000,
SMALL(
IF(貸出記録!$E$2:$E$5000="",
ROW(貸出記録!$A$2:$A$5000)-ROW(貸出記録!$A$2)+1),
ROW(A252)
)
),
"")</f>
        <v>BT-0252</v>
      </c>
      <c r="B253" s="34" t="str">
        <f t="array" ref="B253">IF($A253="","",
IFERROR(IF(INDEX(貸出記録!$B$2:$B$5000,
MATCH($A253,貸出記録!$A$2:$A$5000,0))="","",
INDEX(貸出記録!$B$2:$B$5000,
MATCH($A253,貸出記録!$A$2:$A$5000,0))
),""))</f>
        <v/>
      </c>
      <c r="C253" s="34" t="str">
        <f t="array" ref="C253">IF($A253="","",
IFERROR(IF(INDEX(貸出記録!$C$2:$C$5000,
MATCH($A253,貸出記録!$A$2:$A$5000,0))="","",
INDEX(貸出記録!$C$2:$C$5000,
MATCH($A253,貸出記録!$A$2:$A$5000,0))
),""))</f>
        <v/>
      </c>
      <c r="D253" s="34" t="str">
        <f t="array" ref="D253">IF($A253="","",
IFERROR(IF(INDEX(貸出記録!$D:$D,
MATCH($A253,貸出記録!$A:$A,0))="","",
INDEX(貸出記録!$D:$D,
MATCH($A253,貸出記録!$A:$A,0))
),""))</f>
        <v/>
      </c>
      <c r="E253" s="34" t="str">
        <f t="array" aca="1" ref="E253" ca="1">IF(D253="","",TODAY()-D253&amp;"日")</f>
        <v/>
      </c>
      <c r="F253" s="34" t="str">
        <f t="array" ref="F253">IF($A253="","",
IFERROR(IF(INDEX(貸出記録!$F:$F,
MATCH($A253,貸出記録!$A:$A,0))="","",
INDEX(貸出記録!$F:$F,
MATCH($A253,貸出記録!$A:$A,0))
),""))</f>
        <v/>
      </c>
    </row>
    <row r="254" spans="1:6" ht="15.6">
      <c r="A254" s="34" t="str">
        <f t="array" ref="A254">IFERROR(
INDEX(貸出記録!$A$2:$A$5000,
SMALL(
IF(貸出記録!$E$2:$E$5000="",
ROW(貸出記録!$A$2:$A$5000)-ROW(貸出記録!$A$2)+1),
ROW(A253)
)
),
"")</f>
        <v>BT-0253</v>
      </c>
      <c r="B254" s="34" t="str">
        <f t="array" ref="B254">IF($A254="","",
IFERROR(IF(INDEX(貸出記録!$B$2:$B$5000,
MATCH($A254,貸出記録!$A$2:$A$5000,0))="","",
INDEX(貸出記録!$B$2:$B$5000,
MATCH($A254,貸出記録!$A$2:$A$5000,0))
),""))</f>
        <v/>
      </c>
      <c r="C254" s="34" t="str">
        <f t="array" ref="C254">IF($A254="","",
IFERROR(IF(INDEX(貸出記録!$C$2:$C$5000,
MATCH($A254,貸出記録!$A$2:$A$5000,0))="","",
INDEX(貸出記録!$C$2:$C$5000,
MATCH($A254,貸出記録!$A$2:$A$5000,0))
),""))</f>
        <v/>
      </c>
      <c r="D254" s="34" t="str">
        <f t="array" ref="D254">IF($A254="","",
IFERROR(IF(INDEX(貸出記録!$D:$D,
MATCH($A254,貸出記録!$A:$A,0))="","",
INDEX(貸出記録!$D:$D,
MATCH($A254,貸出記録!$A:$A,0))
),""))</f>
        <v/>
      </c>
      <c r="E254" s="34" t="str">
        <f t="array" aca="1" ref="E254" ca="1">IF(D254="","",TODAY()-D254&amp;"日")</f>
        <v/>
      </c>
      <c r="F254" s="34" t="str">
        <f t="array" ref="F254">IF($A254="","",
IFERROR(IF(INDEX(貸出記録!$F:$F,
MATCH($A254,貸出記録!$A:$A,0))="","",
INDEX(貸出記録!$F:$F,
MATCH($A254,貸出記録!$A:$A,0))
),""))</f>
        <v/>
      </c>
    </row>
    <row r="255" spans="1:6" ht="15.6">
      <c r="A255" s="34" t="str">
        <f t="array" ref="A255">IFERROR(
INDEX(貸出記録!$A$2:$A$5000,
SMALL(
IF(貸出記録!$E$2:$E$5000="",
ROW(貸出記録!$A$2:$A$5000)-ROW(貸出記録!$A$2)+1),
ROW(A254)
)
),
"")</f>
        <v>BT-0254</v>
      </c>
      <c r="B255" s="34" t="str">
        <f t="array" ref="B255">IF($A255="","",
IFERROR(IF(INDEX(貸出記録!$B$2:$B$5000,
MATCH($A255,貸出記録!$A$2:$A$5000,0))="","",
INDEX(貸出記録!$B$2:$B$5000,
MATCH($A255,貸出記録!$A$2:$A$5000,0))
),""))</f>
        <v/>
      </c>
      <c r="C255" s="34" t="str">
        <f t="array" ref="C255">IF($A255="","",
IFERROR(IF(INDEX(貸出記録!$C$2:$C$5000,
MATCH($A255,貸出記録!$A$2:$A$5000,0))="","",
INDEX(貸出記録!$C$2:$C$5000,
MATCH($A255,貸出記録!$A$2:$A$5000,0))
),""))</f>
        <v/>
      </c>
      <c r="D255" s="34" t="str">
        <f t="array" ref="D255">IF($A255="","",
IFERROR(IF(INDEX(貸出記録!$D:$D,
MATCH($A255,貸出記録!$A:$A,0))="","",
INDEX(貸出記録!$D:$D,
MATCH($A255,貸出記録!$A:$A,0))
),""))</f>
        <v/>
      </c>
      <c r="E255" s="34" t="str">
        <f t="array" aca="1" ref="E255" ca="1">IF(D255="","",TODAY()-D255&amp;"日")</f>
        <v/>
      </c>
      <c r="F255" s="34" t="str">
        <f t="array" ref="F255">IF($A255="","",
IFERROR(IF(INDEX(貸出記録!$F:$F,
MATCH($A255,貸出記録!$A:$A,0))="","",
INDEX(貸出記録!$F:$F,
MATCH($A255,貸出記録!$A:$A,0))
),""))</f>
        <v/>
      </c>
    </row>
    <row r="256" spans="1:6" ht="15.6">
      <c r="A256" s="34" t="str">
        <f t="array" ref="A256">IFERROR(
INDEX(貸出記録!$A$2:$A$5000,
SMALL(
IF(貸出記録!$E$2:$E$5000="",
ROW(貸出記録!$A$2:$A$5000)-ROW(貸出記録!$A$2)+1),
ROW(A255)
)
),
"")</f>
        <v>BT-0255</v>
      </c>
      <c r="B256" s="34" t="str">
        <f t="array" ref="B256">IF($A256="","",
IFERROR(IF(INDEX(貸出記録!$B$2:$B$5000,
MATCH($A256,貸出記録!$A$2:$A$5000,0))="","",
INDEX(貸出記録!$B$2:$B$5000,
MATCH($A256,貸出記録!$A$2:$A$5000,0))
),""))</f>
        <v/>
      </c>
      <c r="C256" s="34" t="str">
        <f t="array" ref="C256">IF($A256="","",
IFERROR(IF(INDEX(貸出記録!$C$2:$C$5000,
MATCH($A256,貸出記録!$A$2:$A$5000,0))="","",
INDEX(貸出記録!$C$2:$C$5000,
MATCH($A256,貸出記録!$A$2:$A$5000,0))
),""))</f>
        <v/>
      </c>
      <c r="D256" s="34" t="str">
        <f t="array" ref="D256">IF($A256="","",
IFERROR(IF(INDEX(貸出記録!$D:$D,
MATCH($A256,貸出記録!$A:$A,0))="","",
INDEX(貸出記録!$D:$D,
MATCH($A256,貸出記録!$A:$A,0))
),""))</f>
        <v/>
      </c>
      <c r="E256" s="34" t="str">
        <f t="array" aca="1" ref="E256" ca="1">IF(D256="","",TODAY()-D256&amp;"日")</f>
        <v/>
      </c>
      <c r="F256" s="34" t="str">
        <f t="array" ref="F256">IF($A256="","",
IFERROR(IF(INDEX(貸出記録!$F:$F,
MATCH($A256,貸出記録!$A:$A,0))="","",
INDEX(貸出記録!$F:$F,
MATCH($A256,貸出記録!$A:$A,0))
),""))</f>
        <v/>
      </c>
    </row>
    <row r="257" spans="1:6" ht="15.6">
      <c r="A257" s="34" t="str">
        <f t="array" ref="A257">IFERROR(
INDEX(貸出記録!$A$2:$A$5000,
SMALL(
IF(貸出記録!$E$2:$E$5000="",
ROW(貸出記録!$A$2:$A$5000)-ROW(貸出記録!$A$2)+1),
ROW(A256)
)
),
"")</f>
        <v>BT-0256</v>
      </c>
      <c r="B257" s="34" t="str">
        <f t="array" ref="B257">IF($A257="","",
IFERROR(IF(INDEX(貸出記録!$B$2:$B$5000,
MATCH($A257,貸出記録!$A$2:$A$5000,0))="","",
INDEX(貸出記録!$B$2:$B$5000,
MATCH($A257,貸出記録!$A$2:$A$5000,0))
),""))</f>
        <v/>
      </c>
      <c r="C257" s="34" t="str">
        <f t="array" ref="C257">IF($A257="","",
IFERROR(IF(INDEX(貸出記録!$C$2:$C$5000,
MATCH($A257,貸出記録!$A$2:$A$5000,0))="","",
INDEX(貸出記録!$C$2:$C$5000,
MATCH($A257,貸出記録!$A$2:$A$5000,0))
),""))</f>
        <v/>
      </c>
      <c r="D257" s="34" t="str">
        <f t="array" ref="D257">IF($A257="","",
IFERROR(IF(INDEX(貸出記録!$D:$D,
MATCH($A257,貸出記録!$A:$A,0))="","",
INDEX(貸出記録!$D:$D,
MATCH($A257,貸出記録!$A:$A,0))
),""))</f>
        <v/>
      </c>
      <c r="E257" s="34" t="str">
        <f t="array" aca="1" ref="E257" ca="1">IF(D257="","",TODAY()-D257&amp;"日")</f>
        <v/>
      </c>
      <c r="F257" s="34" t="str">
        <f t="array" ref="F257">IF($A257="","",
IFERROR(IF(INDEX(貸出記録!$F:$F,
MATCH($A257,貸出記録!$A:$A,0))="","",
INDEX(貸出記録!$F:$F,
MATCH($A257,貸出記録!$A:$A,0))
),""))</f>
        <v/>
      </c>
    </row>
    <row r="258" spans="1:6" ht="15.6">
      <c r="A258" s="34" t="str">
        <f t="array" ref="A258">IFERROR(
INDEX(貸出記録!$A$2:$A$5000,
SMALL(
IF(貸出記録!$E$2:$E$5000="",
ROW(貸出記録!$A$2:$A$5000)-ROW(貸出記録!$A$2)+1),
ROW(A257)
)
),
"")</f>
        <v>BT-0257</v>
      </c>
      <c r="B258" s="34" t="str">
        <f t="array" ref="B258">IF($A258="","",
IFERROR(IF(INDEX(貸出記録!$B$2:$B$5000,
MATCH($A258,貸出記録!$A$2:$A$5000,0))="","",
INDEX(貸出記録!$B$2:$B$5000,
MATCH($A258,貸出記録!$A$2:$A$5000,0))
),""))</f>
        <v/>
      </c>
      <c r="C258" s="34" t="str">
        <f t="array" ref="C258">IF($A258="","",
IFERROR(IF(INDEX(貸出記録!$C$2:$C$5000,
MATCH($A258,貸出記録!$A$2:$A$5000,0))="","",
INDEX(貸出記録!$C$2:$C$5000,
MATCH($A258,貸出記録!$A$2:$A$5000,0))
),""))</f>
        <v/>
      </c>
      <c r="D258" s="34" t="str">
        <f t="array" ref="D258">IF($A258="","",
IFERROR(IF(INDEX(貸出記録!$D:$D,
MATCH($A258,貸出記録!$A:$A,0))="","",
INDEX(貸出記録!$D:$D,
MATCH($A258,貸出記録!$A:$A,0))
),""))</f>
        <v/>
      </c>
      <c r="E258" s="34" t="str">
        <f t="array" aca="1" ref="E258" ca="1">IF(D258="","",TODAY()-D258&amp;"日")</f>
        <v/>
      </c>
      <c r="F258" s="34" t="str">
        <f t="array" ref="F258">IF($A258="","",
IFERROR(IF(INDEX(貸出記録!$F:$F,
MATCH($A258,貸出記録!$A:$A,0))="","",
INDEX(貸出記録!$F:$F,
MATCH($A258,貸出記録!$A:$A,0))
),""))</f>
        <v/>
      </c>
    </row>
    <row r="259" spans="1:6" ht="15.6">
      <c r="A259" s="34" t="str">
        <f t="array" ref="A259">IFERROR(
INDEX(貸出記録!$A$2:$A$5000,
SMALL(
IF(貸出記録!$E$2:$E$5000="",
ROW(貸出記録!$A$2:$A$5000)-ROW(貸出記録!$A$2)+1),
ROW(A258)
)
),
"")</f>
        <v>BT-0258</v>
      </c>
      <c r="B259" s="34" t="str">
        <f t="array" ref="B259">IF($A259="","",
IFERROR(IF(INDEX(貸出記録!$B$2:$B$5000,
MATCH($A259,貸出記録!$A$2:$A$5000,0))="","",
INDEX(貸出記録!$B$2:$B$5000,
MATCH($A259,貸出記録!$A$2:$A$5000,0))
),""))</f>
        <v/>
      </c>
      <c r="C259" s="34" t="str">
        <f t="array" ref="C259">IF($A259="","",
IFERROR(IF(INDEX(貸出記録!$C$2:$C$5000,
MATCH($A259,貸出記録!$A$2:$A$5000,0))="","",
INDEX(貸出記録!$C$2:$C$5000,
MATCH($A259,貸出記録!$A$2:$A$5000,0))
),""))</f>
        <v/>
      </c>
      <c r="D259" s="34" t="str">
        <f t="array" ref="D259">IF($A259="","",
IFERROR(IF(INDEX(貸出記録!$D:$D,
MATCH($A259,貸出記録!$A:$A,0))="","",
INDEX(貸出記録!$D:$D,
MATCH($A259,貸出記録!$A:$A,0))
),""))</f>
        <v/>
      </c>
      <c r="E259" s="34" t="str">
        <f t="array" aca="1" ref="E259" ca="1">IF(D259="","",TODAY()-D259&amp;"日")</f>
        <v/>
      </c>
      <c r="F259" s="34" t="str">
        <f t="array" ref="F259">IF($A259="","",
IFERROR(IF(INDEX(貸出記録!$F:$F,
MATCH($A259,貸出記録!$A:$A,0))="","",
INDEX(貸出記録!$F:$F,
MATCH($A259,貸出記録!$A:$A,0))
),""))</f>
        <v/>
      </c>
    </row>
    <row r="260" spans="1:6" ht="15.6">
      <c r="A260" s="34" t="str">
        <f t="array" ref="A260">IFERROR(
INDEX(貸出記録!$A$2:$A$5000,
SMALL(
IF(貸出記録!$E$2:$E$5000="",
ROW(貸出記録!$A$2:$A$5000)-ROW(貸出記録!$A$2)+1),
ROW(A259)
)
),
"")</f>
        <v>BT-0259</v>
      </c>
      <c r="B260" s="34" t="str">
        <f t="array" ref="B260">IF($A260="","",
IFERROR(IF(INDEX(貸出記録!$B$2:$B$5000,
MATCH($A260,貸出記録!$A$2:$A$5000,0))="","",
INDEX(貸出記録!$B$2:$B$5000,
MATCH($A260,貸出記録!$A$2:$A$5000,0))
),""))</f>
        <v/>
      </c>
      <c r="C260" s="34" t="str">
        <f t="array" ref="C260">IF($A260="","",
IFERROR(IF(INDEX(貸出記録!$C$2:$C$5000,
MATCH($A260,貸出記録!$A$2:$A$5000,0))="","",
INDEX(貸出記録!$C$2:$C$5000,
MATCH($A260,貸出記録!$A$2:$A$5000,0))
),""))</f>
        <v/>
      </c>
      <c r="D260" s="34" t="str">
        <f t="array" ref="D260">IF($A260="","",
IFERROR(IF(INDEX(貸出記録!$D:$D,
MATCH($A260,貸出記録!$A:$A,0))="","",
INDEX(貸出記録!$D:$D,
MATCH($A260,貸出記録!$A:$A,0))
),""))</f>
        <v/>
      </c>
      <c r="E260" s="34" t="str">
        <f t="array" aca="1" ref="E260" ca="1">IF(D260="","",TODAY()-D260&amp;"日")</f>
        <v/>
      </c>
      <c r="F260" s="34" t="str">
        <f t="array" ref="F260">IF($A260="","",
IFERROR(IF(INDEX(貸出記録!$F:$F,
MATCH($A260,貸出記録!$A:$A,0))="","",
INDEX(貸出記録!$F:$F,
MATCH($A260,貸出記録!$A:$A,0))
),""))</f>
        <v/>
      </c>
    </row>
    <row r="261" spans="1:6" ht="15.6">
      <c r="A261" s="34" t="str">
        <f t="array" ref="A261">IFERROR(
INDEX(貸出記録!$A$2:$A$5000,
SMALL(
IF(貸出記録!$E$2:$E$5000="",
ROW(貸出記録!$A$2:$A$5000)-ROW(貸出記録!$A$2)+1),
ROW(A260)
)
),
"")</f>
        <v>BT-0260</v>
      </c>
      <c r="B261" s="34" t="str">
        <f t="array" ref="B261">IF($A261="","",
IFERROR(IF(INDEX(貸出記録!$B$2:$B$5000,
MATCH($A261,貸出記録!$A$2:$A$5000,0))="","",
INDEX(貸出記録!$B$2:$B$5000,
MATCH($A261,貸出記録!$A$2:$A$5000,0))
),""))</f>
        <v/>
      </c>
      <c r="C261" s="34" t="str">
        <f t="array" ref="C261">IF($A261="","",
IFERROR(IF(INDEX(貸出記録!$C$2:$C$5000,
MATCH($A261,貸出記録!$A$2:$A$5000,0))="","",
INDEX(貸出記録!$C$2:$C$5000,
MATCH($A261,貸出記録!$A$2:$A$5000,0))
),""))</f>
        <v/>
      </c>
      <c r="D261" s="34" t="str">
        <f t="array" ref="D261">IF($A261="","",
IFERROR(IF(INDEX(貸出記録!$D:$D,
MATCH($A261,貸出記録!$A:$A,0))="","",
INDEX(貸出記録!$D:$D,
MATCH($A261,貸出記録!$A:$A,0))
),""))</f>
        <v/>
      </c>
      <c r="E261" s="34" t="str">
        <f t="array" aca="1" ref="E261" ca="1">IF(D261="","",TODAY()-D261&amp;"日")</f>
        <v/>
      </c>
      <c r="F261" s="34" t="str">
        <f t="array" ref="F261">IF($A261="","",
IFERROR(IF(INDEX(貸出記録!$F:$F,
MATCH($A261,貸出記録!$A:$A,0))="","",
INDEX(貸出記録!$F:$F,
MATCH($A261,貸出記録!$A:$A,0))
),""))</f>
        <v/>
      </c>
    </row>
    <row r="262" spans="1:6" ht="15.6">
      <c r="A262" s="34" t="str">
        <f t="array" ref="A262">IFERROR(
INDEX(貸出記録!$A$2:$A$5000,
SMALL(
IF(貸出記録!$E$2:$E$5000="",
ROW(貸出記録!$A$2:$A$5000)-ROW(貸出記録!$A$2)+1),
ROW(A261)
)
),
"")</f>
        <v>BT-0261</v>
      </c>
      <c r="B262" s="34" t="str">
        <f t="array" ref="B262">IF($A262="","",
IFERROR(IF(INDEX(貸出記録!$B$2:$B$5000,
MATCH($A262,貸出記録!$A$2:$A$5000,0))="","",
INDEX(貸出記録!$B$2:$B$5000,
MATCH($A262,貸出記録!$A$2:$A$5000,0))
),""))</f>
        <v/>
      </c>
      <c r="C262" s="34" t="str">
        <f t="array" ref="C262">IF($A262="","",
IFERROR(IF(INDEX(貸出記録!$C$2:$C$5000,
MATCH($A262,貸出記録!$A$2:$A$5000,0))="","",
INDEX(貸出記録!$C$2:$C$5000,
MATCH($A262,貸出記録!$A$2:$A$5000,0))
),""))</f>
        <v/>
      </c>
      <c r="D262" s="34" t="str">
        <f t="array" ref="D262">IF($A262="","",
IFERROR(IF(INDEX(貸出記録!$D:$D,
MATCH($A262,貸出記録!$A:$A,0))="","",
INDEX(貸出記録!$D:$D,
MATCH($A262,貸出記録!$A:$A,0))
),""))</f>
        <v/>
      </c>
      <c r="E262" s="34" t="str">
        <f t="array" aca="1" ref="E262" ca="1">IF(D262="","",TODAY()-D262&amp;"日")</f>
        <v/>
      </c>
      <c r="F262" s="34" t="str">
        <f t="array" ref="F262">IF($A262="","",
IFERROR(IF(INDEX(貸出記録!$F:$F,
MATCH($A262,貸出記録!$A:$A,0))="","",
INDEX(貸出記録!$F:$F,
MATCH($A262,貸出記録!$A:$A,0))
),""))</f>
        <v/>
      </c>
    </row>
    <row r="263" spans="1:6" ht="15.6">
      <c r="A263" s="34" t="str">
        <f t="array" ref="A263">IFERROR(
INDEX(貸出記録!$A$2:$A$5000,
SMALL(
IF(貸出記録!$E$2:$E$5000="",
ROW(貸出記録!$A$2:$A$5000)-ROW(貸出記録!$A$2)+1),
ROW(A262)
)
),
"")</f>
        <v>BT-0262</v>
      </c>
      <c r="B263" s="34" t="str">
        <f t="array" ref="B263">IF($A263="","",
IFERROR(IF(INDEX(貸出記録!$B$2:$B$5000,
MATCH($A263,貸出記録!$A$2:$A$5000,0))="","",
INDEX(貸出記録!$B$2:$B$5000,
MATCH($A263,貸出記録!$A$2:$A$5000,0))
),""))</f>
        <v/>
      </c>
      <c r="C263" s="34" t="str">
        <f t="array" ref="C263">IF($A263="","",
IFERROR(IF(INDEX(貸出記録!$C$2:$C$5000,
MATCH($A263,貸出記録!$A$2:$A$5000,0))="","",
INDEX(貸出記録!$C$2:$C$5000,
MATCH($A263,貸出記録!$A$2:$A$5000,0))
),""))</f>
        <v/>
      </c>
      <c r="D263" s="34" t="str">
        <f t="array" ref="D263">IF($A263="","",
IFERROR(IF(INDEX(貸出記録!$D:$D,
MATCH($A263,貸出記録!$A:$A,0))="","",
INDEX(貸出記録!$D:$D,
MATCH($A263,貸出記録!$A:$A,0))
),""))</f>
        <v/>
      </c>
      <c r="E263" s="34" t="str">
        <f t="array" aca="1" ref="E263" ca="1">IF(D263="","",TODAY()-D263&amp;"日")</f>
        <v/>
      </c>
      <c r="F263" s="34" t="str">
        <f t="array" ref="F263">IF($A263="","",
IFERROR(IF(INDEX(貸出記録!$F:$F,
MATCH($A263,貸出記録!$A:$A,0))="","",
INDEX(貸出記録!$F:$F,
MATCH($A263,貸出記録!$A:$A,0))
),""))</f>
        <v/>
      </c>
    </row>
    <row r="264" spans="1:6" ht="15.6">
      <c r="A264" s="34" t="str">
        <f t="array" ref="A264">IFERROR(
INDEX(貸出記録!$A$2:$A$5000,
SMALL(
IF(貸出記録!$E$2:$E$5000="",
ROW(貸出記録!$A$2:$A$5000)-ROW(貸出記録!$A$2)+1),
ROW(A263)
)
),
"")</f>
        <v>BT-0263</v>
      </c>
      <c r="B264" s="34" t="str">
        <f t="array" ref="B264">IF($A264="","",
IFERROR(IF(INDEX(貸出記録!$B$2:$B$5000,
MATCH($A264,貸出記録!$A$2:$A$5000,0))="","",
INDEX(貸出記録!$B$2:$B$5000,
MATCH($A264,貸出記録!$A$2:$A$5000,0))
),""))</f>
        <v/>
      </c>
      <c r="C264" s="34" t="str">
        <f t="array" ref="C264">IF($A264="","",
IFERROR(IF(INDEX(貸出記録!$C$2:$C$5000,
MATCH($A264,貸出記録!$A$2:$A$5000,0))="","",
INDEX(貸出記録!$C$2:$C$5000,
MATCH($A264,貸出記録!$A$2:$A$5000,0))
),""))</f>
        <v/>
      </c>
      <c r="D264" s="34" t="str">
        <f t="array" ref="D264">IF($A264="","",
IFERROR(IF(INDEX(貸出記録!$D:$D,
MATCH($A264,貸出記録!$A:$A,0))="","",
INDEX(貸出記録!$D:$D,
MATCH($A264,貸出記録!$A:$A,0))
),""))</f>
        <v/>
      </c>
      <c r="E264" s="34" t="str">
        <f t="array" aca="1" ref="E264" ca="1">IF(D264="","",TODAY()-D264&amp;"日")</f>
        <v/>
      </c>
      <c r="F264" s="34" t="str">
        <f t="array" ref="F264">IF($A264="","",
IFERROR(IF(INDEX(貸出記録!$F:$F,
MATCH($A264,貸出記録!$A:$A,0))="","",
INDEX(貸出記録!$F:$F,
MATCH($A264,貸出記録!$A:$A,0))
),""))</f>
        <v/>
      </c>
    </row>
    <row r="265" spans="1:6" ht="15.6">
      <c r="A265" s="34" t="str">
        <f t="array" ref="A265">IFERROR(
INDEX(貸出記録!$A$2:$A$5000,
SMALL(
IF(貸出記録!$E$2:$E$5000="",
ROW(貸出記録!$A$2:$A$5000)-ROW(貸出記録!$A$2)+1),
ROW(A264)
)
),
"")</f>
        <v>BT-0264</v>
      </c>
      <c r="B265" s="34" t="str">
        <f t="array" ref="B265">IF($A265="","",
IFERROR(IF(INDEX(貸出記録!$B$2:$B$5000,
MATCH($A265,貸出記録!$A$2:$A$5000,0))="","",
INDEX(貸出記録!$B$2:$B$5000,
MATCH($A265,貸出記録!$A$2:$A$5000,0))
),""))</f>
        <v/>
      </c>
      <c r="C265" s="34" t="str">
        <f t="array" ref="C265">IF($A265="","",
IFERROR(IF(INDEX(貸出記録!$C$2:$C$5000,
MATCH($A265,貸出記録!$A$2:$A$5000,0))="","",
INDEX(貸出記録!$C$2:$C$5000,
MATCH($A265,貸出記録!$A$2:$A$5000,0))
),""))</f>
        <v/>
      </c>
      <c r="D265" s="34" t="str">
        <f t="array" ref="D265">IF($A265="","",
IFERROR(IF(INDEX(貸出記録!$D:$D,
MATCH($A265,貸出記録!$A:$A,0))="","",
INDEX(貸出記録!$D:$D,
MATCH($A265,貸出記録!$A:$A,0))
),""))</f>
        <v/>
      </c>
      <c r="E265" s="34" t="str">
        <f t="array" aca="1" ref="E265" ca="1">IF(D265="","",TODAY()-D265&amp;"日")</f>
        <v/>
      </c>
      <c r="F265" s="34" t="str">
        <f t="array" ref="F265">IF($A265="","",
IFERROR(IF(INDEX(貸出記録!$F:$F,
MATCH($A265,貸出記録!$A:$A,0))="","",
INDEX(貸出記録!$F:$F,
MATCH($A265,貸出記録!$A:$A,0))
),""))</f>
        <v/>
      </c>
    </row>
    <row r="266" spans="1:6" ht="15.6">
      <c r="A266" s="34" t="str">
        <f t="array" ref="A266">IFERROR(
INDEX(貸出記録!$A$2:$A$5000,
SMALL(
IF(貸出記録!$E$2:$E$5000="",
ROW(貸出記録!$A$2:$A$5000)-ROW(貸出記録!$A$2)+1),
ROW(A265)
)
),
"")</f>
        <v>BT-0265</v>
      </c>
      <c r="B266" s="34" t="str">
        <f t="array" ref="B266">IF($A266="","",
IFERROR(IF(INDEX(貸出記録!$B$2:$B$5000,
MATCH($A266,貸出記録!$A$2:$A$5000,0))="","",
INDEX(貸出記録!$B$2:$B$5000,
MATCH($A266,貸出記録!$A$2:$A$5000,0))
),""))</f>
        <v/>
      </c>
      <c r="C266" s="34" t="str">
        <f t="array" ref="C266">IF($A266="","",
IFERROR(IF(INDEX(貸出記録!$C$2:$C$5000,
MATCH($A266,貸出記録!$A$2:$A$5000,0))="","",
INDEX(貸出記録!$C$2:$C$5000,
MATCH($A266,貸出記録!$A$2:$A$5000,0))
),""))</f>
        <v/>
      </c>
      <c r="D266" s="34" t="str">
        <f t="array" ref="D266">IF($A266="","",
IFERROR(IF(INDEX(貸出記録!$D:$D,
MATCH($A266,貸出記録!$A:$A,0))="","",
INDEX(貸出記録!$D:$D,
MATCH($A266,貸出記録!$A:$A,0))
),""))</f>
        <v/>
      </c>
      <c r="E266" s="34" t="str">
        <f t="array" aca="1" ref="E266" ca="1">IF(D266="","",TODAY()-D266&amp;"日")</f>
        <v/>
      </c>
      <c r="F266" s="34" t="str">
        <f t="array" ref="F266">IF($A266="","",
IFERROR(IF(INDEX(貸出記録!$F:$F,
MATCH($A266,貸出記録!$A:$A,0))="","",
INDEX(貸出記録!$F:$F,
MATCH($A266,貸出記録!$A:$A,0))
),""))</f>
        <v/>
      </c>
    </row>
    <row r="267" spans="1:6" ht="15.6">
      <c r="A267" s="34" t="str">
        <f t="array" ref="A267">IFERROR(
INDEX(貸出記録!$A$2:$A$5000,
SMALL(
IF(貸出記録!$E$2:$E$5000="",
ROW(貸出記録!$A$2:$A$5000)-ROW(貸出記録!$A$2)+1),
ROW(A266)
)
),
"")</f>
        <v>BT-0266</v>
      </c>
      <c r="B267" s="34" t="str">
        <f t="array" ref="B267">IF($A267="","",
IFERROR(IF(INDEX(貸出記録!$B$2:$B$5000,
MATCH($A267,貸出記録!$A$2:$A$5000,0))="","",
INDEX(貸出記録!$B$2:$B$5000,
MATCH($A267,貸出記録!$A$2:$A$5000,0))
),""))</f>
        <v/>
      </c>
      <c r="C267" s="34" t="str">
        <f t="array" ref="C267">IF($A267="","",
IFERROR(IF(INDEX(貸出記録!$C$2:$C$5000,
MATCH($A267,貸出記録!$A$2:$A$5000,0))="","",
INDEX(貸出記録!$C$2:$C$5000,
MATCH($A267,貸出記録!$A$2:$A$5000,0))
),""))</f>
        <v/>
      </c>
      <c r="D267" s="34" t="str">
        <f t="array" ref="D267">IF($A267="","",
IFERROR(IF(INDEX(貸出記録!$D:$D,
MATCH($A267,貸出記録!$A:$A,0))="","",
INDEX(貸出記録!$D:$D,
MATCH($A267,貸出記録!$A:$A,0))
),""))</f>
        <v/>
      </c>
      <c r="E267" s="34" t="str">
        <f t="array" aca="1" ref="E267" ca="1">IF(D267="","",TODAY()-D267&amp;"日")</f>
        <v/>
      </c>
      <c r="F267" s="34" t="str">
        <f t="array" ref="F267">IF($A267="","",
IFERROR(IF(INDEX(貸出記録!$F:$F,
MATCH($A267,貸出記録!$A:$A,0))="","",
INDEX(貸出記録!$F:$F,
MATCH($A267,貸出記録!$A:$A,0))
),""))</f>
        <v/>
      </c>
    </row>
    <row r="268" spans="1:6" ht="15.6">
      <c r="A268" s="34" t="str">
        <f t="array" ref="A268">IFERROR(
INDEX(貸出記録!$A$2:$A$5000,
SMALL(
IF(貸出記録!$E$2:$E$5000="",
ROW(貸出記録!$A$2:$A$5000)-ROW(貸出記録!$A$2)+1),
ROW(A267)
)
),
"")</f>
        <v>BT-0267</v>
      </c>
      <c r="B268" s="34" t="str">
        <f t="array" ref="B268">IF($A268="","",
IFERROR(IF(INDEX(貸出記録!$B$2:$B$5000,
MATCH($A268,貸出記録!$A$2:$A$5000,0))="","",
INDEX(貸出記録!$B$2:$B$5000,
MATCH($A268,貸出記録!$A$2:$A$5000,0))
),""))</f>
        <v/>
      </c>
      <c r="C268" s="34" t="str">
        <f t="array" ref="C268">IF($A268="","",
IFERROR(IF(INDEX(貸出記録!$C$2:$C$5000,
MATCH($A268,貸出記録!$A$2:$A$5000,0))="","",
INDEX(貸出記録!$C$2:$C$5000,
MATCH($A268,貸出記録!$A$2:$A$5000,0))
),""))</f>
        <v/>
      </c>
      <c r="D268" s="34" t="str">
        <f t="array" ref="D268">IF($A268="","",
IFERROR(IF(INDEX(貸出記録!$D:$D,
MATCH($A268,貸出記録!$A:$A,0))="","",
INDEX(貸出記録!$D:$D,
MATCH($A268,貸出記録!$A:$A,0))
),""))</f>
        <v/>
      </c>
      <c r="E268" s="34" t="str">
        <f t="array" aca="1" ref="E268" ca="1">IF(D268="","",TODAY()-D268&amp;"日")</f>
        <v/>
      </c>
      <c r="F268" s="34" t="str">
        <f t="array" ref="F268">IF($A268="","",
IFERROR(IF(INDEX(貸出記録!$F:$F,
MATCH($A268,貸出記録!$A:$A,0))="","",
INDEX(貸出記録!$F:$F,
MATCH($A268,貸出記録!$A:$A,0))
),""))</f>
        <v/>
      </c>
    </row>
    <row r="269" spans="1:6" ht="15.6">
      <c r="A269" s="34" t="str">
        <f t="array" ref="A269">IFERROR(
INDEX(貸出記録!$A$2:$A$5000,
SMALL(
IF(貸出記録!$E$2:$E$5000="",
ROW(貸出記録!$A$2:$A$5000)-ROW(貸出記録!$A$2)+1),
ROW(A268)
)
),
"")</f>
        <v>BT-0268</v>
      </c>
      <c r="B269" s="34" t="str">
        <f t="array" ref="B269">IF($A269="","",
IFERROR(IF(INDEX(貸出記録!$B$2:$B$5000,
MATCH($A269,貸出記録!$A$2:$A$5000,0))="","",
INDEX(貸出記録!$B$2:$B$5000,
MATCH($A269,貸出記録!$A$2:$A$5000,0))
),""))</f>
        <v/>
      </c>
      <c r="C269" s="34" t="str">
        <f t="array" ref="C269">IF($A269="","",
IFERROR(IF(INDEX(貸出記録!$C$2:$C$5000,
MATCH($A269,貸出記録!$A$2:$A$5000,0))="","",
INDEX(貸出記録!$C$2:$C$5000,
MATCH($A269,貸出記録!$A$2:$A$5000,0))
),""))</f>
        <v/>
      </c>
      <c r="D269" s="34" t="str">
        <f t="array" ref="D269">IF($A269="","",
IFERROR(IF(INDEX(貸出記録!$D:$D,
MATCH($A269,貸出記録!$A:$A,0))="","",
INDEX(貸出記録!$D:$D,
MATCH($A269,貸出記録!$A:$A,0))
),""))</f>
        <v/>
      </c>
      <c r="E269" s="34" t="str">
        <f t="array" aca="1" ref="E269" ca="1">IF(D269="","",TODAY()-D269&amp;"日")</f>
        <v/>
      </c>
      <c r="F269" s="34" t="str">
        <f t="array" ref="F269">IF($A269="","",
IFERROR(IF(INDEX(貸出記録!$F:$F,
MATCH($A269,貸出記録!$A:$A,0))="","",
INDEX(貸出記録!$F:$F,
MATCH($A269,貸出記録!$A:$A,0))
),""))</f>
        <v/>
      </c>
    </row>
    <row r="270" spans="1:6" ht="15.6">
      <c r="A270" s="34" t="str">
        <f t="array" ref="A270">IFERROR(
INDEX(貸出記録!$A$2:$A$5000,
SMALL(
IF(貸出記録!$E$2:$E$5000="",
ROW(貸出記録!$A$2:$A$5000)-ROW(貸出記録!$A$2)+1),
ROW(A269)
)
),
"")</f>
        <v>BT-0269</v>
      </c>
      <c r="B270" s="34" t="str">
        <f t="array" ref="B270">IF($A270="","",
IFERROR(IF(INDEX(貸出記録!$B$2:$B$5000,
MATCH($A270,貸出記録!$A$2:$A$5000,0))="","",
INDEX(貸出記録!$B$2:$B$5000,
MATCH($A270,貸出記録!$A$2:$A$5000,0))
),""))</f>
        <v/>
      </c>
      <c r="C270" s="34" t="str">
        <f t="array" ref="C270">IF($A270="","",
IFERROR(IF(INDEX(貸出記録!$C$2:$C$5000,
MATCH($A270,貸出記録!$A$2:$A$5000,0))="","",
INDEX(貸出記録!$C$2:$C$5000,
MATCH($A270,貸出記録!$A$2:$A$5000,0))
),""))</f>
        <v/>
      </c>
      <c r="D270" s="34" t="str">
        <f t="array" ref="D270">IF($A270="","",
IFERROR(IF(INDEX(貸出記録!$D:$D,
MATCH($A270,貸出記録!$A:$A,0))="","",
INDEX(貸出記録!$D:$D,
MATCH($A270,貸出記録!$A:$A,0))
),""))</f>
        <v/>
      </c>
      <c r="E270" s="34" t="str">
        <f t="array" aca="1" ref="E270" ca="1">IF(D270="","",TODAY()-D270&amp;"日")</f>
        <v/>
      </c>
      <c r="F270" s="34" t="str">
        <f t="array" ref="F270">IF($A270="","",
IFERROR(IF(INDEX(貸出記録!$F:$F,
MATCH($A270,貸出記録!$A:$A,0))="","",
INDEX(貸出記録!$F:$F,
MATCH($A270,貸出記録!$A:$A,0))
),""))</f>
        <v/>
      </c>
    </row>
    <row r="271" spans="1:6" ht="15.6">
      <c r="A271" s="34" t="str">
        <f t="array" ref="A271">IFERROR(
INDEX(貸出記録!$A$2:$A$5000,
SMALL(
IF(貸出記録!$E$2:$E$5000="",
ROW(貸出記録!$A$2:$A$5000)-ROW(貸出記録!$A$2)+1),
ROW(A270)
)
),
"")</f>
        <v>BT-0270</v>
      </c>
      <c r="B271" s="34" t="str">
        <f t="array" ref="B271">IF($A271="","",
IFERROR(IF(INDEX(貸出記録!$B$2:$B$5000,
MATCH($A271,貸出記録!$A$2:$A$5000,0))="","",
INDEX(貸出記録!$B$2:$B$5000,
MATCH($A271,貸出記録!$A$2:$A$5000,0))
),""))</f>
        <v/>
      </c>
      <c r="C271" s="34" t="str">
        <f t="array" ref="C271">IF($A271="","",
IFERROR(IF(INDEX(貸出記録!$C$2:$C$5000,
MATCH($A271,貸出記録!$A$2:$A$5000,0))="","",
INDEX(貸出記録!$C$2:$C$5000,
MATCH($A271,貸出記録!$A$2:$A$5000,0))
),""))</f>
        <v/>
      </c>
      <c r="D271" s="34" t="str">
        <f t="array" ref="D271">IF($A271="","",
IFERROR(IF(INDEX(貸出記録!$D:$D,
MATCH($A271,貸出記録!$A:$A,0))="","",
INDEX(貸出記録!$D:$D,
MATCH($A271,貸出記録!$A:$A,0))
),""))</f>
        <v/>
      </c>
      <c r="E271" s="34" t="str">
        <f t="array" aca="1" ref="E271" ca="1">IF(D271="","",TODAY()-D271&amp;"日")</f>
        <v/>
      </c>
      <c r="F271" s="34" t="str">
        <f t="array" ref="F271">IF($A271="","",
IFERROR(IF(INDEX(貸出記録!$F:$F,
MATCH($A271,貸出記録!$A:$A,0))="","",
INDEX(貸出記録!$F:$F,
MATCH($A271,貸出記録!$A:$A,0))
),""))</f>
        <v/>
      </c>
    </row>
    <row r="272" spans="1:6" ht="15.6">
      <c r="A272" s="34" t="str">
        <f t="array" ref="A272">IFERROR(
INDEX(貸出記録!$A$2:$A$5000,
SMALL(
IF(貸出記録!$E$2:$E$5000="",
ROW(貸出記録!$A$2:$A$5000)-ROW(貸出記録!$A$2)+1),
ROW(A271)
)
),
"")</f>
        <v>BT-0271</v>
      </c>
      <c r="B272" s="34" t="str">
        <f t="array" ref="B272">IF($A272="","",
IFERROR(IF(INDEX(貸出記録!$B$2:$B$5000,
MATCH($A272,貸出記録!$A$2:$A$5000,0))="","",
INDEX(貸出記録!$B$2:$B$5000,
MATCH($A272,貸出記録!$A$2:$A$5000,0))
),""))</f>
        <v/>
      </c>
      <c r="C272" s="34" t="str">
        <f t="array" ref="C272">IF($A272="","",
IFERROR(IF(INDEX(貸出記録!$C$2:$C$5000,
MATCH($A272,貸出記録!$A$2:$A$5000,0))="","",
INDEX(貸出記録!$C$2:$C$5000,
MATCH($A272,貸出記録!$A$2:$A$5000,0))
),""))</f>
        <v/>
      </c>
      <c r="D272" s="34" t="str">
        <f t="array" ref="D272">IF($A272="","",
IFERROR(IF(INDEX(貸出記録!$D:$D,
MATCH($A272,貸出記録!$A:$A,0))="","",
INDEX(貸出記録!$D:$D,
MATCH($A272,貸出記録!$A:$A,0))
),""))</f>
        <v/>
      </c>
      <c r="E272" s="34" t="str">
        <f t="array" aca="1" ref="E272" ca="1">IF(D272="","",TODAY()-D272&amp;"日")</f>
        <v/>
      </c>
      <c r="F272" s="34" t="str">
        <f t="array" ref="F272">IF($A272="","",
IFERROR(IF(INDEX(貸出記録!$F:$F,
MATCH($A272,貸出記録!$A:$A,0))="","",
INDEX(貸出記録!$F:$F,
MATCH($A272,貸出記録!$A:$A,0))
),""))</f>
        <v/>
      </c>
    </row>
    <row r="273" spans="1:6" ht="15.6">
      <c r="A273" s="34" t="str">
        <f t="array" ref="A273">IFERROR(
INDEX(貸出記録!$A$2:$A$5000,
SMALL(
IF(貸出記録!$E$2:$E$5000="",
ROW(貸出記録!$A$2:$A$5000)-ROW(貸出記録!$A$2)+1),
ROW(A272)
)
),
"")</f>
        <v>BT-0272</v>
      </c>
      <c r="B273" s="34" t="str">
        <f t="array" ref="B273">IF($A273="","",
IFERROR(IF(INDEX(貸出記録!$B$2:$B$5000,
MATCH($A273,貸出記録!$A$2:$A$5000,0))="","",
INDEX(貸出記録!$B$2:$B$5000,
MATCH($A273,貸出記録!$A$2:$A$5000,0))
),""))</f>
        <v/>
      </c>
      <c r="C273" s="34" t="str">
        <f t="array" ref="C273">IF($A273="","",
IFERROR(IF(INDEX(貸出記録!$C$2:$C$5000,
MATCH($A273,貸出記録!$A$2:$A$5000,0))="","",
INDEX(貸出記録!$C$2:$C$5000,
MATCH($A273,貸出記録!$A$2:$A$5000,0))
),""))</f>
        <v/>
      </c>
      <c r="D273" s="34" t="str">
        <f t="array" ref="D273">IF($A273="","",
IFERROR(IF(INDEX(貸出記録!$D:$D,
MATCH($A273,貸出記録!$A:$A,0))="","",
INDEX(貸出記録!$D:$D,
MATCH($A273,貸出記録!$A:$A,0))
),""))</f>
        <v/>
      </c>
      <c r="E273" s="34" t="str">
        <f t="array" aca="1" ref="E273" ca="1">IF(D273="","",TODAY()-D273&amp;"日")</f>
        <v/>
      </c>
      <c r="F273" s="34" t="str">
        <f t="array" ref="F273">IF($A273="","",
IFERROR(IF(INDEX(貸出記録!$F:$F,
MATCH($A273,貸出記録!$A:$A,0))="","",
INDEX(貸出記録!$F:$F,
MATCH($A273,貸出記録!$A:$A,0))
),""))</f>
        <v/>
      </c>
    </row>
    <row r="274" spans="1:6" ht="15.6">
      <c r="A274" s="34" t="str">
        <f t="array" ref="A274">IFERROR(
INDEX(貸出記録!$A$2:$A$5000,
SMALL(
IF(貸出記録!$E$2:$E$5000="",
ROW(貸出記録!$A$2:$A$5000)-ROW(貸出記録!$A$2)+1),
ROW(A273)
)
),
"")</f>
        <v>BT-0273</v>
      </c>
      <c r="B274" s="34" t="str">
        <f t="array" ref="B274">IF($A274="","",
IFERROR(IF(INDEX(貸出記録!$B$2:$B$5000,
MATCH($A274,貸出記録!$A$2:$A$5000,0))="","",
INDEX(貸出記録!$B$2:$B$5000,
MATCH($A274,貸出記録!$A$2:$A$5000,0))
),""))</f>
        <v/>
      </c>
      <c r="C274" s="34" t="str">
        <f t="array" ref="C274">IF($A274="","",
IFERROR(IF(INDEX(貸出記録!$C$2:$C$5000,
MATCH($A274,貸出記録!$A$2:$A$5000,0))="","",
INDEX(貸出記録!$C$2:$C$5000,
MATCH($A274,貸出記録!$A$2:$A$5000,0))
),""))</f>
        <v/>
      </c>
      <c r="D274" s="34" t="str">
        <f t="array" ref="D274">IF($A274="","",
IFERROR(IF(INDEX(貸出記録!$D:$D,
MATCH($A274,貸出記録!$A:$A,0))="","",
INDEX(貸出記録!$D:$D,
MATCH($A274,貸出記録!$A:$A,0))
),""))</f>
        <v/>
      </c>
      <c r="E274" s="34" t="str">
        <f t="array" aca="1" ref="E274" ca="1">IF(D274="","",TODAY()-D274&amp;"日")</f>
        <v/>
      </c>
      <c r="F274" s="34" t="str">
        <f t="array" ref="F274">IF($A274="","",
IFERROR(IF(INDEX(貸出記録!$F:$F,
MATCH($A274,貸出記録!$A:$A,0))="","",
INDEX(貸出記録!$F:$F,
MATCH($A274,貸出記録!$A:$A,0))
),""))</f>
        <v/>
      </c>
    </row>
    <row r="275" spans="1:6" ht="15.6">
      <c r="A275" s="34" t="str">
        <f t="array" ref="A275">IFERROR(
INDEX(貸出記録!$A$2:$A$5000,
SMALL(
IF(貸出記録!$E$2:$E$5000="",
ROW(貸出記録!$A$2:$A$5000)-ROW(貸出記録!$A$2)+1),
ROW(A274)
)
),
"")</f>
        <v>BT-0274</v>
      </c>
      <c r="B275" s="34" t="str">
        <f t="array" ref="B275">IF($A275="","",
IFERROR(IF(INDEX(貸出記録!$B$2:$B$5000,
MATCH($A275,貸出記録!$A$2:$A$5000,0))="","",
INDEX(貸出記録!$B$2:$B$5000,
MATCH($A275,貸出記録!$A$2:$A$5000,0))
),""))</f>
        <v/>
      </c>
      <c r="C275" s="34" t="str">
        <f t="array" ref="C275">IF($A275="","",
IFERROR(IF(INDEX(貸出記録!$C$2:$C$5000,
MATCH($A275,貸出記録!$A$2:$A$5000,0))="","",
INDEX(貸出記録!$C$2:$C$5000,
MATCH($A275,貸出記録!$A$2:$A$5000,0))
),""))</f>
        <v/>
      </c>
      <c r="D275" s="34" t="str">
        <f t="array" ref="D275">IF($A275="","",
IFERROR(IF(INDEX(貸出記録!$D:$D,
MATCH($A275,貸出記録!$A:$A,0))="","",
INDEX(貸出記録!$D:$D,
MATCH($A275,貸出記録!$A:$A,0))
),""))</f>
        <v/>
      </c>
      <c r="E275" s="34" t="str">
        <f t="array" aca="1" ref="E275" ca="1">IF(D275="","",TODAY()-D275&amp;"日")</f>
        <v/>
      </c>
      <c r="F275" s="34" t="str">
        <f t="array" ref="F275">IF($A275="","",
IFERROR(IF(INDEX(貸出記録!$F:$F,
MATCH($A275,貸出記録!$A:$A,0))="","",
INDEX(貸出記録!$F:$F,
MATCH($A275,貸出記録!$A:$A,0))
),""))</f>
        <v/>
      </c>
    </row>
    <row r="276" spans="1:6" ht="15.6">
      <c r="A276" s="34" t="str">
        <f t="array" ref="A276">IFERROR(
INDEX(貸出記録!$A$2:$A$5000,
SMALL(
IF(貸出記録!$E$2:$E$5000="",
ROW(貸出記録!$A$2:$A$5000)-ROW(貸出記録!$A$2)+1),
ROW(A275)
)
),
"")</f>
        <v>BT-0275</v>
      </c>
      <c r="B276" s="34" t="str">
        <f t="array" ref="B276">IF($A276="","",
IFERROR(IF(INDEX(貸出記録!$B$2:$B$5000,
MATCH($A276,貸出記録!$A$2:$A$5000,0))="","",
INDEX(貸出記録!$B$2:$B$5000,
MATCH($A276,貸出記録!$A$2:$A$5000,0))
),""))</f>
        <v/>
      </c>
      <c r="C276" s="34" t="str">
        <f t="array" ref="C276">IF($A276="","",
IFERROR(IF(INDEX(貸出記録!$C$2:$C$5000,
MATCH($A276,貸出記録!$A$2:$A$5000,0))="","",
INDEX(貸出記録!$C$2:$C$5000,
MATCH($A276,貸出記録!$A$2:$A$5000,0))
),""))</f>
        <v/>
      </c>
      <c r="D276" s="34" t="str">
        <f t="array" ref="D276">IF($A276="","",
IFERROR(IF(INDEX(貸出記録!$D:$D,
MATCH($A276,貸出記録!$A:$A,0))="","",
INDEX(貸出記録!$D:$D,
MATCH($A276,貸出記録!$A:$A,0))
),""))</f>
        <v/>
      </c>
      <c r="E276" s="34" t="str">
        <f t="array" aca="1" ref="E276" ca="1">IF(D276="","",TODAY()-D276&amp;"日")</f>
        <v/>
      </c>
      <c r="F276" s="34" t="str">
        <f t="array" ref="F276">IF($A276="","",
IFERROR(IF(INDEX(貸出記録!$F:$F,
MATCH($A276,貸出記録!$A:$A,0))="","",
INDEX(貸出記録!$F:$F,
MATCH($A276,貸出記録!$A:$A,0))
),""))</f>
        <v/>
      </c>
    </row>
    <row r="277" spans="1:6" ht="15.6">
      <c r="A277" s="34" t="str">
        <f t="array" ref="A277">IFERROR(
INDEX(貸出記録!$A$2:$A$5000,
SMALL(
IF(貸出記録!$E$2:$E$5000="",
ROW(貸出記録!$A$2:$A$5000)-ROW(貸出記録!$A$2)+1),
ROW(A276)
)
),
"")</f>
        <v>BT-0276</v>
      </c>
      <c r="B277" s="34" t="str">
        <f t="array" ref="B277">IF($A277="","",
IFERROR(IF(INDEX(貸出記録!$B$2:$B$5000,
MATCH($A277,貸出記録!$A$2:$A$5000,0))="","",
INDEX(貸出記録!$B$2:$B$5000,
MATCH($A277,貸出記録!$A$2:$A$5000,0))
),""))</f>
        <v/>
      </c>
      <c r="C277" s="34" t="str">
        <f t="array" ref="C277">IF($A277="","",
IFERROR(IF(INDEX(貸出記録!$C$2:$C$5000,
MATCH($A277,貸出記録!$A$2:$A$5000,0))="","",
INDEX(貸出記録!$C$2:$C$5000,
MATCH($A277,貸出記録!$A$2:$A$5000,0))
),""))</f>
        <v/>
      </c>
      <c r="D277" s="34" t="str">
        <f t="array" ref="D277">IF($A277="","",
IFERROR(IF(INDEX(貸出記録!$D:$D,
MATCH($A277,貸出記録!$A:$A,0))="","",
INDEX(貸出記録!$D:$D,
MATCH($A277,貸出記録!$A:$A,0))
),""))</f>
        <v/>
      </c>
      <c r="E277" s="34" t="str">
        <f t="array" aca="1" ref="E277" ca="1">IF(D277="","",TODAY()-D277&amp;"日")</f>
        <v/>
      </c>
      <c r="F277" s="34" t="str">
        <f t="array" ref="F277">IF($A277="","",
IFERROR(IF(INDEX(貸出記録!$F:$F,
MATCH($A277,貸出記録!$A:$A,0))="","",
INDEX(貸出記録!$F:$F,
MATCH($A277,貸出記録!$A:$A,0))
),""))</f>
        <v/>
      </c>
    </row>
    <row r="278" spans="1:6" ht="15.6">
      <c r="A278" s="34" t="str">
        <f t="array" ref="A278">IFERROR(
INDEX(貸出記録!$A$2:$A$5000,
SMALL(
IF(貸出記録!$E$2:$E$5000="",
ROW(貸出記録!$A$2:$A$5000)-ROW(貸出記録!$A$2)+1),
ROW(A277)
)
),
"")</f>
        <v>BT-0277</v>
      </c>
      <c r="B278" s="34" t="str">
        <f t="array" ref="B278">IF($A278="","",
IFERROR(IF(INDEX(貸出記録!$B$2:$B$5000,
MATCH($A278,貸出記録!$A$2:$A$5000,0))="","",
INDEX(貸出記録!$B$2:$B$5000,
MATCH($A278,貸出記録!$A$2:$A$5000,0))
),""))</f>
        <v/>
      </c>
      <c r="C278" s="34" t="str">
        <f t="array" ref="C278">IF($A278="","",
IFERROR(IF(INDEX(貸出記録!$C$2:$C$5000,
MATCH($A278,貸出記録!$A$2:$A$5000,0))="","",
INDEX(貸出記録!$C$2:$C$5000,
MATCH($A278,貸出記録!$A$2:$A$5000,0))
),""))</f>
        <v/>
      </c>
      <c r="D278" s="34" t="str">
        <f t="array" ref="D278">IF($A278="","",
IFERROR(IF(INDEX(貸出記録!$D:$D,
MATCH($A278,貸出記録!$A:$A,0))="","",
INDEX(貸出記録!$D:$D,
MATCH($A278,貸出記録!$A:$A,0))
),""))</f>
        <v/>
      </c>
      <c r="E278" s="34" t="str">
        <f t="array" aca="1" ref="E278" ca="1">IF(D278="","",TODAY()-D278&amp;"日")</f>
        <v/>
      </c>
      <c r="F278" s="34" t="str">
        <f t="array" ref="F278">IF($A278="","",
IFERROR(IF(INDEX(貸出記録!$F:$F,
MATCH($A278,貸出記録!$A:$A,0))="","",
INDEX(貸出記録!$F:$F,
MATCH($A278,貸出記録!$A:$A,0))
),""))</f>
        <v/>
      </c>
    </row>
    <row r="279" spans="1:6" ht="15.6">
      <c r="A279" s="34" t="str">
        <f t="array" ref="A279">IFERROR(
INDEX(貸出記録!$A$2:$A$5000,
SMALL(
IF(貸出記録!$E$2:$E$5000="",
ROW(貸出記録!$A$2:$A$5000)-ROW(貸出記録!$A$2)+1),
ROW(A278)
)
),
"")</f>
        <v>BT-0278</v>
      </c>
      <c r="B279" s="34" t="str">
        <f t="array" ref="B279">IF($A279="","",
IFERROR(IF(INDEX(貸出記録!$B$2:$B$5000,
MATCH($A279,貸出記録!$A$2:$A$5000,0))="","",
INDEX(貸出記録!$B$2:$B$5000,
MATCH($A279,貸出記録!$A$2:$A$5000,0))
),""))</f>
        <v/>
      </c>
      <c r="C279" s="34" t="str">
        <f t="array" ref="C279">IF($A279="","",
IFERROR(IF(INDEX(貸出記録!$C$2:$C$5000,
MATCH($A279,貸出記録!$A$2:$A$5000,0))="","",
INDEX(貸出記録!$C$2:$C$5000,
MATCH($A279,貸出記録!$A$2:$A$5000,0))
),""))</f>
        <v/>
      </c>
      <c r="D279" s="34" t="str">
        <f t="array" ref="D279">IF($A279="","",
IFERROR(IF(INDEX(貸出記録!$D:$D,
MATCH($A279,貸出記録!$A:$A,0))="","",
INDEX(貸出記録!$D:$D,
MATCH($A279,貸出記録!$A:$A,0))
),""))</f>
        <v/>
      </c>
      <c r="E279" s="34" t="str">
        <f t="array" aca="1" ref="E279" ca="1">IF(D279="","",TODAY()-D279&amp;"日")</f>
        <v/>
      </c>
      <c r="F279" s="34" t="str">
        <f t="array" ref="F279">IF($A279="","",
IFERROR(IF(INDEX(貸出記録!$F:$F,
MATCH($A279,貸出記録!$A:$A,0))="","",
INDEX(貸出記録!$F:$F,
MATCH($A279,貸出記録!$A:$A,0))
),""))</f>
        <v/>
      </c>
    </row>
    <row r="280" spans="1:6" ht="15.6">
      <c r="A280" s="34" t="str">
        <f t="array" ref="A280">IFERROR(
INDEX(貸出記録!$A$2:$A$5000,
SMALL(
IF(貸出記録!$E$2:$E$5000="",
ROW(貸出記録!$A$2:$A$5000)-ROW(貸出記録!$A$2)+1),
ROW(A279)
)
),
"")</f>
        <v>BT-0279</v>
      </c>
      <c r="B280" s="34" t="str">
        <f t="array" ref="B280">IF($A280="","",
IFERROR(IF(INDEX(貸出記録!$B$2:$B$5000,
MATCH($A280,貸出記録!$A$2:$A$5000,0))="","",
INDEX(貸出記録!$B$2:$B$5000,
MATCH($A280,貸出記録!$A$2:$A$5000,0))
),""))</f>
        <v/>
      </c>
      <c r="C280" s="34" t="str">
        <f t="array" ref="C280">IF($A280="","",
IFERROR(IF(INDEX(貸出記録!$C$2:$C$5000,
MATCH($A280,貸出記録!$A$2:$A$5000,0))="","",
INDEX(貸出記録!$C$2:$C$5000,
MATCH($A280,貸出記録!$A$2:$A$5000,0))
),""))</f>
        <v/>
      </c>
      <c r="D280" s="34" t="str">
        <f t="array" ref="D280">IF($A280="","",
IFERROR(IF(INDEX(貸出記録!$D:$D,
MATCH($A280,貸出記録!$A:$A,0))="","",
INDEX(貸出記録!$D:$D,
MATCH($A280,貸出記録!$A:$A,0))
),""))</f>
        <v/>
      </c>
      <c r="E280" s="34" t="str">
        <f t="array" aca="1" ref="E280" ca="1">IF(D280="","",TODAY()-D280&amp;"日")</f>
        <v/>
      </c>
      <c r="F280" s="34" t="str">
        <f t="array" ref="F280">IF($A280="","",
IFERROR(IF(INDEX(貸出記録!$F:$F,
MATCH($A280,貸出記録!$A:$A,0))="","",
INDEX(貸出記録!$F:$F,
MATCH($A280,貸出記録!$A:$A,0))
),""))</f>
        <v/>
      </c>
    </row>
    <row r="281" spans="1:6" ht="15.6">
      <c r="A281" s="34" t="str">
        <f t="array" ref="A281">IFERROR(
INDEX(貸出記録!$A$2:$A$5000,
SMALL(
IF(貸出記録!$E$2:$E$5000="",
ROW(貸出記録!$A$2:$A$5000)-ROW(貸出記録!$A$2)+1),
ROW(A280)
)
),
"")</f>
        <v>BT-0280</v>
      </c>
      <c r="B281" s="34" t="str">
        <f t="array" ref="B281">IF($A281="","",
IFERROR(IF(INDEX(貸出記録!$B$2:$B$5000,
MATCH($A281,貸出記録!$A$2:$A$5000,0))="","",
INDEX(貸出記録!$B$2:$B$5000,
MATCH($A281,貸出記録!$A$2:$A$5000,0))
),""))</f>
        <v/>
      </c>
      <c r="C281" s="34" t="str">
        <f t="array" ref="C281">IF($A281="","",
IFERROR(IF(INDEX(貸出記録!$C$2:$C$5000,
MATCH($A281,貸出記録!$A$2:$A$5000,0))="","",
INDEX(貸出記録!$C$2:$C$5000,
MATCH($A281,貸出記録!$A$2:$A$5000,0))
),""))</f>
        <v/>
      </c>
      <c r="D281" s="34" t="str">
        <f t="array" ref="D281">IF($A281="","",
IFERROR(IF(INDEX(貸出記録!$D:$D,
MATCH($A281,貸出記録!$A:$A,0))="","",
INDEX(貸出記録!$D:$D,
MATCH($A281,貸出記録!$A:$A,0))
),""))</f>
        <v/>
      </c>
      <c r="E281" s="34" t="str">
        <f t="array" aca="1" ref="E281" ca="1">IF(D281="","",TODAY()-D281&amp;"日")</f>
        <v/>
      </c>
      <c r="F281" s="34" t="str">
        <f t="array" ref="F281">IF($A281="","",
IFERROR(IF(INDEX(貸出記録!$F:$F,
MATCH($A281,貸出記録!$A:$A,0))="","",
INDEX(貸出記録!$F:$F,
MATCH($A281,貸出記録!$A:$A,0))
),""))</f>
        <v/>
      </c>
    </row>
    <row r="282" spans="1:6" ht="15.6">
      <c r="A282" s="34" t="str">
        <f t="array" ref="A282">IFERROR(
INDEX(貸出記録!$A$2:$A$5000,
SMALL(
IF(貸出記録!$E$2:$E$5000="",
ROW(貸出記録!$A$2:$A$5000)-ROW(貸出記録!$A$2)+1),
ROW(A281)
)
),
"")</f>
        <v>BT-0281</v>
      </c>
      <c r="B282" s="34" t="str">
        <f t="array" ref="B282">IF($A282="","",
IFERROR(IF(INDEX(貸出記録!$B$2:$B$5000,
MATCH($A282,貸出記録!$A$2:$A$5000,0))="","",
INDEX(貸出記録!$B$2:$B$5000,
MATCH($A282,貸出記録!$A$2:$A$5000,0))
),""))</f>
        <v/>
      </c>
      <c r="C282" s="34" t="str">
        <f t="array" ref="C282">IF($A282="","",
IFERROR(IF(INDEX(貸出記録!$C$2:$C$5000,
MATCH($A282,貸出記録!$A$2:$A$5000,0))="","",
INDEX(貸出記録!$C$2:$C$5000,
MATCH($A282,貸出記録!$A$2:$A$5000,0))
),""))</f>
        <v/>
      </c>
      <c r="D282" s="34" t="str">
        <f t="array" ref="D282">IF($A282="","",
IFERROR(IF(INDEX(貸出記録!$D:$D,
MATCH($A282,貸出記録!$A:$A,0))="","",
INDEX(貸出記録!$D:$D,
MATCH($A282,貸出記録!$A:$A,0))
),""))</f>
        <v/>
      </c>
      <c r="E282" s="34" t="str">
        <f t="array" aca="1" ref="E282" ca="1">IF(D282="","",TODAY()-D282&amp;"日")</f>
        <v/>
      </c>
      <c r="F282" s="34" t="str">
        <f t="array" ref="F282">IF($A282="","",
IFERROR(IF(INDEX(貸出記録!$F:$F,
MATCH($A282,貸出記録!$A:$A,0))="","",
INDEX(貸出記録!$F:$F,
MATCH($A282,貸出記録!$A:$A,0))
),""))</f>
        <v/>
      </c>
    </row>
    <row r="283" spans="1:6" ht="15.6">
      <c r="A283" s="34" t="str">
        <f t="array" ref="A283">IFERROR(
INDEX(貸出記録!$A$2:$A$5000,
SMALL(
IF(貸出記録!$E$2:$E$5000="",
ROW(貸出記録!$A$2:$A$5000)-ROW(貸出記録!$A$2)+1),
ROW(A282)
)
),
"")</f>
        <v>BT-0282</v>
      </c>
      <c r="B283" s="34" t="str">
        <f t="array" ref="B283">IF($A283="","",
IFERROR(IF(INDEX(貸出記録!$B$2:$B$5000,
MATCH($A283,貸出記録!$A$2:$A$5000,0))="","",
INDEX(貸出記録!$B$2:$B$5000,
MATCH($A283,貸出記録!$A$2:$A$5000,0))
),""))</f>
        <v/>
      </c>
      <c r="C283" s="34" t="str">
        <f t="array" ref="C283">IF($A283="","",
IFERROR(IF(INDEX(貸出記録!$C$2:$C$5000,
MATCH($A283,貸出記録!$A$2:$A$5000,0))="","",
INDEX(貸出記録!$C$2:$C$5000,
MATCH($A283,貸出記録!$A$2:$A$5000,0))
),""))</f>
        <v/>
      </c>
      <c r="D283" s="34" t="str">
        <f t="array" ref="D283">IF($A283="","",
IFERROR(IF(INDEX(貸出記録!$D:$D,
MATCH($A283,貸出記録!$A:$A,0))="","",
INDEX(貸出記録!$D:$D,
MATCH($A283,貸出記録!$A:$A,0))
),""))</f>
        <v/>
      </c>
      <c r="E283" s="34" t="str">
        <f t="array" aca="1" ref="E283" ca="1">IF(D283="","",TODAY()-D283&amp;"日")</f>
        <v/>
      </c>
      <c r="F283" s="34" t="str">
        <f t="array" ref="F283">IF($A283="","",
IFERROR(IF(INDEX(貸出記録!$F:$F,
MATCH($A283,貸出記録!$A:$A,0))="","",
INDEX(貸出記録!$F:$F,
MATCH($A283,貸出記録!$A:$A,0))
),""))</f>
        <v/>
      </c>
    </row>
    <row r="284" spans="1:6" ht="15.6">
      <c r="A284" s="34" t="str">
        <f t="array" ref="A284">IFERROR(
INDEX(貸出記録!$A$2:$A$5000,
SMALL(
IF(貸出記録!$E$2:$E$5000="",
ROW(貸出記録!$A$2:$A$5000)-ROW(貸出記録!$A$2)+1),
ROW(A283)
)
),
"")</f>
        <v>BT-0283</v>
      </c>
      <c r="B284" s="34" t="str">
        <f t="array" ref="B284">IF($A284="","",
IFERROR(IF(INDEX(貸出記録!$B$2:$B$5000,
MATCH($A284,貸出記録!$A$2:$A$5000,0))="","",
INDEX(貸出記録!$B$2:$B$5000,
MATCH($A284,貸出記録!$A$2:$A$5000,0))
),""))</f>
        <v/>
      </c>
      <c r="C284" s="34" t="str">
        <f t="array" ref="C284">IF($A284="","",
IFERROR(IF(INDEX(貸出記録!$C$2:$C$5000,
MATCH($A284,貸出記録!$A$2:$A$5000,0))="","",
INDEX(貸出記録!$C$2:$C$5000,
MATCH($A284,貸出記録!$A$2:$A$5000,0))
),""))</f>
        <v/>
      </c>
      <c r="D284" s="34" t="str">
        <f t="array" ref="D284">IF($A284="","",
IFERROR(IF(INDEX(貸出記録!$D:$D,
MATCH($A284,貸出記録!$A:$A,0))="","",
INDEX(貸出記録!$D:$D,
MATCH($A284,貸出記録!$A:$A,0))
),""))</f>
        <v/>
      </c>
      <c r="E284" s="34" t="str">
        <f t="array" aca="1" ref="E284" ca="1">IF(D284="","",TODAY()-D284&amp;"日")</f>
        <v/>
      </c>
      <c r="F284" s="34" t="str">
        <f t="array" ref="F284">IF($A284="","",
IFERROR(IF(INDEX(貸出記録!$F:$F,
MATCH($A284,貸出記録!$A:$A,0))="","",
INDEX(貸出記録!$F:$F,
MATCH($A284,貸出記録!$A:$A,0))
),""))</f>
        <v/>
      </c>
    </row>
    <row r="285" spans="1:6" ht="15.6">
      <c r="A285" s="34" t="str">
        <f t="array" ref="A285">IFERROR(
INDEX(貸出記録!$A$2:$A$5000,
SMALL(
IF(貸出記録!$E$2:$E$5000="",
ROW(貸出記録!$A$2:$A$5000)-ROW(貸出記録!$A$2)+1),
ROW(A284)
)
),
"")</f>
        <v>BT-0284</v>
      </c>
      <c r="B285" s="34" t="str">
        <f t="array" ref="B285">IF($A285="","",
IFERROR(IF(INDEX(貸出記録!$B$2:$B$5000,
MATCH($A285,貸出記録!$A$2:$A$5000,0))="","",
INDEX(貸出記録!$B$2:$B$5000,
MATCH($A285,貸出記録!$A$2:$A$5000,0))
),""))</f>
        <v/>
      </c>
      <c r="C285" s="34" t="str">
        <f t="array" ref="C285">IF($A285="","",
IFERROR(IF(INDEX(貸出記録!$C$2:$C$5000,
MATCH($A285,貸出記録!$A$2:$A$5000,0))="","",
INDEX(貸出記録!$C$2:$C$5000,
MATCH($A285,貸出記録!$A$2:$A$5000,0))
),""))</f>
        <v/>
      </c>
      <c r="D285" s="34" t="str">
        <f t="array" ref="D285">IF($A285="","",
IFERROR(IF(INDEX(貸出記録!$D:$D,
MATCH($A285,貸出記録!$A:$A,0))="","",
INDEX(貸出記録!$D:$D,
MATCH($A285,貸出記録!$A:$A,0))
),""))</f>
        <v/>
      </c>
      <c r="E285" s="34" t="str">
        <f t="array" aca="1" ref="E285" ca="1">IF(D285="","",TODAY()-D285&amp;"日")</f>
        <v/>
      </c>
      <c r="F285" s="34" t="str">
        <f t="array" ref="F285">IF($A285="","",
IFERROR(IF(INDEX(貸出記録!$F:$F,
MATCH($A285,貸出記録!$A:$A,0))="","",
INDEX(貸出記録!$F:$F,
MATCH($A285,貸出記録!$A:$A,0))
),""))</f>
        <v/>
      </c>
    </row>
    <row r="286" spans="1:6" ht="15.6">
      <c r="A286" s="34" t="str">
        <f t="array" ref="A286">IFERROR(
INDEX(貸出記録!$A$2:$A$5000,
SMALL(
IF(貸出記録!$E$2:$E$5000="",
ROW(貸出記録!$A$2:$A$5000)-ROW(貸出記録!$A$2)+1),
ROW(A285)
)
),
"")</f>
        <v>BT-0285</v>
      </c>
      <c r="B286" s="34" t="str">
        <f t="array" ref="B286">IF($A286="","",
IFERROR(IF(INDEX(貸出記録!$B$2:$B$5000,
MATCH($A286,貸出記録!$A$2:$A$5000,0))="","",
INDEX(貸出記録!$B$2:$B$5000,
MATCH($A286,貸出記録!$A$2:$A$5000,0))
),""))</f>
        <v/>
      </c>
      <c r="C286" s="34" t="str">
        <f t="array" ref="C286">IF($A286="","",
IFERROR(IF(INDEX(貸出記録!$C$2:$C$5000,
MATCH($A286,貸出記録!$A$2:$A$5000,0))="","",
INDEX(貸出記録!$C$2:$C$5000,
MATCH($A286,貸出記録!$A$2:$A$5000,0))
),""))</f>
        <v/>
      </c>
      <c r="D286" s="34" t="str">
        <f t="array" ref="D286">IF($A286="","",
IFERROR(IF(INDEX(貸出記録!$D:$D,
MATCH($A286,貸出記録!$A:$A,0))="","",
INDEX(貸出記録!$D:$D,
MATCH($A286,貸出記録!$A:$A,0))
),""))</f>
        <v/>
      </c>
      <c r="E286" s="34" t="str">
        <f t="array" aca="1" ref="E286" ca="1">IF(D286="","",TODAY()-D286&amp;"日")</f>
        <v/>
      </c>
      <c r="F286" s="34" t="str">
        <f t="array" ref="F286">IF($A286="","",
IFERROR(IF(INDEX(貸出記録!$F:$F,
MATCH($A286,貸出記録!$A:$A,0))="","",
INDEX(貸出記録!$F:$F,
MATCH($A286,貸出記録!$A:$A,0))
),""))</f>
        <v/>
      </c>
    </row>
    <row r="287" spans="1:6" ht="15.6">
      <c r="A287" s="34" t="str">
        <f t="array" ref="A287">IFERROR(
INDEX(貸出記録!$A$2:$A$5000,
SMALL(
IF(貸出記録!$E$2:$E$5000="",
ROW(貸出記録!$A$2:$A$5000)-ROW(貸出記録!$A$2)+1),
ROW(A286)
)
),
"")</f>
        <v>BT-0286</v>
      </c>
      <c r="B287" s="34" t="str">
        <f t="array" ref="B287">IF($A287="","",
IFERROR(IF(INDEX(貸出記録!$B$2:$B$5000,
MATCH($A287,貸出記録!$A$2:$A$5000,0))="","",
INDEX(貸出記録!$B$2:$B$5000,
MATCH($A287,貸出記録!$A$2:$A$5000,0))
),""))</f>
        <v/>
      </c>
      <c r="C287" s="34" t="str">
        <f t="array" ref="C287">IF($A287="","",
IFERROR(IF(INDEX(貸出記録!$C$2:$C$5000,
MATCH($A287,貸出記録!$A$2:$A$5000,0))="","",
INDEX(貸出記録!$C$2:$C$5000,
MATCH($A287,貸出記録!$A$2:$A$5000,0))
),""))</f>
        <v/>
      </c>
      <c r="D287" s="34" t="str">
        <f t="array" ref="D287">IF($A287="","",
IFERROR(IF(INDEX(貸出記録!$D:$D,
MATCH($A287,貸出記録!$A:$A,0))="","",
INDEX(貸出記録!$D:$D,
MATCH($A287,貸出記録!$A:$A,0))
),""))</f>
        <v/>
      </c>
      <c r="E287" s="34" t="str">
        <f t="array" aca="1" ref="E287" ca="1">IF(D287="","",TODAY()-D287&amp;"日")</f>
        <v/>
      </c>
      <c r="F287" s="34" t="str">
        <f t="array" ref="F287">IF($A287="","",
IFERROR(IF(INDEX(貸出記録!$F:$F,
MATCH($A287,貸出記録!$A:$A,0))="","",
INDEX(貸出記録!$F:$F,
MATCH($A287,貸出記録!$A:$A,0))
),""))</f>
        <v/>
      </c>
    </row>
    <row r="288" spans="1:6" ht="15.6">
      <c r="A288" s="34" t="str">
        <f t="array" ref="A288">IFERROR(
INDEX(貸出記録!$A$2:$A$5000,
SMALL(
IF(貸出記録!$E$2:$E$5000="",
ROW(貸出記録!$A$2:$A$5000)-ROW(貸出記録!$A$2)+1),
ROW(A287)
)
),
"")</f>
        <v>BT-0287</v>
      </c>
      <c r="B288" s="34" t="str">
        <f t="array" ref="B288">IF($A288="","",
IFERROR(IF(INDEX(貸出記録!$B$2:$B$5000,
MATCH($A288,貸出記録!$A$2:$A$5000,0))="","",
INDEX(貸出記録!$B$2:$B$5000,
MATCH($A288,貸出記録!$A$2:$A$5000,0))
),""))</f>
        <v/>
      </c>
      <c r="C288" s="34" t="str">
        <f t="array" ref="C288">IF($A288="","",
IFERROR(IF(INDEX(貸出記録!$C$2:$C$5000,
MATCH($A288,貸出記録!$A$2:$A$5000,0))="","",
INDEX(貸出記録!$C$2:$C$5000,
MATCH($A288,貸出記録!$A$2:$A$5000,0))
),""))</f>
        <v/>
      </c>
      <c r="D288" s="34" t="str">
        <f t="array" ref="D288">IF($A288="","",
IFERROR(IF(INDEX(貸出記録!$D:$D,
MATCH($A288,貸出記録!$A:$A,0))="","",
INDEX(貸出記録!$D:$D,
MATCH($A288,貸出記録!$A:$A,0))
),""))</f>
        <v/>
      </c>
      <c r="E288" s="34" t="str">
        <f t="array" aca="1" ref="E288" ca="1">IF(D288="","",TODAY()-D288&amp;"日")</f>
        <v/>
      </c>
      <c r="F288" s="34" t="str">
        <f t="array" ref="F288">IF($A288="","",
IFERROR(IF(INDEX(貸出記録!$F:$F,
MATCH($A288,貸出記録!$A:$A,0))="","",
INDEX(貸出記録!$F:$F,
MATCH($A288,貸出記録!$A:$A,0))
),""))</f>
        <v/>
      </c>
    </row>
    <row r="289" spans="1:6" ht="15.6">
      <c r="A289" s="34" t="str">
        <f t="array" ref="A289">IFERROR(
INDEX(貸出記録!$A$2:$A$5000,
SMALL(
IF(貸出記録!$E$2:$E$5000="",
ROW(貸出記録!$A$2:$A$5000)-ROW(貸出記録!$A$2)+1),
ROW(A288)
)
),
"")</f>
        <v>BT-0288</v>
      </c>
      <c r="B289" s="34" t="str">
        <f t="array" ref="B289">IF($A289="","",
IFERROR(IF(INDEX(貸出記録!$B$2:$B$5000,
MATCH($A289,貸出記録!$A$2:$A$5000,0))="","",
INDEX(貸出記録!$B$2:$B$5000,
MATCH($A289,貸出記録!$A$2:$A$5000,0))
),""))</f>
        <v/>
      </c>
      <c r="C289" s="34" t="str">
        <f t="array" ref="C289">IF($A289="","",
IFERROR(IF(INDEX(貸出記録!$C$2:$C$5000,
MATCH($A289,貸出記録!$A$2:$A$5000,0))="","",
INDEX(貸出記録!$C$2:$C$5000,
MATCH($A289,貸出記録!$A$2:$A$5000,0))
),""))</f>
        <v/>
      </c>
      <c r="D289" s="34" t="str">
        <f t="array" ref="D289">IF($A289="","",
IFERROR(IF(INDEX(貸出記録!$D:$D,
MATCH($A289,貸出記録!$A:$A,0))="","",
INDEX(貸出記録!$D:$D,
MATCH($A289,貸出記録!$A:$A,0))
),""))</f>
        <v/>
      </c>
      <c r="E289" s="34" t="str">
        <f t="array" aca="1" ref="E289" ca="1">IF(D289="","",TODAY()-D289&amp;"日")</f>
        <v/>
      </c>
      <c r="F289" s="34" t="str">
        <f t="array" ref="F289">IF($A289="","",
IFERROR(IF(INDEX(貸出記録!$F:$F,
MATCH($A289,貸出記録!$A:$A,0))="","",
INDEX(貸出記録!$F:$F,
MATCH($A289,貸出記録!$A:$A,0))
),""))</f>
        <v/>
      </c>
    </row>
    <row r="290" spans="1:6" ht="15.6">
      <c r="A290" s="34" t="str">
        <f t="array" ref="A290">IFERROR(
INDEX(貸出記録!$A$2:$A$5000,
SMALL(
IF(貸出記録!$E$2:$E$5000="",
ROW(貸出記録!$A$2:$A$5000)-ROW(貸出記録!$A$2)+1),
ROW(A289)
)
),
"")</f>
        <v>BT-0289</v>
      </c>
      <c r="B290" s="34" t="str">
        <f t="array" ref="B290">IF($A290="","",
IFERROR(IF(INDEX(貸出記録!$B$2:$B$5000,
MATCH($A290,貸出記録!$A$2:$A$5000,0))="","",
INDEX(貸出記録!$B$2:$B$5000,
MATCH($A290,貸出記録!$A$2:$A$5000,0))
),""))</f>
        <v/>
      </c>
      <c r="C290" s="34" t="str">
        <f t="array" ref="C290">IF($A290="","",
IFERROR(IF(INDEX(貸出記録!$C$2:$C$5000,
MATCH($A290,貸出記録!$A$2:$A$5000,0))="","",
INDEX(貸出記録!$C$2:$C$5000,
MATCH($A290,貸出記録!$A$2:$A$5000,0))
),""))</f>
        <v/>
      </c>
      <c r="D290" s="34" t="str">
        <f t="array" ref="D290">IF($A290="","",
IFERROR(IF(INDEX(貸出記録!$D:$D,
MATCH($A290,貸出記録!$A:$A,0))="","",
INDEX(貸出記録!$D:$D,
MATCH($A290,貸出記録!$A:$A,0))
),""))</f>
        <v/>
      </c>
      <c r="E290" s="34" t="str">
        <f t="array" aca="1" ref="E290" ca="1">IF(D290="","",TODAY()-D290&amp;"日")</f>
        <v/>
      </c>
      <c r="F290" s="34" t="str">
        <f t="array" ref="F290">IF($A290="","",
IFERROR(IF(INDEX(貸出記録!$F:$F,
MATCH($A290,貸出記録!$A:$A,0))="","",
INDEX(貸出記録!$F:$F,
MATCH($A290,貸出記録!$A:$A,0))
),""))</f>
        <v/>
      </c>
    </row>
    <row r="291" spans="1:6" ht="15.6">
      <c r="A291" s="34" t="str">
        <f t="array" ref="A291">IFERROR(
INDEX(貸出記録!$A$2:$A$5000,
SMALL(
IF(貸出記録!$E$2:$E$5000="",
ROW(貸出記録!$A$2:$A$5000)-ROW(貸出記録!$A$2)+1),
ROW(A290)
)
),
"")</f>
        <v>BT-0290</v>
      </c>
      <c r="B291" s="34" t="str">
        <f t="array" ref="B291">IF($A291="","",
IFERROR(IF(INDEX(貸出記録!$B$2:$B$5000,
MATCH($A291,貸出記録!$A$2:$A$5000,0))="","",
INDEX(貸出記録!$B$2:$B$5000,
MATCH($A291,貸出記録!$A$2:$A$5000,0))
),""))</f>
        <v/>
      </c>
      <c r="C291" s="34" t="str">
        <f t="array" ref="C291">IF($A291="","",
IFERROR(IF(INDEX(貸出記録!$C$2:$C$5000,
MATCH($A291,貸出記録!$A$2:$A$5000,0))="","",
INDEX(貸出記録!$C$2:$C$5000,
MATCH($A291,貸出記録!$A$2:$A$5000,0))
),""))</f>
        <v/>
      </c>
      <c r="D291" s="34" t="str">
        <f t="array" ref="D291">IF($A291="","",
IFERROR(IF(INDEX(貸出記録!$D:$D,
MATCH($A291,貸出記録!$A:$A,0))="","",
INDEX(貸出記録!$D:$D,
MATCH($A291,貸出記録!$A:$A,0))
),""))</f>
        <v/>
      </c>
      <c r="E291" s="34" t="str">
        <f t="array" aca="1" ref="E291" ca="1">IF(D291="","",TODAY()-D291&amp;"日")</f>
        <v/>
      </c>
      <c r="F291" s="34" t="str">
        <f t="array" ref="F291">IF($A291="","",
IFERROR(IF(INDEX(貸出記録!$F:$F,
MATCH($A291,貸出記録!$A:$A,0))="","",
INDEX(貸出記録!$F:$F,
MATCH($A291,貸出記録!$A:$A,0))
),""))</f>
        <v/>
      </c>
    </row>
    <row r="292" spans="1:6" ht="15.6">
      <c r="A292" s="34" t="str">
        <f t="array" ref="A292">IFERROR(
INDEX(貸出記録!$A$2:$A$5000,
SMALL(
IF(貸出記録!$E$2:$E$5000="",
ROW(貸出記録!$A$2:$A$5000)-ROW(貸出記録!$A$2)+1),
ROW(A291)
)
),
"")</f>
        <v>BT-0291</v>
      </c>
      <c r="B292" s="34" t="str">
        <f t="array" ref="B292">IF($A292="","",
IFERROR(IF(INDEX(貸出記録!$B$2:$B$5000,
MATCH($A292,貸出記録!$A$2:$A$5000,0))="","",
INDEX(貸出記録!$B$2:$B$5000,
MATCH($A292,貸出記録!$A$2:$A$5000,0))
),""))</f>
        <v/>
      </c>
      <c r="C292" s="34" t="str">
        <f t="array" ref="C292">IF($A292="","",
IFERROR(IF(INDEX(貸出記録!$C$2:$C$5000,
MATCH($A292,貸出記録!$A$2:$A$5000,0))="","",
INDEX(貸出記録!$C$2:$C$5000,
MATCH($A292,貸出記録!$A$2:$A$5000,0))
),""))</f>
        <v/>
      </c>
      <c r="D292" s="34" t="str">
        <f t="array" ref="D292">IF($A292="","",
IFERROR(IF(INDEX(貸出記録!$D:$D,
MATCH($A292,貸出記録!$A:$A,0))="","",
INDEX(貸出記録!$D:$D,
MATCH($A292,貸出記録!$A:$A,0))
),""))</f>
        <v/>
      </c>
      <c r="E292" s="34" t="str">
        <f t="array" aca="1" ref="E292" ca="1">IF(D292="","",TODAY()-D292&amp;"日")</f>
        <v/>
      </c>
      <c r="F292" s="34" t="str">
        <f t="array" ref="F292">IF($A292="","",
IFERROR(IF(INDEX(貸出記録!$F:$F,
MATCH($A292,貸出記録!$A:$A,0))="","",
INDEX(貸出記録!$F:$F,
MATCH($A292,貸出記録!$A:$A,0))
),""))</f>
        <v/>
      </c>
    </row>
    <row r="293" spans="1:6" ht="15.6">
      <c r="A293" s="34" t="str">
        <f t="array" ref="A293">IFERROR(
INDEX(貸出記録!$A$2:$A$5000,
SMALL(
IF(貸出記録!$E$2:$E$5000="",
ROW(貸出記録!$A$2:$A$5000)-ROW(貸出記録!$A$2)+1),
ROW(A292)
)
),
"")</f>
        <v>BT-0292</v>
      </c>
      <c r="B293" s="34" t="str">
        <f t="array" ref="B293">IF($A293="","",
IFERROR(IF(INDEX(貸出記録!$B$2:$B$5000,
MATCH($A293,貸出記録!$A$2:$A$5000,0))="","",
INDEX(貸出記録!$B$2:$B$5000,
MATCH($A293,貸出記録!$A$2:$A$5000,0))
),""))</f>
        <v/>
      </c>
      <c r="C293" s="34" t="str">
        <f t="array" ref="C293">IF($A293="","",
IFERROR(IF(INDEX(貸出記録!$C$2:$C$5000,
MATCH($A293,貸出記録!$A$2:$A$5000,0))="","",
INDEX(貸出記録!$C$2:$C$5000,
MATCH($A293,貸出記録!$A$2:$A$5000,0))
),""))</f>
        <v/>
      </c>
      <c r="D293" s="34" t="str">
        <f t="array" ref="D293">IF($A293="","",
IFERROR(IF(INDEX(貸出記録!$D:$D,
MATCH($A293,貸出記録!$A:$A,0))="","",
INDEX(貸出記録!$D:$D,
MATCH($A293,貸出記録!$A:$A,0))
),""))</f>
        <v/>
      </c>
      <c r="E293" s="34" t="str">
        <f t="array" aca="1" ref="E293" ca="1">IF(D293="","",TODAY()-D293&amp;"日")</f>
        <v/>
      </c>
      <c r="F293" s="34" t="str">
        <f t="array" ref="F293">IF($A293="","",
IFERROR(IF(INDEX(貸出記録!$F:$F,
MATCH($A293,貸出記録!$A:$A,0))="","",
INDEX(貸出記録!$F:$F,
MATCH($A293,貸出記録!$A:$A,0))
),""))</f>
        <v/>
      </c>
    </row>
    <row r="294" spans="1:6" ht="15.6">
      <c r="A294" s="34" t="str">
        <f t="array" ref="A294">IFERROR(
INDEX(貸出記録!$A$2:$A$5000,
SMALL(
IF(貸出記録!$E$2:$E$5000="",
ROW(貸出記録!$A$2:$A$5000)-ROW(貸出記録!$A$2)+1),
ROW(A293)
)
),
"")</f>
        <v>BT-0293</v>
      </c>
      <c r="B294" s="34" t="str">
        <f t="array" ref="B294">IF($A294="","",
IFERROR(IF(INDEX(貸出記録!$B$2:$B$5000,
MATCH($A294,貸出記録!$A$2:$A$5000,0))="","",
INDEX(貸出記録!$B$2:$B$5000,
MATCH($A294,貸出記録!$A$2:$A$5000,0))
),""))</f>
        <v/>
      </c>
      <c r="C294" s="34" t="str">
        <f t="array" ref="C294">IF($A294="","",
IFERROR(IF(INDEX(貸出記録!$C$2:$C$5000,
MATCH($A294,貸出記録!$A$2:$A$5000,0))="","",
INDEX(貸出記録!$C$2:$C$5000,
MATCH($A294,貸出記録!$A$2:$A$5000,0))
),""))</f>
        <v/>
      </c>
      <c r="D294" s="34" t="str">
        <f t="array" ref="D294">IF($A294="","",
IFERROR(IF(INDEX(貸出記録!$D:$D,
MATCH($A294,貸出記録!$A:$A,0))="","",
INDEX(貸出記録!$D:$D,
MATCH($A294,貸出記録!$A:$A,0))
),""))</f>
        <v/>
      </c>
      <c r="E294" s="34" t="str">
        <f t="array" aca="1" ref="E294" ca="1">IF(D294="","",TODAY()-D294&amp;"日")</f>
        <v/>
      </c>
      <c r="F294" s="34" t="str">
        <f t="array" ref="F294">IF($A294="","",
IFERROR(IF(INDEX(貸出記録!$F:$F,
MATCH($A294,貸出記録!$A:$A,0))="","",
INDEX(貸出記録!$F:$F,
MATCH($A294,貸出記録!$A:$A,0))
),""))</f>
        <v/>
      </c>
    </row>
    <row r="295" spans="1:6" ht="15.6">
      <c r="A295" s="34" t="str">
        <f t="array" ref="A295">IFERROR(
INDEX(貸出記録!$A$2:$A$5000,
SMALL(
IF(貸出記録!$E$2:$E$5000="",
ROW(貸出記録!$A$2:$A$5000)-ROW(貸出記録!$A$2)+1),
ROW(A294)
)
),
"")</f>
        <v>BT-0294</v>
      </c>
      <c r="B295" s="34" t="str">
        <f t="array" ref="B295">IF($A295="","",
IFERROR(IF(INDEX(貸出記録!$B$2:$B$5000,
MATCH($A295,貸出記録!$A$2:$A$5000,0))="","",
INDEX(貸出記録!$B$2:$B$5000,
MATCH($A295,貸出記録!$A$2:$A$5000,0))
),""))</f>
        <v/>
      </c>
      <c r="C295" s="34" t="str">
        <f t="array" ref="C295">IF($A295="","",
IFERROR(IF(INDEX(貸出記録!$C$2:$C$5000,
MATCH($A295,貸出記録!$A$2:$A$5000,0))="","",
INDEX(貸出記録!$C$2:$C$5000,
MATCH($A295,貸出記録!$A$2:$A$5000,0))
),""))</f>
        <v/>
      </c>
      <c r="D295" s="34" t="str">
        <f t="array" ref="D295">IF($A295="","",
IFERROR(IF(INDEX(貸出記録!$D:$D,
MATCH($A295,貸出記録!$A:$A,0))="","",
INDEX(貸出記録!$D:$D,
MATCH($A295,貸出記録!$A:$A,0))
),""))</f>
        <v/>
      </c>
      <c r="E295" s="34" t="str">
        <f t="array" aca="1" ref="E295" ca="1">IF(D295="","",TODAY()-D295&amp;"日")</f>
        <v/>
      </c>
      <c r="F295" s="34" t="str">
        <f t="array" ref="F295">IF($A295="","",
IFERROR(IF(INDEX(貸出記録!$F:$F,
MATCH($A295,貸出記録!$A:$A,0))="","",
INDEX(貸出記録!$F:$F,
MATCH($A295,貸出記録!$A:$A,0))
),""))</f>
        <v/>
      </c>
    </row>
    <row r="296" spans="1:6" ht="15.6">
      <c r="A296" s="34" t="str">
        <f t="array" ref="A296">IFERROR(
INDEX(貸出記録!$A$2:$A$5000,
SMALL(
IF(貸出記録!$E$2:$E$5000="",
ROW(貸出記録!$A$2:$A$5000)-ROW(貸出記録!$A$2)+1),
ROW(A295)
)
),
"")</f>
        <v>BT-0295</v>
      </c>
      <c r="B296" s="34" t="str">
        <f t="array" ref="B296">IF($A296="","",
IFERROR(IF(INDEX(貸出記録!$B$2:$B$5000,
MATCH($A296,貸出記録!$A$2:$A$5000,0))="","",
INDEX(貸出記録!$B$2:$B$5000,
MATCH($A296,貸出記録!$A$2:$A$5000,0))
),""))</f>
        <v/>
      </c>
      <c r="C296" s="34" t="str">
        <f t="array" ref="C296">IF($A296="","",
IFERROR(IF(INDEX(貸出記録!$C$2:$C$5000,
MATCH($A296,貸出記録!$A$2:$A$5000,0))="","",
INDEX(貸出記録!$C$2:$C$5000,
MATCH($A296,貸出記録!$A$2:$A$5000,0))
),""))</f>
        <v/>
      </c>
      <c r="D296" s="34" t="str">
        <f t="array" ref="D296">IF($A296="","",
IFERROR(IF(INDEX(貸出記録!$D:$D,
MATCH($A296,貸出記録!$A:$A,0))="","",
INDEX(貸出記録!$D:$D,
MATCH($A296,貸出記録!$A:$A,0))
),""))</f>
        <v/>
      </c>
      <c r="E296" s="34" t="str">
        <f t="array" aca="1" ref="E296" ca="1">IF(D296="","",TODAY()-D296&amp;"日")</f>
        <v/>
      </c>
      <c r="F296" s="34" t="str">
        <f t="array" ref="F296">IF($A296="","",
IFERROR(IF(INDEX(貸出記録!$F:$F,
MATCH($A296,貸出記録!$A:$A,0))="","",
INDEX(貸出記録!$F:$F,
MATCH($A296,貸出記録!$A:$A,0))
),""))</f>
        <v/>
      </c>
    </row>
    <row r="297" spans="1:6" ht="15.6">
      <c r="A297" s="34" t="str">
        <f t="array" ref="A297">IFERROR(
INDEX(貸出記録!$A$2:$A$5000,
SMALL(
IF(貸出記録!$E$2:$E$5000="",
ROW(貸出記録!$A$2:$A$5000)-ROW(貸出記録!$A$2)+1),
ROW(A296)
)
),
"")</f>
        <v>BT-0296</v>
      </c>
      <c r="B297" s="34" t="str">
        <f t="array" ref="B297">IF($A297="","",
IFERROR(IF(INDEX(貸出記録!$B$2:$B$5000,
MATCH($A297,貸出記録!$A$2:$A$5000,0))="","",
INDEX(貸出記録!$B$2:$B$5000,
MATCH($A297,貸出記録!$A$2:$A$5000,0))
),""))</f>
        <v/>
      </c>
      <c r="C297" s="34" t="str">
        <f t="array" ref="C297">IF($A297="","",
IFERROR(IF(INDEX(貸出記録!$C$2:$C$5000,
MATCH($A297,貸出記録!$A$2:$A$5000,0))="","",
INDEX(貸出記録!$C$2:$C$5000,
MATCH($A297,貸出記録!$A$2:$A$5000,0))
),""))</f>
        <v/>
      </c>
      <c r="D297" s="34" t="str">
        <f t="array" ref="D297">IF($A297="","",
IFERROR(IF(INDEX(貸出記録!$D:$D,
MATCH($A297,貸出記録!$A:$A,0))="","",
INDEX(貸出記録!$D:$D,
MATCH($A297,貸出記録!$A:$A,0))
),""))</f>
        <v/>
      </c>
      <c r="E297" s="34" t="str">
        <f t="array" aca="1" ref="E297" ca="1">IF(D297="","",TODAY()-D297&amp;"日")</f>
        <v/>
      </c>
      <c r="F297" s="34" t="str">
        <f t="array" ref="F297">IF($A297="","",
IFERROR(IF(INDEX(貸出記録!$F:$F,
MATCH($A297,貸出記録!$A:$A,0))="","",
INDEX(貸出記録!$F:$F,
MATCH($A297,貸出記録!$A:$A,0))
),""))</f>
        <v/>
      </c>
    </row>
    <row r="298" spans="1:6" ht="15.6">
      <c r="A298" s="34" t="str">
        <f t="array" ref="A298">IFERROR(
INDEX(貸出記録!$A$2:$A$5000,
SMALL(
IF(貸出記録!$E$2:$E$5000="",
ROW(貸出記録!$A$2:$A$5000)-ROW(貸出記録!$A$2)+1),
ROW(A297)
)
),
"")</f>
        <v>BT-0297</v>
      </c>
      <c r="B298" s="34" t="str">
        <f t="array" ref="B298">IF($A298="","",
IFERROR(IF(INDEX(貸出記録!$B$2:$B$5000,
MATCH($A298,貸出記録!$A$2:$A$5000,0))="","",
INDEX(貸出記録!$B$2:$B$5000,
MATCH($A298,貸出記録!$A$2:$A$5000,0))
),""))</f>
        <v/>
      </c>
      <c r="C298" s="34" t="str">
        <f t="array" ref="C298">IF($A298="","",
IFERROR(IF(INDEX(貸出記録!$C$2:$C$5000,
MATCH($A298,貸出記録!$A$2:$A$5000,0))="","",
INDEX(貸出記録!$C$2:$C$5000,
MATCH($A298,貸出記録!$A$2:$A$5000,0))
),""))</f>
        <v/>
      </c>
      <c r="D298" s="34" t="str">
        <f t="array" ref="D298">IF($A298="","",
IFERROR(IF(INDEX(貸出記録!$D:$D,
MATCH($A298,貸出記録!$A:$A,0))="","",
INDEX(貸出記録!$D:$D,
MATCH($A298,貸出記録!$A:$A,0))
),""))</f>
        <v/>
      </c>
      <c r="E298" s="34" t="str">
        <f t="array" aca="1" ref="E298" ca="1">IF(D298="","",TODAY()-D298&amp;"日")</f>
        <v/>
      </c>
      <c r="F298" s="34" t="str">
        <f t="array" ref="F298">IF($A298="","",
IFERROR(IF(INDEX(貸出記録!$F:$F,
MATCH($A298,貸出記録!$A:$A,0))="","",
INDEX(貸出記録!$F:$F,
MATCH($A298,貸出記録!$A:$A,0))
),""))</f>
        <v/>
      </c>
    </row>
    <row r="299" spans="1:6" ht="15.6">
      <c r="A299" s="34" t="str">
        <f t="array" ref="A299">IFERROR(
INDEX(貸出記録!$A$2:$A$5000,
SMALL(
IF(貸出記録!$E$2:$E$5000="",
ROW(貸出記録!$A$2:$A$5000)-ROW(貸出記録!$A$2)+1),
ROW(A298)
)
),
"")</f>
        <v>BT-0298</v>
      </c>
      <c r="B299" s="34" t="str">
        <f t="array" ref="B299">IF($A299="","",
IFERROR(IF(INDEX(貸出記録!$B$2:$B$5000,
MATCH($A299,貸出記録!$A$2:$A$5000,0))="","",
INDEX(貸出記録!$B$2:$B$5000,
MATCH($A299,貸出記録!$A$2:$A$5000,0))
),""))</f>
        <v/>
      </c>
      <c r="C299" s="34" t="str">
        <f t="array" ref="C299">IF($A299="","",
IFERROR(IF(INDEX(貸出記録!$C$2:$C$5000,
MATCH($A299,貸出記録!$A$2:$A$5000,0))="","",
INDEX(貸出記録!$C$2:$C$5000,
MATCH($A299,貸出記録!$A$2:$A$5000,0))
),""))</f>
        <v/>
      </c>
      <c r="D299" s="34" t="str">
        <f t="array" ref="D299">IF($A299="","",
IFERROR(IF(INDEX(貸出記録!$D:$D,
MATCH($A299,貸出記録!$A:$A,0))="","",
INDEX(貸出記録!$D:$D,
MATCH($A299,貸出記録!$A:$A,0))
),""))</f>
        <v/>
      </c>
      <c r="E299" s="34" t="str">
        <f t="array" aca="1" ref="E299" ca="1">IF(D299="","",TODAY()-D299&amp;"日")</f>
        <v/>
      </c>
      <c r="F299" s="34" t="str">
        <f t="array" ref="F299">IF($A299="","",
IFERROR(IF(INDEX(貸出記録!$F:$F,
MATCH($A299,貸出記録!$A:$A,0))="","",
INDEX(貸出記録!$F:$F,
MATCH($A299,貸出記録!$A:$A,0))
),""))</f>
        <v/>
      </c>
    </row>
    <row r="300" spans="1:6" ht="15.6">
      <c r="A300" s="34" t="str">
        <f t="array" ref="A300">IFERROR(
INDEX(貸出記録!$A$2:$A$5000,
SMALL(
IF(貸出記録!$E$2:$E$5000="",
ROW(貸出記録!$A$2:$A$5000)-ROW(貸出記録!$A$2)+1),
ROW(A299)
)
),
"")</f>
        <v>BT-0299</v>
      </c>
      <c r="B300" s="34" t="str">
        <f t="array" ref="B300">IF($A300="","",
IFERROR(IF(INDEX(貸出記録!$B$2:$B$5000,
MATCH($A300,貸出記録!$A$2:$A$5000,0))="","",
INDEX(貸出記録!$B$2:$B$5000,
MATCH($A300,貸出記録!$A$2:$A$5000,0))
),""))</f>
        <v/>
      </c>
      <c r="C300" s="34" t="str">
        <f t="array" ref="C300">IF($A300="","",
IFERROR(IF(INDEX(貸出記録!$C$2:$C$5000,
MATCH($A300,貸出記録!$A$2:$A$5000,0))="","",
INDEX(貸出記録!$C$2:$C$5000,
MATCH($A300,貸出記録!$A$2:$A$5000,0))
),""))</f>
        <v/>
      </c>
      <c r="D300" s="34" t="str">
        <f t="array" ref="D300">IF($A300="","",
IFERROR(IF(INDEX(貸出記録!$D:$D,
MATCH($A300,貸出記録!$A:$A,0))="","",
INDEX(貸出記録!$D:$D,
MATCH($A300,貸出記録!$A:$A,0))
),""))</f>
        <v/>
      </c>
      <c r="E300" s="34" t="str">
        <f t="array" aca="1" ref="E300" ca="1">IF(D300="","",TODAY()-D300&amp;"日")</f>
        <v/>
      </c>
      <c r="F300" s="34" t="str">
        <f t="array" ref="F300">IF($A300="","",
IFERROR(IF(INDEX(貸出記録!$F:$F,
MATCH($A300,貸出記録!$A:$A,0))="","",
INDEX(貸出記録!$F:$F,
MATCH($A300,貸出記録!$A:$A,0))
),""))</f>
        <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README</vt:lpstr>
      <vt:lpstr>エラーチェック</vt:lpstr>
      <vt:lpstr>個体台帳</vt:lpstr>
      <vt:lpstr>セット台帳</vt:lpstr>
      <vt:lpstr>貸出記録</vt:lpstr>
      <vt:lpstr>現在貸出中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2026-03-05T02:40:26Z</dcterms:modified>
</cp:coreProperties>
</file>